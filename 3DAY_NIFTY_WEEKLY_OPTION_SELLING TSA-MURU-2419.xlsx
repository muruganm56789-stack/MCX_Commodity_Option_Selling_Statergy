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300" activeTab="3"/>
  </bookViews>
  <sheets>
    <sheet name="Home" sheetId="1" r:id="rId1"/>
    <sheet name="NIFTY Calculation" sheetId="2" r:id="rId2"/>
    <sheet name="NIFTY Orders" sheetId="3" r:id="rId3"/>
    <sheet name="NIFTY Tracking" sheetId="4" r:id="rId4"/>
    <sheet name="Setting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<sst xmlns="http://schemas.openxmlformats.org/spreadsheetml/2006/main" count="501" uniqueCount="294">
  <si>
    <t>TRADING SECRETS ACADEMY PVT LTD</t>
  </si>
  <si>
    <t>NIFTY WEEKLY OPTIONS
CONTROL CENTER</t>
  </si>
  <si>
    <t>Quality, Trust, Consistency &amp; Ethics</t>
  </si>
  <si>
    <t>NIFTY WEEKLY OPTION SELLING — PROFESSIONAL TRADING WORKBOOK</t>
  </si>
  <si>
    <t>CALCULATION</t>
  </si>
  <si>
    <t>ORDERS</t>
  </si>
  <si>
    <t>TRACKING</t>
  </si>
  <si>
    <t>PORTFOLIO OVERVIEW</t>
  </si>
  <si>
    <t>Capital Used</t>
  </si>
  <si>
    <t>Total P/L</t>
  </si>
  <si>
    <t>Overall Return</t>
  </si>
  <si>
    <t>Completed</t>
  </si>
  <si>
    <t>Winning Trades</t>
  </si>
  <si>
    <t>Open Trades</t>
  </si>
  <si>
    <t>CURRENT CALCULATION &amp; ORDER STATUS</t>
  </si>
  <si>
    <t>Side</t>
  </si>
  <si>
    <t>Final Strike</t>
  </si>
  <si>
    <t>Expiry</t>
  </si>
  <si>
    <t>Selected Setup</t>
  </si>
  <si>
    <t>Holding Status</t>
  </si>
  <si>
    <t>Readiness</t>
  </si>
  <si>
    <t>CALL Sell</t>
  </si>
  <si>
    <t>PUT Sell</t>
  </si>
  <si>
    <t>DAILY WORKFLOW</t>
  </si>
  <si>
    <t>INPUT COLOUR GUIDE</t>
  </si>
  <si>
    <t>1</t>
  </si>
  <si>
    <t>Enter trading date, expiry day and three-day spot data</t>
  </si>
  <si>
    <t>Dropdown</t>
  </si>
  <si>
    <t>Dark blue — choose from list</t>
  </si>
  <si>
    <t>2</t>
  </si>
  <si>
    <t>Enter premium and OI values for the strike screens</t>
  </si>
  <si>
    <t>Manual Input</t>
  </si>
  <si>
    <t>Pale yellow — type or paste</t>
  </si>
  <si>
    <t>3</t>
  </si>
  <si>
    <t>Select eligible normal or gap strikes and complete premium data</t>
  </si>
  <si>
    <t>Automatic</t>
  </si>
  <si>
    <t>Blue-grey / grey — formula</t>
  </si>
  <si>
    <t>4</t>
  </si>
  <si>
    <t>Choose the setup and holding status in NIFTY Orders</t>
  </si>
  <si>
    <t>Warning</t>
  </si>
  <si>
    <t>Amber / red — review required</t>
  </si>
  <si>
    <t>5</t>
  </si>
  <si>
    <t>Place only tickets showing YES after reviewing missed checks</t>
  </si>
  <si>
    <t>6</t>
  </si>
  <si>
    <t>Record the completed or open trade in NIFTY Tracking</t>
  </si>
  <si>
    <t>RISK NOTICE
Trading derivatives involves substantial risk. Verify strikes, expiry, quantity and broker order details before execution. The workbook calculates method levels but cannot confirm fills, slippage, margin availability or exchange conditions.</t>
  </si>
  <si>
    <t>SOURCE &amp; VERSION
Trading method migrated from 2DAY_Nifty_Weekly_Option_Selling.xlsx. Visual system follows the approved MCX Gold and Silver professional workbooks. Version 1.0 — 2026-09-18.</t>
  </si>
  <si>
    <t>TRADING SECRETS ACADEMY PVT LTD  |  Quality, Trust, Consistency &amp; Ethics</t>
  </si>
  <si>
    <t>Office Support: Mrs. Sathyavani +91 90425 87730 | Mrs. Suganya +91 80569 25382</t>
  </si>
  <si>
    <t>Calculations &amp; Live Market Support: Mr. Vanaraja +91 72005 75175 | Mr. Gokul +91 72005 75154</t>
  </si>
  <si>
    <t>Registered: Sivaganga 630611 | Head Office: West Tambaram, Chennai 600045</t>
  </si>
  <si>
    <t>NIFTY WEEKLY OPTIONS
3DHH / 3DLL</t>
  </si>
  <si>
    <t>CALCULATION &amp; TRADING LEVELS</t>
  </si>
  <si>
    <t>WORKFLOW: enter daily inputs → review eligibility → select an eligible strike → confirm final levels → open Orders</t>
  </si>
  <si>
    <t>TRADING DATE, EXPIRY &amp; THREE-DAY SPOT DATA</t>
  </si>
  <si>
    <t>Trading Date</t>
  </si>
  <si>
    <t>3DHH</t>
  </si>
  <si>
    <t>PUT End Strike</t>
  </si>
  <si>
    <t>Expiry Day</t>
  </si>
  <si>
    <t>Tuesday</t>
  </si>
  <si>
    <t>High</t>
  </si>
  <si>
    <t>Low</t>
  </si>
  <si>
    <t>3DLL</t>
  </si>
  <si>
    <t>PUT Start Strike</t>
  </si>
  <si>
    <t>Days Until Expiry</t>
  </si>
  <si>
    <t>Day 01</t>
  </si>
  <si>
    <t>Upper Strike Factor</t>
  </si>
  <si>
    <t>CALL End Strike</t>
  </si>
  <si>
    <t>Contract Suggestion</t>
  </si>
  <si>
    <t>Day 02</t>
  </si>
  <si>
    <t>Lower Strike Factor</t>
  </si>
  <si>
    <t>CALL Start Strike</t>
  </si>
  <si>
    <t>Day 03</t>
  </si>
  <si>
    <t>NORMAL STRIKE SCREENING</t>
  </si>
  <si>
    <t>NORMAL CALL SELL</t>
  </si>
  <si>
    <t>NORMAL PUT SELL</t>
  </si>
  <si>
    <t>No.</t>
  </si>
  <si>
    <t>Strike</t>
  </si>
  <si>
    <t>Required Premium</t>
  </si>
  <si>
    <t>3DLL Premium</t>
  </si>
  <si>
    <t>Premium Status</t>
  </si>
  <si>
    <t>Current OI</t>
  </si>
  <si>
    <t>OI Status</t>
  </si>
  <si>
    <t>Final Status</t>
  </si>
  <si>
    <t>FINAL NORMAL STRIKE SELECTION</t>
  </si>
  <si>
    <t>CALL Final Strike</t>
  </si>
  <si>
    <t>Expiry Date</t>
  </si>
  <si>
    <t>Status</t>
  </si>
  <si>
    <t>PUT Final Strike</t>
  </si>
  <si>
    <t>Only strikes that satisfy both premium and open-interest conditions appear in the dropdown lists.</t>
  </si>
  <si>
    <t>FINAL-STRIKE PREMIUM DATA — THREE DAYS</t>
  </si>
  <si>
    <t>CALL PREMIUM HISTORY</t>
  </si>
  <si>
    <t>PUT PREMIUM HISTORY</t>
  </si>
  <si>
    <t>Day</t>
  </si>
  <si>
    <t>NORMAL ENTRY, TARGET &amp; STOP-LOSS RESULTS</t>
  </si>
  <si>
    <t>Contract</t>
  </si>
  <si>
    <t>Entry</t>
  </si>
  <si>
    <t>Target</t>
  </si>
  <si>
    <t>Stop-Loss</t>
  </si>
  <si>
    <t>CALL</t>
  </si>
  <si>
    <t>PUT</t>
  </si>
  <si>
    <t>GAP RECALCULATION — GAP UP PUT / GAP DOWN CALL</t>
  </si>
  <si>
    <t>GAP UP — PUT SELL</t>
  </si>
  <si>
    <t>GAP DOWN — CALL SELL</t>
  </si>
  <si>
    <t>First 15-Minute High — NIFTY Spot</t>
  </si>
  <si>
    <t>First 15-Minute Low — NIFTY Spot</t>
  </si>
  <si>
    <t>Strike Factor</t>
  </si>
  <si>
    <t>First 15-Minute Low Premium</t>
  </si>
  <si>
    <t>FINAL GAP STRIKE SELECTION</t>
  </si>
  <si>
    <t>Gap Up PUT Strike</t>
  </si>
  <si>
    <t>Gap Down CALL Strike</t>
  </si>
  <si>
    <t>Gap-up output is PUT Sell. Gap-down output is CALL Sell. Missing inputs never create a zero-value order.</t>
  </si>
  <si>
    <t>GAP PREMIUM DATA &amp; FINAL LEVELS</t>
  </si>
  <si>
    <t>First 15-Minute Low — PUT Premium</t>
  </si>
  <si>
    <t>First 15-Minute Low — CALL Premium</t>
  </si>
  <si>
    <t>Manual 3DHH — PUT Premium</t>
  </si>
  <si>
    <t>Manual 3DHH — CALL Premium</t>
  </si>
  <si>
    <t>ORDER SOURCE LEVELS — AUTOMATIC LINK TO NIFTY ORDERS</t>
  </si>
  <si>
    <t>Setup</t>
  </si>
  <si>
    <t>INPUT GUIDE
Dark blue: choose from a dropdown
Pale yellow: type or paste a value
Blue-grey / grey: automatic formula
Green / red: status or trading direction</t>
  </si>
  <si>
    <t>Normal CALL</t>
  </si>
  <si>
    <t>Gap Down CALL</t>
  </si>
  <si>
    <t>Normal PUT</t>
  </si>
  <si>
    <t>Gap Up PUT</t>
  </si>
  <si>
    <t>NIFTY WEEKLY OPTIONS
ORDER WORKSPACE</t>
  </si>
  <si>
    <t>ORDER SELECTION, MISSED CHECKS &amp; TICKETS</t>
  </si>
  <si>
    <t>Number of Lots</t>
  </si>
  <si>
    <t>Order Offset</t>
  </si>
  <si>
    <t>Orders depend on this side's position, trade stage, complete levels and missed-order check. CALL and PUT operate independently.</t>
  </si>
  <si>
    <t>CALL MARKET INPUTS</t>
  </si>
  <si>
    <t>PUT MARKET INPUTS</t>
  </si>
  <si>
    <t>Open Price</t>
  </si>
  <si>
    <t>First 10-Minute High</t>
  </si>
  <si>
    <t>First 10-Minute Low</t>
  </si>
  <si>
    <t>Trade Stage</t>
  </si>
  <si>
    <t>CALL Position</t>
  </si>
  <si>
    <t>No Holding</t>
  </si>
  <si>
    <t>PUT Position</t>
  </si>
  <si>
    <t>SOURCE LEVELS FROM NIFTY CALCULATION</t>
  </si>
  <si>
    <t>READINESS RULE
READY requires an eligible final strike, expiry date, three days of premium data and complete gap inputs where applicable. Missing inputs return INPUT REQUIRED, never zero.</t>
  </si>
  <si>
    <t>SELECTED TRADING LEVELS &amp; STATUS</t>
  </si>
  <si>
    <t>Trade Status</t>
  </si>
  <si>
    <t>Level Status</t>
  </si>
  <si>
    <t>No Holding: B21/B22 selects Calculation levels. Holding: use the latest matching Tracking row, with the higher available recalculated or gap stop-loss. Each side has its own trade stage.</t>
  </si>
  <si>
    <t>MISSED-ORDER CHECKING</t>
  </si>
  <si>
    <t>Check</t>
  </si>
  <si>
    <t>Compare Input</t>
  </si>
  <si>
    <t>Selected Level</t>
  </si>
  <si>
    <t>Result</t>
  </si>
  <si>
    <t>Final Value</t>
  </si>
  <si>
    <t>Instruction</t>
  </si>
  <si>
    <t>ACTIONABLE ORDER TICKETS</t>
  </si>
  <si>
    <t>Purpose</t>
  </si>
  <si>
    <t>Place?</t>
  </si>
  <si>
    <t>Order Type</t>
  </si>
  <si>
    <t>Trigger</t>
  </si>
  <si>
    <t>Order / Limit</t>
  </si>
  <si>
    <t>Time</t>
  </si>
  <si>
    <t>OPERATING CHECK
Fresh: select No Holding and leave trade stage blank. Entry Triggered: target and stop-loss orders. Target/Stoploss Triggered: START FRESH TRADE for that side; the other side remains independent. Place only tickets showing YES.</t>
  </si>
  <si>
    <t>NIFTY WEEKLY OPTIONS
200-TRADE REGISTER</t>
  </si>
  <si>
    <t>TRADE TRACKING &amp; PERFORMANCE</t>
  </si>
  <si>
    <t>TRADING DEFAULTS</t>
  </si>
  <si>
    <t>OVERALL PERFORMANCE</t>
  </si>
  <si>
    <t>TRADE QUALITY</t>
  </si>
  <si>
    <t>WORKFLOW</t>
  </si>
  <si>
    <t>Total Profit / Loss</t>
  </si>
  <si>
    <t>1. Enter trade details and selected levels.
2. Enter New 3DHH or Gap 3DHH when required.
3. Select the final result.
4. Confirm Exit Price, P/L and Validation.
5. For rollover, enter the rollover exit price.</t>
  </si>
  <si>
    <t>Default Lot Size</t>
  </si>
  <si>
    <t>Losing Trades</t>
  </si>
  <si>
    <t>Default Capital</t>
  </si>
  <si>
    <t>Completed Trades</t>
  </si>
  <si>
    <t>Win Rate</t>
  </si>
  <si>
    <t>History Preserved</t>
  </si>
  <si>
    <t>12 rows</t>
  </si>
  <si>
    <t>Best Trade</t>
  </si>
  <si>
    <t>TRADE TRACKING — 200 ROWS</t>
  </si>
  <si>
    <t>TRADE DETAILS</t>
  </si>
  <si>
    <t>LEVELS &amp; NORMAL STOP-LOSS RECALCULATION</t>
  </si>
  <si>
    <t>GAP RECALCULATION</t>
  </si>
  <si>
    <t>EXIT RESULTS</t>
  </si>
  <si>
    <t>VALIDATION</t>
  </si>
  <si>
    <t>Trade Date</t>
  </si>
  <si>
    <t>Trade Type</t>
  </si>
  <si>
    <t>Original Stop-Loss</t>
  </si>
  <si>
    <t>New 3DHH</t>
  </si>
  <si>
    <t>Maximum Stop-Loss</t>
  </si>
  <si>
    <t>3DHH Stop-Loss</t>
  </si>
  <si>
    <t>Final Recalculated Stop-Loss</t>
  </si>
  <si>
    <t>First 15-Minute High</t>
  </si>
  <si>
    <t>Gap Stop-Loss</t>
  </si>
  <si>
    <t>Gap Calculation Type</t>
  </si>
  <si>
    <t>Result Status</t>
  </si>
  <si>
    <t>Exit Price Used</t>
  </si>
  <si>
    <t>Lot Size</t>
  </si>
  <si>
    <t>Lots</t>
  </si>
  <si>
    <t>Total Quantity</t>
  </si>
  <si>
    <t>Profit / Loss</t>
  </si>
  <si>
    <t>Return %</t>
  </si>
  <si>
    <t>Rollover Exit Price</t>
  </si>
  <si>
    <t>Validation / Remarks</t>
  </si>
  <si>
    <t>Target Hit</t>
  </si>
  <si>
    <t>Stoploss Hit</t>
  </si>
  <si>
    <t>Gap Down Stoploss</t>
  </si>
  <si>
    <t>24550</t>
  </si>
  <si>
    <t>Gap Up Stoploss</t>
  </si>
  <si>
    <t>23950</t>
  </si>
  <si>
    <t>23600</t>
  </si>
  <si>
    <t>23200</t>
  </si>
  <si>
    <t>WORKBOOK SETTINGS &amp; CONTROL LISTS</t>
  </si>
  <si>
    <t>Blue cells are dropdowns. Yellow cells are manual inputs. Grey and blue-grey cells calculate automatically.</t>
  </si>
  <si>
    <t>Method Parameter</t>
  </si>
  <si>
    <t>Value</t>
  </si>
  <si>
    <t>Unit / Meaning</t>
  </si>
  <si>
    <t>Control Note</t>
  </si>
  <si>
    <t>Expiry Days</t>
  </si>
  <si>
    <t>Order Status</t>
  </si>
  <si>
    <t>CALL Setup</t>
  </si>
  <si>
    <t>PUT Setup</t>
  </si>
  <si>
    <t>Eligible Normal CALL</t>
  </si>
  <si>
    <t>Eligible Normal PUT</t>
  </si>
  <si>
    <t>Eligible Gap Up PUT</t>
  </si>
  <si>
    <t>Eligible Gap Down CALL</t>
  </si>
  <si>
    <t>Premium Threshold</t>
  </si>
  <si>
    <t>0.85% of strike</t>
  </si>
  <si>
    <t>Eligibility threshold</t>
  </si>
  <si>
    <t>Monday</t>
  </si>
  <si>
    <t>No Holdings</t>
  </si>
  <si>
    <t>NIFTY Lot Size</t>
  </si>
  <si>
    <t>units</t>
  </si>
  <si>
    <t>Current contract specification</t>
  </si>
  <si>
    <t>Entry Triggered</t>
  </si>
  <si>
    <t>OI Multiplier</t>
  </si>
  <si>
    <t>times lot size</t>
  </si>
  <si>
    <t>Required open-interest rule</t>
  </si>
  <si>
    <t>Wednesday</t>
  </si>
  <si>
    <t>Target Triggered</t>
  </si>
  <si>
    <t>Required Open Interest</t>
  </si>
  <si>
    <t>contracts</t>
  </si>
  <si>
    <t>Lot size × OI multiplier</t>
  </si>
  <si>
    <t>Thursday</t>
  </si>
  <si>
    <t>Stoploss Triggered</t>
  </si>
  <si>
    <t>Spot Entry Buffer</t>
  </si>
  <si>
    <t>0.15%</t>
  </si>
  <si>
    <t>Upper/lower strike factor</t>
  </si>
  <si>
    <t>Friday</t>
  </si>
  <si>
    <t>Rollover</t>
  </si>
  <si>
    <t>Strike Interval</t>
  </si>
  <si>
    <t>points</t>
  </si>
  <si>
    <t>NIFTY strike ladder</t>
  </si>
  <si>
    <t>Strike Count</t>
  </si>
  <si>
    <t>strikes</t>
  </si>
  <si>
    <t>Screening rows per setup</t>
  </si>
  <si>
    <t>Entry Factor</t>
  </si>
  <si>
    <t>90%</t>
  </si>
  <si>
    <t>Entry = 3DLL premium × factor</t>
  </si>
  <si>
    <t>Target Factor</t>
  </si>
  <si>
    <t>25%</t>
  </si>
  <si>
    <t>Target = entry × factor</t>
  </si>
  <si>
    <t>Stop-Loss Factor</t>
  </si>
  <si>
    <t>175%</t>
  </si>
  <si>
    <t>Maximum stop-loss</t>
  </si>
  <si>
    <t>3DHH Stop-Loss Factor</t>
  </si>
  <si>
    <t>110%</t>
  </si>
  <si>
    <t>3DHH-based stop-loss</t>
  </si>
  <si>
    <t>Premium Tick / Price Rounding</t>
  </si>
  <si>
    <t>Final tradable price rounding</t>
  </si>
  <si>
    <t>Tracking Stop-Loss Rounding</t>
  </si>
  <si>
    <t>Recalculated stop-loss rounding</t>
  </si>
  <si>
    <t>Order Price Offset</t>
  </si>
  <si>
    <t>Stop-limit price offset</t>
  </si>
  <si>
    <t>Expiry Switch Threshold</t>
  </si>
  <si>
    <t>day</t>
  </si>
  <si>
    <t>Use next week when days remaining ≤ threshold</t>
  </si>
  <si>
    <t>Default Number of Lots</t>
  </si>
  <si>
    <t>lots</t>
  </si>
  <si>
    <t>Starting order quantity</t>
  </si>
  <si>
    <t>INR</t>
  </si>
  <si>
    <t>Portfolio return basis</t>
  </si>
  <si>
    <t>Tracking Capacity</t>
  </si>
  <si>
    <t>trades</t>
  </si>
  <si>
    <t>Rows available in tracking register</t>
  </si>
  <si>
    <t>VERSION HISTORY</t>
  </si>
  <si>
    <t>CONTROL NOTES</t>
  </si>
  <si>
    <t>Version</t>
  </si>
  <si>
    <t>Date</t>
  </si>
  <si>
    <t>Change</t>
  </si>
  <si>
    <t>Source</t>
  </si>
  <si>
    <t>Method parameters are centralized here for auditability. Calculation, Orders and Tracking reference these cells. Change a method parameter only after confirming the trading rule. Eligible-strike lists are automatic and feed the four strike dropdowns.</t>
  </si>
  <si>
    <t>1.0</t>
  </si>
  <si>
    <t>Professional rebuild and safety guards</t>
  </si>
  <si>
    <t>Original NIFTY workbook</t>
  </si>
  <si>
    <t>Design</t>
  </si>
  <si>
    <t>Approved Gold/Silver design system</t>
  </si>
  <si>
    <t>Gold / Silver references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</si>
</sst>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yyyy\-mm\-dd"/>
    <numFmt numFmtId="178" formatCode="[$-809]dd\ mmmm\ yyyy;@"/>
    <numFmt numFmtId="179" formatCode="dd/mm/yyyy;@"/>
  </numFmts>
  <fonts count="44">
    <font>
      <sz val="11"/>
      <name val="Carlito"/>
      <charset val="134"/>
    </font>
    <font>
      <sz val="10"/>
      <color rgb="FF222222"/>
      <name val="Arial"/>
      <charset val="134"/>
    </font>
    <font>
      <b/>
      <sz val="15"/>
      <color rgb="FFFFFFFF"/>
      <name val="Arial"/>
      <charset val="134"/>
    </font>
    <font>
      <i/>
      <sz val="10"/>
      <color rgb="FF00B050"/>
      <name val="Arial"/>
      <charset val="134"/>
    </font>
    <font>
      <b/>
      <sz val="12"/>
      <color rgb="FF00B050"/>
      <name val="Arial"/>
      <charset val="134"/>
    </font>
    <font>
      <b/>
      <sz val="9"/>
      <color rgb="FF222222"/>
      <name val="Arial"/>
      <charset val="134"/>
    </font>
    <font>
      <b/>
      <sz val="9"/>
      <color rgb="FFFFFFFF"/>
      <name val="Arial"/>
      <charset val="134"/>
    </font>
    <font>
      <b/>
      <sz val="10"/>
      <color rgb="FF222222"/>
      <name val="Arial"/>
      <charset val="134"/>
    </font>
    <font>
      <b/>
      <sz val="10"/>
      <color rgb="FF006100"/>
      <name val="Arial"/>
      <charset val="134"/>
    </font>
    <font>
      <b/>
      <sz val="11"/>
      <color rgb="FFFFFFFF"/>
      <name val="Arial"/>
      <charset val="134"/>
    </font>
    <font>
      <b/>
      <sz val="9"/>
      <color rgb="FF00B050"/>
      <name val="Arial"/>
      <charset val="134"/>
    </font>
    <font>
      <sz val="8"/>
      <color rgb="FFFFFFFF"/>
      <name val="Arial"/>
      <charset val="134"/>
    </font>
    <font>
      <sz val="8"/>
      <color rgb="FFD1D5DB"/>
      <name val="Arial"/>
      <charset val="134"/>
    </font>
    <font>
      <sz val="9"/>
      <color rgb="FF222222"/>
      <name val="Arial"/>
      <charset val="134"/>
    </font>
    <font>
      <sz val="10"/>
      <color rgb="FF006100"/>
      <name val="Arial"/>
      <charset val="134"/>
    </font>
    <font>
      <b/>
      <sz val="10"/>
      <color theme="1"/>
      <name val="Arial"/>
      <charset val="134"/>
    </font>
    <font>
      <sz val="10"/>
      <color theme="1"/>
      <name val="Arial"/>
      <charset val="134"/>
    </font>
    <font>
      <b/>
      <sz val="10"/>
      <color rgb="FF1F4E78"/>
      <name val="Arial"/>
      <charset val="134"/>
    </font>
    <font>
      <b/>
      <sz val="10"/>
      <color rgb="FFFFFFFF"/>
      <name val="Arial"/>
      <charset val="134"/>
    </font>
    <font>
      <b/>
      <sz val="10"/>
      <color theme="0"/>
      <name val="Arial"/>
      <charset val="134"/>
    </font>
    <font>
      <sz val="10"/>
      <color theme="0"/>
      <name val="Arial"/>
      <charset val="134"/>
    </font>
    <font>
      <i/>
      <sz val="9"/>
      <color rgb="FF222222"/>
      <name val="Arial"/>
      <charset val="134"/>
    </font>
    <font>
      <b/>
      <sz val="12"/>
      <color rgb="FFFFFFFF"/>
      <name val="Arial"/>
      <charset val="134"/>
    </font>
    <font>
      <b/>
      <sz val="14"/>
      <color rgb="FF00610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b/>
      <name val="Arial"/>
      <sz val="8"/>
      <color rgb="FFE6EDF3"/>
      <family val="2"/>
    </font>
  </fonts>
  <fills count="44">
    <fill>
      <patternFill patternType="none"/>
    </fill>
    <fill>
      <patternFill patternType="gray125"/>
    </fill>
    <fill>
      <patternFill patternType="solid">
        <fgColor rgb="FF080B0D"/>
        <bgColor indexed="64"/>
      </patternFill>
    </fill>
    <fill>
      <patternFill patternType="solid">
        <fgColor rgb="FFFFEB9C"/>
        <bgColor indexed="64"/>
      </patternFill>
    </fill>
    <fill>
      <patternFill patternType="solid">
        <fgColor rgb="FF1F2933"/>
        <bgColor indexed="64"/>
      </patternFill>
    </fill>
    <fill>
      <patternFill patternType="solid">
        <fgColor rgb="FFD9EAF7"/>
        <bgColor indexed="64"/>
      </patternFill>
    </fill>
    <fill>
      <patternFill patternType="solid">
        <fgColor rgb="FFF3F4F6"/>
        <bgColor indexed="64"/>
      </patternFill>
    </fill>
    <fill>
      <patternFill patternType="solid">
        <fgColor rgb="FF1F4E78"/>
        <bgColor indexed="64"/>
      </patternFill>
    </fill>
    <fill>
      <patternFill patternType="solid">
        <fgColor rgb="FFFFF2CC"/>
        <bgColor indexed="64"/>
      </patternFill>
    </fill>
    <fill>
      <patternFill patternType="solid">
        <fgColor rgb="FF00B050"/>
        <bgColor indexed="64"/>
      </patternFill>
    </fill>
    <fill>
      <patternFill patternType="solid">
        <fgColor rgb="FFC9A227"/>
        <bgColor indexed="64"/>
      </patternFill>
    </fill>
    <fill>
      <patternFill patternType="solid">
        <fgColor theme="0"/>
        <bgColor indexed="64"/>
      </patternFill>
    </fill>
    <fill>
      <patternFill patternType="solid">
        <fgColor rgb="FFC00000"/>
        <bgColor indexed="64"/>
      </patternFill>
    </fill>
    <fill>
      <patternFill patternType="solid">
        <fgColor rgb="FFFFC7CE"/>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0">
    <border>
      <left/>
      <right/>
      <top/>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A5A5A5"/>
      </left>
      <right style="thin">
        <color rgb="FFA5A5A5"/>
      </right>
      <top style="thin">
        <color rgb="FFA5A5A5"/>
      </top>
      <bottom style="thin">
        <color rgb="FFA5A5A5"/>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style="thin">
        <color rgb="FFD9D9D9"/>
      </right>
      <top style="medium">
        <color rgb="FFA5A5A5"/>
      </top>
      <bottom style="medium">
        <color rgb="FFA5A5A5"/>
      </bottom>
      <diagonal/>
    </border>
    <border>
      <left style="thin">
        <color rgb="FFD9D9D9"/>
      </left>
      <right style="thin">
        <color rgb="FFD9D9D9"/>
      </right>
      <top style="medium">
        <color rgb="FFA5A5A5"/>
      </top>
      <bottom style="medium">
        <color rgb="FFA5A5A5"/>
      </bottom>
      <diagonal/>
    </border>
    <border>
      <left style="thin">
        <color rgb="FFA5A5A5"/>
      </left>
      <right style="thin">
        <color rgb="FFD9D9D9"/>
      </right>
      <top style="thin">
        <color rgb="FFA5A5A5"/>
      </top>
      <bottom style="thin">
        <color rgb="FFD9D9D9"/>
      </bottom>
      <diagonal/>
    </border>
    <border>
      <left style="thin">
        <color rgb="FFD9D9D9"/>
      </left>
      <right style="thin">
        <color rgb="FFD9D9D9"/>
      </right>
      <top style="thin">
        <color rgb="FFA5A5A5"/>
      </top>
      <bottom style="thin">
        <color rgb="FFD9D9D9"/>
      </bottom>
      <diagonal/>
    </border>
    <border>
      <left style="thin">
        <color rgb="FFA5A5A5"/>
      </left>
      <right style="thin">
        <color rgb="FFD9D9D9"/>
      </right>
      <top style="thin">
        <color rgb="FFD9D9D9"/>
      </top>
      <bottom style="thin">
        <color rgb="FFD9D9D9"/>
      </bottom>
      <diagonal/>
    </border>
    <border>
      <left style="thin">
        <color rgb="FFA5A5A5"/>
      </left>
      <right style="thin">
        <color rgb="FFD9D9D9"/>
      </right>
      <top style="thin">
        <color rgb="FFD9D9D9"/>
      </top>
      <bottom style="thin">
        <color rgb="FFA5A5A5"/>
      </bottom>
      <diagonal/>
    </border>
    <border>
      <left style="thin">
        <color rgb="FFD9D9D9"/>
      </left>
      <right style="thin">
        <color rgb="FFD9D9D9"/>
      </right>
      <top style="thin">
        <color rgb="FFD9D9D9"/>
      </top>
      <bottom style="thin">
        <color rgb="FFA5A5A5"/>
      </bottom>
      <diagonal/>
    </border>
    <border>
      <left style="medium">
        <color rgb="FF00B050"/>
      </left>
      <right/>
      <top style="medium">
        <color rgb="FF00B050"/>
      </top>
      <bottom/>
      <diagonal/>
    </border>
    <border>
      <left/>
      <right/>
      <top style="medium">
        <color rgb="FF00B050"/>
      </top>
      <bottom/>
      <diagonal/>
    </border>
    <border>
      <left style="medium">
        <color rgb="FF00B050"/>
      </left>
      <right/>
      <top/>
      <bottom/>
      <diagonal/>
    </border>
    <border>
      <left style="medium">
        <color rgb="FF00B050"/>
      </left>
      <right/>
      <top/>
      <bottom style="medium">
        <color rgb="FF00B050"/>
      </bottom>
      <diagonal/>
    </border>
    <border>
      <left/>
      <right/>
      <top/>
      <bottom style="medium">
        <color rgb="FF00B050"/>
      </bottom>
      <diagonal/>
    </border>
    <border>
      <left/>
      <right/>
      <top style="thin">
        <color rgb="FFA5A5A5"/>
      </top>
      <bottom/>
      <diagonal/>
    </border>
    <border>
      <left/>
      <right/>
      <top/>
      <bottom style="thin">
        <color rgb="FFA5A5A5"/>
      </bottom>
      <diagonal/>
    </border>
    <border>
      <left/>
      <right style="medium">
        <color rgb="FF00B050"/>
      </right>
      <top style="medium">
        <color rgb="FF00B050"/>
      </top>
      <bottom/>
      <diagonal/>
    </border>
    <border>
      <left/>
      <right style="medium">
        <color rgb="FF00B050"/>
      </right>
      <top/>
      <bottom/>
      <diagonal/>
    </border>
    <border>
      <left/>
      <right style="medium">
        <color rgb="FF00B050"/>
      </right>
      <top/>
      <bottom style="medium">
        <color rgb="FF00B050"/>
      </bottom>
      <diagonal/>
    </border>
    <border>
      <left/>
      <right style="thin">
        <color rgb="FFA5A5A5"/>
      </right>
      <top style="thin">
        <color rgb="FFA5A5A5"/>
      </top>
      <bottom style="thin">
        <color rgb="FFA5A5A5"/>
      </bottom>
      <diagonal/>
    </border>
    <border>
      <left/>
      <right style="thin">
        <color rgb="FFA5A5A5"/>
      </right>
      <top style="thin">
        <color rgb="FFA5A5A5"/>
      </top>
      <bottom/>
      <diagonal/>
    </border>
    <border>
      <left/>
      <right style="thin">
        <color rgb="FFA5A5A5"/>
      </right>
      <top/>
      <bottom/>
      <diagonal/>
    </border>
    <border>
      <left/>
      <right style="thin">
        <color rgb="FFA5A5A5"/>
      </right>
      <top/>
      <bottom style="thin">
        <color rgb="FFA5A5A5"/>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medium">
        <color rgb="FFA5A5A5"/>
      </bottom>
      <diagonal/>
    </border>
    <border>
      <left style="medium">
        <color rgb="FF1F4E78"/>
      </left>
      <right style="medium">
        <color rgb="FF1F4E78"/>
      </right>
      <top style="medium">
        <color rgb="FF1F4E78"/>
      </top>
      <bottom style="medium">
        <color rgb="FF1F4E78"/>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top/>
      <bottom style="thin">
        <color rgb="FFD9D9D9"/>
      </bottom>
      <diagonal/>
    </border>
    <border>
      <left/>
      <right style="thin">
        <color rgb="FFD9D9D9"/>
      </right>
      <top/>
      <bottom style="thin">
        <color rgb="FFD9D9D9"/>
      </bottom>
      <diagonal/>
    </border>
    <border>
      <left style="medium">
        <color rgb="FFA5A5A5"/>
      </left>
      <right/>
      <top style="medium">
        <color rgb="FFA5A5A5"/>
      </top>
      <bottom/>
      <diagonal/>
    </border>
    <border>
      <left/>
      <right/>
      <top style="medium">
        <color rgb="FFA5A5A5"/>
      </top>
      <bottom/>
      <diagonal/>
    </border>
    <border>
      <left style="medium">
        <color rgb="FFA5A5A5"/>
      </left>
      <right/>
      <top/>
      <bottom style="medium">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thin">
        <color theme="2" tint="-0.1"/>
      </left>
      <right style="thin">
        <color theme="2" tint="-0.1"/>
      </right>
      <top style="thin">
        <color theme="2" tint="-0.1"/>
      </top>
      <bottom style="thin">
        <color theme="2" tint="-0.1"/>
      </bottom>
      <diagonal/>
    </border>
    <border>
      <left style="medium">
        <color rgb="FF9C0006"/>
      </left>
      <right/>
      <top style="medium">
        <color rgb="FF9C0006"/>
      </top>
      <bottom style="medium">
        <color rgb="FF9C0006"/>
      </bottom>
      <diagonal/>
    </border>
    <border>
      <left/>
      <right/>
      <top style="medium">
        <color rgb="FF9C0006"/>
      </top>
      <bottom style="medium">
        <color rgb="FF9C0006"/>
      </bottom>
      <diagonal/>
    </border>
    <border>
      <left/>
      <right/>
      <top/>
      <bottom style="thin">
        <color theme="2" tint="-0.1"/>
      </bottom>
      <diagonal/>
    </border>
    <border>
      <left/>
      <right style="medium">
        <color rgb="FF9C0006"/>
      </right>
      <top style="medium">
        <color rgb="FF9C0006"/>
      </top>
      <bottom style="medium">
        <color rgb="FF9C0006"/>
      </bottom>
      <diagonal/>
    </border>
    <border>
      <left style="medium">
        <color rgb="FF006100"/>
      </left>
      <right/>
      <top style="medium">
        <color rgb="FF006100"/>
      </top>
      <bottom style="medium">
        <color rgb="FF006100"/>
      </bottom>
      <diagonal/>
    </border>
    <border>
      <left/>
      <right/>
      <top style="medium">
        <color rgb="FF006100"/>
      </top>
      <bottom style="medium">
        <color rgb="FF006100"/>
      </bottom>
      <diagonal/>
    </border>
    <border>
      <left/>
      <right style="medium">
        <color rgb="FF006100"/>
      </right>
      <top style="medium">
        <color rgb="FF006100"/>
      </top>
      <bottom style="medium">
        <color rgb="FF006100"/>
      </bottom>
      <diagonal/>
    </border>
    <border>
      <left style="medium">
        <color rgb="FF006100"/>
      </left>
      <right/>
      <top style="medium">
        <color rgb="FF006100"/>
      </top>
      <bottom/>
      <diagonal/>
    </border>
    <border>
      <left/>
      <right/>
      <top style="medium">
        <color rgb="FF006100"/>
      </top>
      <bottom/>
      <diagonal/>
    </border>
    <border>
      <left/>
      <right style="medium">
        <color rgb="FF006100"/>
      </right>
      <top style="medium">
        <color rgb="FF006100"/>
      </top>
      <bottom/>
      <diagonal/>
    </border>
    <border>
      <left style="medium">
        <color rgb="FF006100"/>
      </left>
      <right/>
      <top/>
      <bottom/>
      <diagonal/>
    </border>
    <border>
      <left/>
      <right style="medium">
        <color rgb="FF006100"/>
      </right>
      <top/>
      <bottom/>
      <diagonal/>
    </border>
    <border>
      <left style="medium">
        <color rgb="FF006100"/>
      </left>
      <right/>
      <top/>
      <bottom style="medium">
        <color rgb="FF006100"/>
      </bottom>
      <diagonal/>
    </border>
    <border>
      <left/>
      <right/>
      <top/>
      <bottom style="medium">
        <color rgb="FF006100"/>
      </bottom>
      <diagonal/>
    </border>
    <border>
      <left/>
      <right style="medium">
        <color rgb="FF006100"/>
      </right>
      <top/>
      <bottom style="medium">
        <color rgb="FF006100"/>
      </bottom>
      <diagonal/>
    </border>
    <border>
      <left style="medium">
        <color rgb="FFA5A5A5"/>
      </left>
      <right/>
      <top/>
      <bottom/>
      <diagonal/>
    </border>
    <border>
      <left/>
      <right style="medium">
        <color rgb="FFA5A5A5"/>
      </right>
      <top/>
      <bottom/>
      <diagonal/>
    </border>
    <border>
      <left style="medium">
        <color rgb="FF1F4E78"/>
      </left>
      <right/>
      <top style="medium">
        <color rgb="FF1F4E78"/>
      </top>
      <bottom/>
      <diagonal/>
    </border>
    <border>
      <left/>
      <right/>
      <top style="medium">
        <color rgb="FF1F4E78"/>
      </top>
      <bottom/>
      <diagonal/>
    </border>
    <border>
      <left/>
      <right style="medium">
        <color rgb="FF1F4E78"/>
      </right>
      <top style="medium">
        <color rgb="FF1F4E78"/>
      </top>
      <bottom/>
      <diagonal/>
    </border>
    <border>
      <left style="medium">
        <color rgb="FF1F4E78"/>
      </left>
      <right/>
      <top/>
      <bottom/>
      <diagonal/>
    </border>
    <border>
      <left/>
      <right style="medium">
        <color rgb="FF1F4E78"/>
      </right>
      <top/>
      <bottom/>
      <diagonal/>
    </border>
    <border>
      <left style="medium">
        <color rgb="FF1F4E78"/>
      </left>
      <right/>
      <top/>
      <bottom style="medium">
        <color rgb="FF1F4E78"/>
      </bottom>
      <diagonal/>
    </border>
    <border>
      <left/>
      <right/>
      <top/>
      <bottom style="medium">
        <color rgb="FF1F4E78"/>
      </bottom>
      <diagonal/>
    </border>
    <border>
      <left/>
      <right style="medium">
        <color rgb="FF1F4E78"/>
      </right>
      <top/>
      <bottom style="medium">
        <color rgb="FF1F4E78"/>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5" borderId="8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3" applyNumberFormat="0" applyFill="0" applyAlignment="0" applyProtection="0">
      <alignment vertical="center"/>
    </xf>
    <xf numFmtId="0" fontId="31" fillId="0" borderId="83" applyNumberFormat="0" applyFill="0" applyAlignment="0" applyProtection="0">
      <alignment vertical="center"/>
    </xf>
    <xf numFmtId="0" fontId="32" fillId="0" borderId="84" applyNumberFormat="0" applyFill="0" applyAlignment="0" applyProtection="0">
      <alignment vertical="center"/>
    </xf>
    <xf numFmtId="0" fontId="32" fillId="0" borderId="0" applyNumberFormat="0" applyFill="0" applyBorder="0" applyAlignment="0" applyProtection="0">
      <alignment vertical="center"/>
    </xf>
    <xf numFmtId="0" fontId="33" fillId="16" borderId="85" applyNumberFormat="0" applyAlignment="0" applyProtection="0">
      <alignment vertical="center"/>
    </xf>
    <xf numFmtId="0" fontId="34" fillId="17" borderId="86" applyNumberFormat="0" applyAlignment="0" applyProtection="0">
      <alignment vertical="center"/>
    </xf>
    <xf numFmtId="0" fontId="35" fillId="17" borderId="85" applyNumberFormat="0" applyAlignment="0" applyProtection="0">
      <alignment vertical="center"/>
    </xf>
    <xf numFmtId="0" fontId="36" fillId="18" borderId="87" applyNumberFormat="0" applyAlignment="0" applyProtection="0">
      <alignment vertical="center"/>
    </xf>
    <xf numFmtId="0" fontId="37" fillId="0" borderId="88" applyNumberFormat="0" applyFill="0" applyAlignment="0" applyProtection="0">
      <alignment vertical="center"/>
    </xf>
    <xf numFmtId="0" fontId="38" fillId="0" borderId="89" applyNumberFormat="0" applyFill="0" applyAlignment="0" applyProtection="0">
      <alignment vertical="center"/>
    </xf>
    <xf numFmtId="0" fontId="39" fillId="19" borderId="0" applyNumberFormat="0" applyBorder="0" applyAlignment="0" applyProtection="0">
      <alignment vertical="center"/>
    </xf>
    <xf numFmtId="0" fontId="40" fillId="13" borderId="0" applyNumberFormat="0" applyBorder="0" applyAlignment="0" applyProtection="0">
      <alignment vertical="center"/>
    </xf>
    <xf numFmtId="0" fontId="41" fillId="3" borderId="0" applyNumberFormat="0" applyBorder="0" applyAlignment="0" applyProtection="0">
      <alignment vertical="center"/>
    </xf>
    <xf numFmtId="0" fontId="42"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42" fillId="43" borderId="0" applyNumberFormat="0" applyBorder="0" applyAlignment="0" applyProtection="0">
      <alignment vertical="center"/>
    </xf>
  </cellStyleXfs>
  <cellXfs count="214">
    <xf numFmtId="0" fontId="0" fillId="0" borderId="0" xfId="0" applyProtection="1">
      <protection hidden="1"/>
    </xf>
    <xf numFmtId="0" fontId="1" fillId="2" borderId="0" xfId="0" applyNumberFormat="1" applyFont="1" applyFill="1" applyBorder="1" applyAlignment="1" applyProtection="1">
      <alignment vertical="center"/>
      <protection hidden="1"/>
    </xf>
    <xf numFmtId="0" fontId="2" fillId="2" borderId="0" xfId="0" applyNumberFormat="1" applyFont="1" applyFill="1" applyBorder="1" applyAlignment="1" applyProtection="1">
      <alignment horizontal="center" vertical="center"/>
      <protection hidden="1"/>
    </xf>
    <xf numFmtId="0" fontId="3" fillId="2" borderId="0" xfId="0" applyNumberFormat="1" applyFont="1" applyFill="1" applyBorder="1" applyAlignment="1" applyProtection="1">
      <alignment horizontal="center" vertical="center"/>
      <protection hidden="1"/>
    </xf>
    <xf numFmtId="0" fontId="4" fillId="2" borderId="0" xfId="0" applyNumberFormat="1" applyFont="1" applyFill="1" applyBorder="1" applyAlignment="1" applyProtection="1">
      <alignment horizontal="center" vertical="center"/>
      <protection hidden="1"/>
    </xf>
    <xf numFmtId="0" fontId="5" fillId="3" borderId="1" xfId="0" applyNumberFormat="1" applyFont="1" applyFill="1" applyBorder="1" applyAlignment="1" applyProtection="1">
      <alignment horizontal="center" vertical="center"/>
      <protection hidden="1"/>
    </xf>
    <xf numFmtId="0" fontId="5" fillId="3" borderId="2"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wrapText="1"/>
      <protection hidden="1"/>
    </xf>
    <xf numFmtId="0" fontId="7" fillId="0" borderId="4" xfId="0" applyNumberFormat="1" applyFont="1" applyFill="1" applyBorder="1" applyAlignment="1" applyProtection="1">
      <alignment vertical="center"/>
      <protection hidden="1"/>
    </xf>
    <xf numFmtId="10" fontId="8" fillId="5" borderId="5" xfId="0" applyNumberFormat="1" applyFont="1" applyFill="1" applyBorder="1" applyAlignment="1" applyProtection="1">
      <alignment horizontal="right" vertical="center"/>
      <protection hidden="1"/>
    </xf>
    <xf numFmtId="0" fontId="1" fillId="0" borderId="4" xfId="0" applyNumberFormat="1" applyFont="1" applyFill="1" applyBorder="1" applyAlignment="1" applyProtection="1">
      <alignment vertical="center"/>
      <protection hidden="1"/>
    </xf>
    <xf numFmtId="0" fontId="8" fillId="5" borderId="5" xfId="0" applyNumberFormat="1" applyFont="1" applyFill="1" applyBorder="1" applyAlignment="1" applyProtection="1">
      <alignment horizontal="right" vertical="center"/>
      <protection hidden="1"/>
    </xf>
    <xf numFmtId="176" fontId="8" fillId="5" borderId="5" xfId="0" applyNumberFormat="1" applyFont="1" applyFill="1" applyBorder="1" applyAlignment="1" applyProtection="1">
      <alignment horizontal="right" vertical="center"/>
      <protection hidden="1"/>
    </xf>
    <xf numFmtId="3" fontId="8" fillId="5" borderId="5" xfId="0" applyNumberFormat="1" applyFont="1" applyFill="1" applyBorder="1" applyAlignment="1" applyProtection="1">
      <alignment horizontal="right" vertical="center"/>
      <protection hidden="1"/>
    </xf>
    <xf numFmtId="0" fontId="1" fillId="0" borderId="0" xfId="0" applyNumberFormat="1" applyFont="1" applyFill="1" applyBorder="1" applyAlignment="1" applyProtection="1">
      <alignment vertical="center"/>
      <protection hidden="1"/>
    </xf>
    <xf numFmtId="0" fontId="9" fillId="4" borderId="6" xfId="0" applyNumberFormat="1" applyFont="1" applyFill="1" applyBorder="1" applyAlignment="1" applyProtection="1">
      <alignment horizontal="left" vertical="center"/>
      <protection hidden="1"/>
    </xf>
    <xf numFmtId="0" fontId="9" fillId="4" borderId="7" xfId="0" applyNumberFormat="1" applyFont="1" applyFill="1" applyBorder="1" applyAlignment="1" applyProtection="1">
      <alignment horizontal="left" vertical="center"/>
      <protection hidden="1"/>
    </xf>
    <xf numFmtId="0" fontId="9" fillId="4" borderId="8" xfId="0" applyNumberFormat="1" applyFont="1" applyFill="1" applyBorder="1" applyAlignment="1" applyProtection="1">
      <alignment horizontal="left" vertical="center"/>
      <protection hidden="1"/>
    </xf>
    <xf numFmtId="0" fontId="1" fillId="0" borderId="4" xfId="0" applyNumberFormat="1" applyFont="1" applyFill="1" applyBorder="1" applyAlignment="1" applyProtection="1">
      <alignment vertical="center" wrapText="1"/>
      <protection hidden="1"/>
    </xf>
    <xf numFmtId="177" fontId="1" fillId="0" borderId="4" xfId="0" applyNumberFormat="1" applyFont="1" applyFill="1" applyBorder="1" applyAlignment="1" applyProtection="1">
      <alignment vertical="center" wrapText="1"/>
      <protection hidden="1"/>
    </xf>
    <xf numFmtId="0" fontId="10" fillId="2" borderId="0" xfId="0" applyNumberFormat="1" applyFont="1" applyFill="1" applyBorder="1" applyAlignment="1" applyProtection="1">
      <alignment horizontal="center" vertical="center" wrapText="1"/>
      <protection hidden="1"/>
    </xf>
    <xf numFmtId="0" fontId="11" fillId="2" borderId="0" xfId="0" applyNumberFormat="1" applyFont="1" applyFill="1" applyBorder="1" applyAlignment="1" applyProtection="1">
      <alignment horizontal="center" vertical="center" wrapText="1"/>
      <protection hidden="1"/>
    </xf>
    <xf numFmtId="0" fontId="12" fillId="2" borderId="0"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protection hidden="1"/>
    </xf>
    <xf numFmtId="0" fontId="9" fillId="4" borderId="9" xfId="0" applyNumberFormat="1" applyFont="1" applyFill="1" applyBorder="1" applyAlignment="1" applyProtection="1">
      <alignment horizontal="left" vertical="center"/>
      <protection hidden="1"/>
    </xf>
    <xf numFmtId="0" fontId="9" fillId="4" borderId="10" xfId="0" applyNumberFormat="1" applyFont="1" applyFill="1" applyBorder="1" applyAlignment="1" applyProtection="1">
      <alignment horizontal="left" vertical="center"/>
      <protection hidden="1"/>
    </xf>
    <xf numFmtId="0" fontId="13" fillId="6" borderId="11" xfId="0" applyNumberFormat="1" applyFont="1" applyFill="1" applyBorder="1" applyAlignment="1" applyProtection="1">
      <alignment horizontal="center" vertical="center" wrapText="1"/>
      <protection hidden="1"/>
    </xf>
    <xf numFmtId="0" fontId="13" fillId="6" borderId="12" xfId="0" applyNumberFormat="1" applyFont="1" applyFill="1" applyBorder="1" applyAlignment="1" applyProtection="1">
      <alignment horizontal="center" vertical="center" wrapText="1"/>
      <protection hidden="1"/>
    </xf>
    <xf numFmtId="0" fontId="13" fillId="6" borderId="13"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wrapText="1"/>
      <protection hidden="1"/>
    </xf>
    <xf numFmtId="0" fontId="13" fillId="6" borderId="14" xfId="0" applyNumberFormat="1" applyFont="1" applyFill="1" applyBorder="1" applyAlignment="1" applyProtection="1">
      <alignment horizontal="center" vertical="center" wrapText="1"/>
      <protection hidden="1"/>
    </xf>
    <xf numFmtId="0" fontId="13" fillId="6" borderId="15" xfId="0" applyNumberFormat="1" applyFont="1" applyFill="1" applyBorder="1" applyAlignment="1" applyProtection="1">
      <alignment horizontal="center" vertical="center" wrapText="1"/>
      <protection hidden="1"/>
    </xf>
    <xf numFmtId="0" fontId="9" fillId="4" borderId="16" xfId="0" applyNumberFormat="1" applyFont="1" applyFill="1" applyBorder="1" applyAlignment="1" applyProtection="1">
      <alignment horizontal="center" vertical="center" wrapText="1"/>
      <protection hidden="1"/>
    </xf>
    <xf numFmtId="0" fontId="9" fillId="4" borderId="17" xfId="0" applyNumberFormat="1" applyFont="1" applyFill="1" applyBorder="1" applyAlignment="1" applyProtection="1">
      <alignment horizontal="center" vertical="center" wrapText="1"/>
      <protection hidden="1"/>
    </xf>
    <xf numFmtId="0" fontId="9" fillId="4" borderId="18" xfId="0" applyNumberFormat="1" applyFont="1" applyFill="1" applyBorder="1" applyAlignment="1" applyProtection="1">
      <alignment horizontal="center" vertical="center" wrapText="1"/>
      <protection hidden="1"/>
    </xf>
    <xf numFmtId="0" fontId="9" fillId="4" borderId="0" xfId="0" applyNumberFormat="1" applyFont="1" applyFill="1" applyBorder="1" applyAlignment="1" applyProtection="1">
      <alignment horizontal="center" vertical="center" wrapText="1"/>
      <protection hidden="1"/>
    </xf>
    <xf numFmtId="0" fontId="9" fillId="4" borderId="19" xfId="0" applyNumberFormat="1" applyFont="1" applyFill="1" applyBorder="1" applyAlignment="1" applyProtection="1">
      <alignment horizontal="center" vertical="center" wrapText="1"/>
      <protection hidden="1"/>
    </xf>
    <xf numFmtId="0" fontId="9" fillId="4" borderId="20" xfId="0" applyNumberFormat="1" applyFont="1" applyFill="1" applyBorder="1" applyAlignment="1" applyProtection="1">
      <alignment horizontal="center" vertical="center" wrapText="1"/>
      <protection hidden="1"/>
    </xf>
    <xf numFmtId="0" fontId="6" fillId="7" borderId="3" xfId="0" applyNumberFormat="1" applyFont="1" applyFill="1" applyBorder="1" applyAlignment="1" applyProtection="1">
      <alignment horizontal="center" vertical="center" wrapText="1"/>
      <protection hidden="1"/>
    </xf>
    <xf numFmtId="0" fontId="14" fillId="5" borderId="4" xfId="0" applyNumberFormat="1" applyFont="1" applyFill="1" applyBorder="1" applyAlignment="1" applyProtection="1">
      <alignment horizontal="center" vertical="center"/>
      <protection hidden="1"/>
    </xf>
    <xf numFmtId="0" fontId="13" fillId="6" borderId="21" xfId="0" applyNumberFormat="1" applyFont="1" applyFill="1" applyBorder="1" applyAlignment="1" applyProtection="1">
      <alignment vertical="center" wrapText="1"/>
      <protection hidden="1"/>
    </xf>
    <xf numFmtId="0" fontId="13" fillId="6" borderId="0" xfId="0" applyNumberFormat="1" applyFont="1" applyFill="1" applyBorder="1" applyAlignment="1" applyProtection="1">
      <alignment vertical="center" wrapText="1"/>
      <protection hidden="1"/>
    </xf>
    <xf numFmtId="0" fontId="13" fillId="6" borderId="22" xfId="0" applyNumberFormat="1" applyFont="1" applyFill="1" applyBorder="1" applyAlignment="1" applyProtection="1">
      <alignment vertical="center" wrapText="1"/>
      <protection hidden="1"/>
    </xf>
    <xf numFmtId="0" fontId="9" fillId="4" borderId="23" xfId="0" applyNumberFormat="1" applyFont="1" applyFill="1" applyBorder="1" applyAlignment="1" applyProtection="1">
      <alignment horizontal="center" vertical="center" wrapText="1"/>
      <protection hidden="1"/>
    </xf>
    <xf numFmtId="0" fontId="9" fillId="4" borderId="24" xfId="0" applyNumberFormat="1" applyFont="1" applyFill="1" applyBorder="1" applyAlignment="1" applyProtection="1">
      <alignment horizontal="center" vertical="center" wrapText="1"/>
      <protection hidden="1"/>
    </xf>
    <xf numFmtId="0" fontId="9" fillId="4" borderId="25" xfId="0" applyNumberFormat="1" applyFont="1" applyFill="1" applyBorder="1" applyAlignment="1" applyProtection="1">
      <alignment horizontal="center" vertical="center" wrapText="1"/>
      <protection hidden="1"/>
    </xf>
    <xf numFmtId="0" fontId="5" fillId="3" borderId="26" xfId="0" applyNumberFormat="1" applyFont="1" applyFill="1" applyBorder="1" applyAlignment="1" applyProtection="1">
      <alignment horizontal="center" vertical="center"/>
      <protection hidden="1"/>
    </xf>
    <xf numFmtId="0" fontId="13" fillId="6" borderId="27" xfId="0" applyNumberFormat="1" applyFont="1" applyFill="1" applyBorder="1" applyAlignment="1" applyProtection="1">
      <alignment vertical="center" wrapText="1"/>
      <protection hidden="1"/>
    </xf>
    <xf numFmtId="0" fontId="13" fillId="6" borderId="28" xfId="0" applyNumberFormat="1" applyFont="1" applyFill="1" applyBorder="1" applyAlignment="1" applyProtection="1">
      <alignment vertical="center" wrapText="1"/>
      <protection hidden="1"/>
    </xf>
    <xf numFmtId="0" fontId="13" fillId="6" borderId="29" xfId="0" applyNumberFormat="1" applyFont="1" applyFill="1" applyBorder="1" applyAlignment="1" applyProtection="1">
      <alignment vertical="center" wrapText="1"/>
      <protection hidden="1"/>
    </xf>
    <xf numFmtId="0" fontId="0" fillId="0" borderId="0" xfId="0" applyAlignment="1" applyProtection="1">
      <protection hidden="1"/>
    </xf>
    <xf numFmtId="0" fontId="13" fillId="0" borderId="30" xfId="0" applyNumberFormat="1" applyFont="1" applyFill="1" applyBorder="1" applyAlignment="1" applyProtection="1">
      <alignment vertical="center" wrapText="1"/>
      <protection hidden="1"/>
    </xf>
    <xf numFmtId="0" fontId="13" fillId="0" borderId="31" xfId="0" applyNumberFormat="1" applyFont="1" applyFill="1" applyBorder="1" applyAlignment="1" applyProtection="1">
      <alignment vertical="center" wrapText="1"/>
      <protection hidden="1"/>
    </xf>
    <xf numFmtId="0" fontId="15" fillId="0" borderId="4" xfId="0" applyNumberFormat="1" applyFont="1" applyFill="1" applyBorder="1" applyAlignment="1" applyProtection="1">
      <alignment vertical="center"/>
      <protection hidden="1"/>
    </xf>
    <xf numFmtId="0" fontId="16" fillId="8" borderId="4" xfId="0" applyNumberFormat="1" applyFont="1" applyFill="1" applyBorder="1" applyAlignment="1" applyProtection="1">
      <alignment horizontal="center" vertical="center"/>
      <protection locked="0" hidden="1"/>
    </xf>
    <xf numFmtId="0" fontId="13" fillId="0" borderId="32" xfId="0" applyNumberFormat="1" applyFont="1" applyFill="1" applyBorder="1" applyAlignment="1" applyProtection="1">
      <alignment vertical="center" wrapText="1"/>
      <protection hidden="1"/>
    </xf>
    <xf numFmtId="0" fontId="13" fillId="0" borderId="0" xfId="0" applyNumberFormat="1" applyFont="1" applyFill="1" applyBorder="1" applyAlignment="1" applyProtection="1">
      <alignment vertical="center" wrapText="1"/>
      <protection hidden="1"/>
    </xf>
    <xf numFmtId="0" fontId="7" fillId="6" borderId="4" xfId="0" applyNumberFormat="1" applyFont="1" applyFill="1" applyBorder="1" applyAlignment="1" applyProtection="1">
      <alignment vertical="center"/>
      <protection hidden="1"/>
    </xf>
    <xf numFmtId="3" fontId="14" fillId="8" borderId="4" xfId="0" applyNumberFormat="1" applyFont="1" applyFill="1" applyBorder="1" applyAlignment="1" applyProtection="1">
      <alignment horizontal="center" vertical="center"/>
      <protection locked="0" hidden="1"/>
    </xf>
    <xf numFmtId="0" fontId="9" fillId="4" borderId="33" xfId="0" applyNumberFormat="1" applyFont="1" applyFill="1" applyBorder="1" applyAlignment="1" applyProtection="1">
      <alignment horizontal="left" vertical="center"/>
      <protection hidden="1"/>
    </xf>
    <xf numFmtId="0" fontId="6" fillId="4" borderId="0" xfId="0" applyNumberFormat="1" applyFont="1" applyFill="1" applyBorder="1" applyAlignment="1" applyProtection="1">
      <alignment horizontal="center" vertical="center"/>
      <protection hidden="1"/>
    </xf>
    <xf numFmtId="178" fontId="17" fillId="8" borderId="5" xfId="0" applyNumberFormat="1" applyFont="1" applyFill="1" applyBorder="1" applyAlignment="1" applyProtection="1">
      <alignment horizontal="center" vertical="center"/>
      <protection locked="0" hidden="1"/>
    </xf>
    <xf numFmtId="0" fontId="18" fillId="7" borderId="34" xfId="0" applyNumberFormat="1" applyFont="1" applyFill="1" applyBorder="1" applyAlignment="1" applyProtection="1">
      <alignment horizontal="center" vertical="center" wrapText="1"/>
      <protection locked="0" hidden="1"/>
    </xf>
    <xf numFmtId="1" fontId="17" fillId="8" borderId="5" xfId="0" applyNumberFormat="1" applyFont="1" applyFill="1" applyBorder="1" applyAlignment="1" applyProtection="1">
      <alignment horizontal="center" vertical="center"/>
      <protection locked="0" hidden="1"/>
    </xf>
    <xf numFmtId="0" fontId="6" fillId="7" borderId="0" xfId="0" applyNumberFormat="1" applyFont="1" applyFill="1" applyBorder="1" applyAlignment="1" applyProtection="1">
      <alignment horizontal="center" vertical="center"/>
      <protection hidden="1"/>
    </xf>
    <xf numFmtId="4" fontId="17" fillId="8" borderId="5" xfId="0" applyNumberFormat="1" applyFont="1" applyFill="1" applyBorder="1" applyAlignment="1" applyProtection="1">
      <alignment horizontal="center" vertical="center"/>
      <protection locked="0" hidden="1"/>
    </xf>
    <xf numFmtId="3" fontId="14" fillId="5" borderId="4" xfId="0" applyNumberFormat="1" applyFont="1" applyFill="1" applyBorder="1" applyAlignment="1" applyProtection="1">
      <alignment horizontal="center" vertical="center"/>
      <protection hidden="1"/>
    </xf>
    <xf numFmtId="10" fontId="14" fillId="5" borderId="4" xfId="0" applyNumberFormat="1" applyFont="1" applyFill="1" applyBorder="1" applyAlignment="1" applyProtection="1">
      <alignment horizontal="center" vertical="center"/>
      <protection hidden="1"/>
    </xf>
    <xf numFmtId="0" fontId="6" fillId="9" borderId="0" xfId="0" applyNumberFormat="1" applyFont="1" applyFill="1" applyBorder="1" applyAlignment="1" applyProtection="1">
      <alignment horizontal="center" vertical="center"/>
      <protection hidden="1"/>
    </xf>
    <xf numFmtId="4" fontId="14" fillId="6" borderId="4" xfId="0" applyNumberFormat="1" applyFont="1" applyFill="1" applyBorder="1" applyAlignment="1" applyProtection="1">
      <alignment horizontal="center" vertical="center"/>
      <protection hidden="1"/>
    </xf>
    <xf numFmtId="4" fontId="14" fillId="5" borderId="4" xfId="0" applyNumberFormat="1" applyFont="1" applyFill="1" applyBorder="1" applyAlignment="1" applyProtection="1">
      <alignment horizontal="center" vertical="center"/>
      <protection hidden="1"/>
    </xf>
    <xf numFmtId="0" fontId="6" fillId="10" borderId="0" xfId="0" applyNumberFormat="1" applyFont="1" applyFill="1" applyBorder="1" applyAlignment="1" applyProtection="1">
      <alignment horizontal="center" vertical="center"/>
      <protection hidden="1"/>
    </xf>
    <xf numFmtId="0" fontId="14" fillId="6" borderId="4" xfId="0" applyNumberFormat="1" applyFont="1" applyFill="1" applyBorder="1" applyAlignment="1" applyProtection="1">
      <alignment horizontal="center" vertical="center"/>
      <protection hidden="1"/>
    </xf>
    <xf numFmtId="0" fontId="13" fillId="6" borderId="30" xfId="0" applyNumberFormat="1" applyFont="1" applyFill="1" applyBorder="1" applyAlignment="1" applyProtection="1">
      <alignment vertical="center" wrapText="1"/>
      <protection hidden="1"/>
    </xf>
    <xf numFmtId="0" fontId="13" fillId="6" borderId="32" xfId="0" applyNumberFormat="1" applyFont="1" applyFill="1" applyBorder="1" applyAlignment="1" applyProtection="1">
      <alignment vertical="center" wrapText="1"/>
      <protection hidden="1"/>
    </xf>
    <xf numFmtId="0" fontId="13" fillId="6" borderId="35" xfId="0" applyNumberFormat="1" applyFont="1" applyFill="1" applyBorder="1" applyAlignment="1" applyProtection="1">
      <alignment vertical="center" wrapText="1"/>
      <protection hidden="1"/>
    </xf>
    <xf numFmtId="1" fontId="17" fillId="8" borderId="5" xfId="0" applyNumberFormat="1" applyFont="1" applyFill="1" applyBorder="1" applyAlignment="1" applyProtection="1">
      <alignment horizontal="center" vertical="center"/>
      <protection hidden="1"/>
    </xf>
    <xf numFmtId="0" fontId="13" fillId="6" borderId="31" xfId="0" applyNumberFormat="1" applyFont="1" applyFill="1" applyBorder="1" applyAlignment="1" applyProtection="1">
      <alignment vertical="center" wrapText="1"/>
      <protection hidden="1"/>
    </xf>
    <xf numFmtId="0" fontId="13" fillId="6" borderId="36" xfId="0" applyNumberFormat="1" applyFont="1" applyFill="1" applyBorder="1" applyAlignment="1" applyProtection="1">
      <alignment vertical="center" wrapText="1"/>
      <protection hidden="1"/>
    </xf>
    <xf numFmtId="0" fontId="13" fillId="6" borderId="37" xfId="0" applyNumberFormat="1" applyFont="1" applyFill="1" applyBorder="1" applyAlignment="1" applyProtection="1">
      <alignment vertical="center" wrapText="1"/>
      <protection hidden="1"/>
    </xf>
    <xf numFmtId="0" fontId="13" fillId="6" borderId="38" xfId="0" applyNumberFormat="1" applyFont="1" applyFill="1" applyBorder="1" applyAlignment="1" applyProtection="1">
      <alignment vertical="center" wrapText="1"/>
      <protection hidden="1"/>
    </xf>
    <xf numFmtId="0" fontId="13" fillId="6" borderId="39" xfId="0" applyNumberFormat="1" applyFont="1" applyFill="1" applyBorder="1" applyAlignment="1" applyProtection="1">
      <alignment vertical="center" wrapText="1"/>
      <protection hidden="1"/>
    </xf>
    <xf numFmtId="10" fontId="14" fillId="6" borderId="4" xfId="0" applyNumberFormat="1" applyFont="1" applyFill="1" applyBorder="1" applyAlignment="1" applyProtection="1">
      <alignment horizontal="center" vertical="center"/>
      <protection hidden="1"/>
    </xf>
    <xf numFmtId="0" fontId="19" fillId="11" borderId="4" xfId="0" applyNumberFormat="1" applyFont="1" applyFill="1" applyBorder="1" applyAlignment="1" applyProtection="1">
      <alignment vertical="center"/>
      <protection hidden="1"/>
    </xf>
    <xf numFmtId="0" fontId="20" fillId="11" borderId="4" xfId="0" applyNumberFormat="1" applyFont="1" applyFill="1" applyBorder="1" applyAlignment="1" applyProtection="1">
      <alignment horizontal="center" vertical="center"/>
      <protection hidden="1"/>
    </xf>
    <xf numFmtId="0" fontId="18" fillId="12" borderId="0" xfId="0" applyNumberFormat="1" applyFont="1" applyFill="1" applyBorder="1" applyAlignment="1" applyProtection="1">
      <alignment horizontal="center" vertical="center"/>
      <protection hidden="1"/>
    </xf>
    <xf numFmtId="1" fontId="14" fillId="5" borderId="4" xfId="0" applyNumberFormat="1" applyFont="1" applyFill="1" applyBorder="1" applyAlignment="1" applyProtection="1">
      <alignment horizontal="center" vertical="center"/>
      <protection hidden="1"/>
    </xf>
    <xf numFmtId="179" fontId="14" fillId="5" borderId="4"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protection hidden="1"/>
    </xf>
    <xf numFmtId="0" fontId="6" fillId="12" borderId="3" xfId="0" applyNumberFormat="1" applyFont="1" applyFill="1" applyBorder="1" applyAlignment="1" applyProtection="1">
      <alignment horizontal="center" vertical="center" wrapText="1"/>
      <protection hidden="1"/>
    </xf>
    <xf numFmtId="1" fontId="1" fillId="13" borderId="4" xfId="0" applyNumberFormat="1" applyFont="1" applyFill="1" applyBorder="1" applyAlignment="1" applyProtection="1">
      <alignment vertical="center"/>
      <protection hidden="1"/>
    </xf>
    <xf numFmtId="0" fontId="5" fillId="3" borderId="40" xfId="0" applyNumberFormat="1" applyFont="1" applyFill="1" applyBorder="1" applyAlignment="1" applyProtection="1">
      <alignment horizontal="center" vertical="center" wrapText="1"/>
      <protection hidden="1"/>
    </xf>
    <xf numFmtId="0" fontId="5" fillId="3" borderId="41" xfId="0" applyNumberFormat="1" applyFont="1" applyFill="1" applyBorder="1" applyAlignment="1" applyProtection="1">
      <alignment horizontal="center" vertical="center" wrapText="1"/>
      <protection hidden="1"/>
    </xf>
    <xf numFmtId="0" fontId="5" fillId="3" borderId="42" xfId="0" applyNumberFormat="1" applyFont="1" applyFill="1" applyBorder="1" applyAlignment="1" applyProtection="1">
      <alignment horizontal="center" vertical="center" wrapText="1"/>
      <protection hidden="1"/>
    </xf>
    <xf numFmtId="0" fontId="5" fillId="3" borderId="33" xfId="0" applyNumberFormat="1" applyFont="1" applyFill="1" applyBorder="1" applyAlignment="1" applyProtection="1">
      <alignment horizontal="center" vertical="center" wrapText="1"/>
      <protection hidden="1"/>
    </xf>
    <xf numFmtId="177" fontId="14" fillId="5" borderId="4" xfId="0" applyNumberFormat="1" applyFont="1" applyFill="1" applyBorder="1" applyAlignment="1" applyProtection="1">
      <alignment horizontal="center" vertical="center"/>
      <protection hidden="1"/>
    </xf>
    <xf numFmtId="178" fontId="14" fillId="5" borderId="4"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protection hidden="1"/>
    </xf>
    <xf numFmtId="0" fontId="13" fillId="6" borderId="4" xfId="0" applyNumberFormat="1" applyFont="1" applyFill="1" applyBorder="1" applyAlignment="1" applyProtection="1">
      <alignment vertical="center" wrapText="1"/>
      <protection hidden="1"/>
    </xf>
    <xf numFmtId="4" fontId="1" fillId="13" borderId="4" xfId="0" applyNumberFormat="1" applyFont="1" applyFill="1" applyBorder="1" applyAlignment="1" applyProtection="1">
      <alignment vertical="center"/>
      <protection hidden="1"/>
    </xf>
    <xf numFmtId="0" fontId="1" fillId="13" borderId="4" xfId="0" applyNumberFormat="1" applyFont="1" applyFill="1" applyBorder="1" applyAlignment="1" applyProtection="1">
      <alignment vertical="center" wrapText="1"/>
      <protection hidden="1"/>
    </xf>
    <xf numFmtId="0" fontId="5" fillId="3" borderId="1" xfId="0" applyNumberFormat="1" applyFont="1" applyFill="1" applyBorder="1" applyAlignment="1" applyProtection="1">
      <alignment horizontal="center" vertical="center" wrapText="1"/>
      <protection hidden="1"/>
    </xf>
    <xf numFmtId="0" fontId="5" fillId="3" borderId="2" xfId="0" applyNumberFormat="1" applyFont="1" applyFill="1" applyBorder="1" applyAlignment="1" applyProtection="1">
      <alignment horizontal="center" vertical="center" wrapText="1"/>
      <protection hidden="1"/>
    </xf>
    <xf numFmtId="0" fontId="18" fillId="9" borderId="0" xfId="0" applyNumberFormat="1" applyFont="1" applyFill="1" applyBorder="1" applyAlignment="1" applyProtection="1">
      <alignment horizontal="center" vertical="center"/>
      <protection hidden="1"/>
    </xf>
    <xf numFmtId="0" fontId="13" fillId="6" borderId="43" xfId="0" applyNumberFormat="1" applyFont="1" applyFill="1" applyBorder="1" applyAlignment="1" applyProtection="1">
      <alignment vertical="center" wrapText="1"/>
      <protection hidden="1"/>
    </xf>
    <xf numFmtId="0" fontId="13" fillId="6" borderId="44" xfId="0" applyNumberFormat="1" applyFont="1" applyFill="1" applyBorder="1" applyAlignment="1" applyProtection="1">
      <alignment vertical="center" wrapText="1"/>
      <protection hidden="1"/>
    </xf>
    <xf numFmtId="0" fontId="13" fillId="6" borderId="45" xfId="0" applyNumberFormat="1" applyFont="1" applyFill="1" applyBorder="1" applyAlignment="1" applyProtection="1">
      <alignment vertical="center" wrapText="1"/>
      <protection hidden="1"/>
    </xf>
    <xf numFmtId="0" fontId="13" fillId="5" borderId="43" xfId="0" applyNumberFormat="1" applyFont="1" applyFill="1" applyBorder="1" applyAlignment="1" applyProtection="1">
      <alignment vertical="center" wrapText="1"/>
      <protection hidden="1"/>
    </xf>
    <xf numFmtId="0" fontId="13" fillId="5" borderId="21" xfId="0" applyNumberFormat="1" applyFont="1" applyFill="1" applyBorder="1" applyAlignment="1" applyProtection="1">
      <alignment vertical="center" wrapText="1"/>
      <protection hidden="1"/>
    </xf>
    <xf numFmtId="0" fontId="13" fillId="5" borderId="44" xfId="0" applyNumberFormat="1" applyFont="1" applyFill="1" applyBorder="1" applyAlignment="1" applyProtection="1">
      <alignment vertical="center" wrapText="1"/>
      <protection hidden="1"/>
    </xf>
    <xf numFmtId="0" fontId="13" fillId="5" borderId="0" xfId="0" applyNumberFormat="1" applyFont="1" applyFill="1" applyBorder="1" applyAlignment="1" applyProtection="1">
      <alignment vertical="center" wrapText="1"/>
      <protection hidden="1"/>
    </xf>
    <xf numFmtId="0" fontId="13" fillId="5" borderId="45" xfId="0" applyNumberFormat="1" applyFont="1" applyFill="1" applyBorder="1" applyAlignment="1" applyProtection="1">
      <alignment vertical="center" wrapText="1"/>
      <protection hidden="1"/>
    </xf>
    <xf numFmtId="0" fontId="13" fillId="5" borderId="22" xfId="0" applyNumberFormat="1" applyFont="1" applyFill="1" applyBorder="1" applyAlignment="1" applyProtection="1">
      <alignment vertical="center" wrapText="1"/>
      <protection hidden="1"/>
    </xf>
    <xf numFmtId="0" fontId="6" fillId="9" borderId="3" xfId="0" applyNumberFormat="1" applyFont="1" applyFill="1" applyBorder="1" applyAlignment="1" applyProtection="1">
      <alignment horizontal="center" vertical="center" wrapText="1"/>
      <protection hidden="1"/>
    </xf>
    <xf numFmtId="1" fontId="1" fillId="14" borderId="4" xfId="0" applyNumberFormat="1" applyFont="1" applyFill="1" applyBorder="1" applyAlignment="1" applyProtection="1">
      <alignment vertical="center"/>
      <protection hidden="1"/>
    </xf>
    <xf numFmtId="0" fontId="5" fillId="3" borderId="26" xfId="0" applyNumberFormat="1" applyFont="1" applyFill="1" applyBorder="1" applyAlignment="1" applyProtection="1">
      <alignment horizontal="center" vertical="center" wrapText="1"/>
      <protection hidden="1"/>
    </xf>
    <xf numFmtId="0" fontId="13" fillId="5" borderId="27" xfId="0" applyNumberFormat="1" applyFont="1" applyFill="1" applyBorder="1" applyAlignment="1" applyProtection="1">
      <alignment vertical="center" wrapText="1"/>
      <protection hidden="1"/>
    </xf>
    <xf numFmtId="0" fontId="13" fillId="5" borderId="28" xfId="0" applyNumberFormat="1" applyFont="1" applyFill="1" applyBorder="1" applyAlignment="1" applyProtection="1">
      <alignment vertical="center" wrapText="1"/>
      <protection hidden="1"/>
    </xf>
    <xf numFmtId="0" fontId="13" fillId="5" borderId="29" xfId="0" applyNumberFormat="1" applyFont="1" applyFill="1" applyBorder="1" applyAlignment="1" applyProtection="1">
      <alignment vertical="center" wrapText="1"/>
      <protection hidden="1"/>
    </xf>
    <xf numFmtId="4" fontId="1" fillId="14"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wrapText="1"/>
      <protection hidden="1"/>
    </xf>
    <xf numFmtId="0" fontId="5" fillId="3" borderId="46" xfId="0" applyNumberFormat="1" applyFont="1" applyFill="1" applyBorder="1" applyAlignment="1" applyProtection="1">
      <alignment horizontal="center" vertical="center" wrapText="1"/>
      <protection hidden="1"/>
    </xf>
    <xf numFmtId="0" fontId="5" fillId="3" borderId="47" xfId="0" applyNumberFormat="1" applyFont="1" applyFill="1" applyBorder="1" applyAlignment="1" applyProtection="1">
      <alignment horizontal="center" vertical="center" wrapText="1"/>
      <protection hidden="1"/>
    </xf>
    <xf numFmtId="0" fontId="1" fillId="2" borderId="0" xfId="0" applyNumberFormat="1" applyFont="1" applyFill="1" applyAlignment="1" applyProtection="1">
      <alignment horizontal="center" vertical="center"/>
      <protection hidden="1"/>
    </xf>
    <xf numFmtId="0" fontId="5" fillId="3" borderId="45" xfId="0" applyNumberFormat="1" applyFont="1" applyFill="1" applyBorder="1" applyAlignment="1" applyProtection="1">
      <alignment horizontal="center" vertical="center"/>
      <protection hidden="1"/>
    </xf>
    <xf numFmtId="0" fontId="5" fillId="3" borderId="22" xfId="0" applyNumberFormat="1" applyFont="1" applyFill="1" applyBorder="1" applyAlignment="1" applyProtection="1">
      <alignment horizontal="center" vertical="center"/>
      <protection hidden="1"/>
    </xf>
    <xf numFmtId="0" fontId="0" fillId="0" borderId="48" xfId="0" applyBorder="1" applyProtection="1">
      <protection hidden="1"/>
    </xf>
    <xf numFmtId="0" fontId="7" fillId="6" borderId="48" xfId="0" applyNumberFormat="1" applyFont="1" applyFill="1" applyBorder="1" applyAlignment="1" applyProtection="1">
      <alignment vertical="center"/>
      <protection hidden="1"/>
    </xf>
    <xf numFmtId="0" fontId="7" fillId="6" borderId="4" xfId="0" applyNumberFormat="1" applyFont="1" applyFill="1" applyBorder="1" applyAlignment="1" applyProtection="1">
      <alignment horizontal="left" vertical="center"/>
      <protection hidden="1"/>
    </xf>
    <xf numFmtId="0" fontId="18" fillId="12" borderId="49" xfId="0" applyNumberFormat="1" applyFont="1" applyFill="1" applyBorder="1" applyAlignment="1" applyProtection="1">
      <alignment horizontal="center" vertical="center"/>
      <protection hidden="1"/>
    </xf>
    <xf numFmtId="0" fontId="18" fillId="12" borderId="50" xfId="0" applyNumberFormat="1" applyFont="1" applyFill="1" applyBorder="1" applyAlignment="1" applyProtection="1">
      <alignment horizontal="center" vertical="center"/>
      <protection hidden="1"/>
    </xf>
    <xf numFmtId="1" fontId="14" fillId="6" borderId="4" xfId="0" applyNumberFormat="1" applyFont="1" applyFill="1" applyBorder="1" applyAlignment="1" applyProtection="1">
      <alignment horizontal="center" vertical="center"/>
      <protection hidden="1"/>
    </xf>
    <xf numFmtId="2" fontId="17" fillId="8" borderId="5" xfId="0" applyNumberFormat="1" applyFont="1" applyFill="1" applyBorder="1" applyAlignment="1" applyProtection="1">
      <alignment horizontal="center" vertical="center"/>
      <protection locked="0" hidden="1"/>
    </xf>
    <xf numFmtId="0" fontId="21" fillId="6" borderId="0" xfId="0" applyNumberFormat="1" applyFont="1" applyFill="1" applyBorder="1" applyAlignment="1" applyProtection="1">
      <alignment horizontal="center" vertical="center"/>
      <protection hidden="1"/>
    </xf>
    <xf numFmtId="4" fontId="17" fillId="8" borderId="4" xfId="0" applyNumberFormat="1" applyFont="1" applyFill="1" applyBorder="1" applyAlignment="1" applyProtection="1">
      <alignment horizontal="center" vertical="center"/>
      <protection locked="0" hidden="1"/>
    </xf>
    <xf numFmtId="0" fontId="1" fillId="0" borderId="4" xfId="0" applyNumberFormat="1" applyFont="1" applyFill="1" applyBorder="1" applyAlignment="1" applyProtection="1">
      <alignment horizontal="left" vertical="center"/>
      <protection hidden="1"/>
    </xf>
    <xf numFmtId="0" fontId="14" fillId="13" borderId="4" xfId="0" applyNumberFormat="1" applyFont="1" applyFill="1" applyBorder="1" applyAlignment="1" applyProtection="1">
      <alignment horizontal="center" vertical="center"/>
      <protection hidden="1"/>
    </xf>
    <xf numFmtId="1" fontId="14" fillId="13" borderId="4" xfId="0" applyNumberFormat="1" applyFont="1" applyFill="1" applyBorder="1" applyAlignment="1" applyProtection="1">
      <alignment horizontal="center" vertical="center"/>
      <protection hidden="1"/>
    </xf>
    <xf numFmtId="178" fontId="14" fillId="13" borderId="4" xfId="0" applyNumberFormat="1" applyFont="1" applyFill="1" applyBorder="1" applyAlignment="1" applyProtection="1">
      <alignment horizontal="center" vertical="center"/>
      <protection hidden="1"/>
    </xf>
    <xf numFmtId="4" fontId="14" fillId="13" borderId="4" xfId="0" applyNumberFormat="1" applyFont="1" applyFill="1" applyBorder="1" applyAlignment="1" applyProtection="1">
      <alignment horizontal="center" vertical="center"/>
      <protection hidden="1"/>
    </xf>
    <xf numFmtId="0" fontId="17" fillId="8" borderId="5" xfId="0" applyNumberFormat="1" applyFont="1" applyFill="1" applyBorder="1" applyAlignment="1" applyProtection="1">
      <alignment horizontal="center" vertical="center"/>
      <protection locked="0" hidden="1"/>
    </xf>
    <xf numFmtId="0" fontId="9" fillId="4" borderId="41" xfId="0" applyNumberFormat="1" applyFont="1" applyFill="1" applyBorder="1" applyAlignment="1" applyProtection="1">
      <alignment horizontal="left" vertical="center"/>
      <protection hidden="1"/>
    </xf>
    <xf numFmtId="0" fontId="7" fillId="0" borderId="31" xfId="0" applyNumberFormat="1" applyFont="1" applyFill="1" applyBorder="1" applyAlignment="1" applyProtection="1">
      <alignment horizontal="center" vertical="center"/>
      <protection hidden="1"/>
    </xf>
    <xf numFmtId="0" fontId="7" fillId="6" borderId="48" xfId="0" applyNumberFormat="1" applyFont="1" applyFill="1" applyBorder="1" applyAlignment="1" applyProtection="1">
      <alignment horizontal="center" vertical="center"/>
      <protection hidden="1"/>
    </xf>
    <xf numFmtId="4" fontId="17" fillId="8" borderId="48" xfId="0" applyNumberFormat="1" applyFont="1" applyFill="1" applyBorder="1" applyAlignment="1" applyProtection="1">
      <alignment horizontal="center" vertical="center"/>
      <protection locked="0" hidden="1"/>
    </xf>
    <xf numFmtId="0" fontId="0" fillId="0" borderId="0" xfId="0" applyBorder="1" applyProtection="1">
      <protection hidden="1"/>
    </xf>
    <xf numFmtId="0" fontId="1" fillId="0" borderId="51" xfId="0" applyNumberFormat="1" applyFont="1" applyFill="1" applyBorder="1" applyAlignment="1" applyProtection="1">
      <alignment vertical="center"/>
      <protection hidden="1"/>
    </xf>
    <xf numFmtId="0" fontId="18" fillId="12" borderId="52" xfId="0" applyNumberFormat="1" applyFont="1" applyFill="1" applyBorder="1" applyAlignment="1" applyProtection="1">
      <alignment horizontal="center" vertical="center"/>
      <protection hidden="1"/>
    </xf>
    <xf numFmtId="179" fontId="17" fillId="8" borderId="5" xfId="0" applyNumberFormat="1" applyFont="1" applyFill="1" applyBorder="1" applyAlignment="1" applyProtection="1">
      <alignment horizontal="center" vertical="center"/>
      <protection locked="0" hidden="1"/>
    </xf>
    <xf numFmtId="4" fontId="14" fillId="5" borderId="48" xfId="0" applyNumberFormat="1" applyFont="1" applyFill="1" applyBorder="1" applyAlignment="1" applyProtection="1">
      <alignment horizontal="center" vertical="center"/>
      <protection hidden="1"/>
    </xf>
    <xf numFmtId="0" fontId="18" fillId="9" borderId="53" xfId="0" applyNumberFormat="1" applyFont="1" applyFill="1" applyBorder="1" applyAlignment="1" applyProtection="1">
      <alignment horizontal="center" vertical="center"/>
      <protection hidden="1"/>
    </xf>
    <xf numFmtId="0" fontId="18" fillId="9" borderId="54" xfId="0" applyNumberFormat="1" applyFont="1" applyFill="1" applyBorder="1" applyAlignment="1" applyProtection="1">
      <alignment horizontal="center" vertical="center"/>
      <protection hidden="1"/>
    </xf>
    <xf numFmtId="0" fontId="14" fillId="14" borderId="4" xfId="0" applyNumberFormat="1" applyFont="1" applyFill="1" applyBorder="1" applyAlignment="1" applyProtection="1">
      <alignment horizontal="center" vertical="center"/>
      <protection hidden="1"/>
    </xf>
    <xf numFmtId="1" fontId="14" fillId="14" borderId="4" xfId="0" applyNumberFormat="1" applyFont="1" applyFill="1" applyBorder="1" applyAlignment="1" applyProtection="1">
      <alignment horizontal="center" vertical="center"/>
      <protection hidden="1"/>
    </xf>
    <xf numFmtId="178" fontId="14" fillId="14" borderId="4" xfId="0" applyNumberFormat="1" applyFont="1" applyFill="1" applyBorder="1" applyAlignment="1" applyProtection="1">
      <alignment horizontal="center" vertical="center"/>
      <protection hidden="1"/>
    </xf>
    <xf numFmtId="4" fontId="14" fillId="14" borderId="4" xfId="0" applyNumberFormat="1" applyFont="1" applyFill="1" applyBorder="1" applyAlignment="1" applyProtection="1">
      <alignment horizontal="center" vertical="center"/>
      <protection hidden="1"/>
    </xf>
    <xf numFmtId="0" fontId="5" fillId="3" borderId="29" xfId="0" applyNumberFormat="1" applyFont="1" applyFill="1" applyBorder="1" applyAlignment="1" applyProtection="1">
      <alignment horizontal="center" vertical="center"/>
      <protection hidden="1"/>
    </xf>
    <xf numFmtId="0" fontId="18" fillId="9" borderId="55" xfId="0" applyNumberFormat="1" applyFont="1" applyFill="1" applyBorder="1" applyAlignment="1" applyProtection="1">
      <alignment horizontal="center" vertical="center"/>
      <protection hidden="1"/>
    </xf>
    <xf numFmtId="0" fontId="22" fillId="9" borderId="56" xfId="0" applyNumberFormat="1" applyFont="1" applyFill="1" applyBorder="1" applyAlignment="1" applyProtection="1">
      <alignment horizontal="center" vertical="center"/>
      <protection hidden="1"/>
    </xf>
    <xf numFmtId="0" fontId="22" fillId="9" borderId="57" xfId="0" applyNumberFormat="1" applyFont="1" applyFill="1" applyBorder="1" applyAlignment="1" applyProtection="1">
      <alignment horizontal="center" vertical="center"/>
      <protection hidden="1"/>
    </xf>
    <xf numFmtId="0" fontId="22" fillId="9" borderId="58" xfId="0" applyNumberFormat="1" applyFont="1" applyFill="1" applyBorder="1" applyAlignment="1" applyProtection="1">
      <alignment horizontal="center" vertical="center"/>
      <protection hidden="1"/>
    </xf>
    <xf numFmtId="0" fontId="22" fillId="9" borderId="59" xfId="0" applyNumberFormat="1" applyFont="1" applyFill="1" applyBorder="1" applyAlignment="1" applyProtection="1">
      <alignment horizontal="center" vertical="center"/>
      <protection hidden="1"/>
    </xf>
    <xf numFmtId="0" fontId="22" fillId="9" borderId="0" xfId="0" applyNumberFormat="1" applyFont="1" applyFill="1" applyBorder="1" applyAlignment="1" applyProtection="1">
      <alignment horizontal="center" vertical="center"/>
      <protection hidden="1"/>
    </xf>
    <xf numFmtId="0" fontId="22" fillId="9" borderId="60" xfId="0" applyNumberFormat="1" applyFont="1" applyFill="1" applyBorder="1" applyAlignment="1" applyProtection="1">
      <alignment horizontal="center" vertical="center"/>
      <protection hidden="1"/>
    </xf>
    <xf numFmtId="0" fontId="22" fillId="9" borderId="61" xfId="0" applyNumberFormat="1" applyFont="1" applyFill="1" applyBorder="1" applyAlignment="1" applyProtection="1">
      <alignment horizontal="center" vertical="center"/>
      <protection hidden="1"/>
    </xf>
    <xf numFmtId="0" fontId="22" fillId="9" borderId="62" xfId="0" applyNumberFormat="1" applyFont="1" applyFill="1" applyBorder="1" applyAlignment="1" applyProtection="1">
      <alignment horizontal="center" vertical="center"/>
      <protection hidden="1"/>
    </xf>
    <xf numFmtId="0" fontId="22" fillId="9" borderId="63" xfId="0" applyNumberFormat="1" applyFont="1" applyFill="1" applyBorder="1" applyAlignment="1" applyProtection="1">
      <alignment horizontal="center" vertical="center"/>
      <protection hidden="1"/>
    </xf>
    <xf numFmtId="3" fontId="23" fillId="5" borderId="40" xfId="0" applyNumberFormat="1" applyFont="1" applyFill="1" applyBorder="1" applyAlignment="1" applyProtection="1">
      <alignment horizontal="center" vertical="center"/>
      <protection hidden="1"/>
    </xf>
    <xf numFmtId="0" fontId="23" fillId="5" borderId="46" xfId="0" applyNumberFormat="1" applyFont="1" applyFill="1" applyBorder="1" applyAlignment="1" applyProtection="1">
      <alignment horizontal="center" vertical="center"/>
      <protection hidden="1"/>
    </xf>
    <xf numFmtId="4" fontId="23" fillId="5" borderId="40" xfId="0" applyNumberFormat="1" applyFont="1" applyFill="1" applyBorder="1" applyAlignment="1" applyProtection="1">
      <alignment horizontal="center" vertical="center"/>
      <protection hidden="1"/>
    </xf>
    <xf numFmtId="0" fontId="23" fillId="5" borderId="64" xfId="0" applyNumberFormat="1" applyFont="1" applyFill="1" applyBorder="1" applyAlignment="1" applyProtection="1">
      <alignment horizontal="center" vertical="center"/>
      <protection hidden="1"/>
    </xf>
    <xf numFmtId="0" fontId="23" fillId="5" borderId="65" xfId="0" applyNumberFormat="1" applyFont="1" applyFill="1" applyBorder="1" applyAlignment="1" applyProtection="1">
      <alignment horizontal="center" vertical="center"/>
      <protection hidden="1"/>
    </xf>
    <xf numFmtId="0" fontId="23" fillId="5" borderId="42" xfId="0" applyNumberFormat="1" applyFont="1" applyFill="1" applyBorder="1" applyAlignment="1" applyProtection="1">
      <alignment horizontal="center" vertical="center"/>
      <protection hidden="1"/>
    </xf>
    <xf numFmtId="0" fontId="23" fillId="5" borderId="47"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horizontal="center" vertical="center"/>
      <protection hidden="1"/>
    </xf>
    <xf numFmtId="0" fontId="1" fillId="14" borderId="4" xfId="0" applyNumberFormat="1" applyFont="1" applyFill="1" applyBorder="1" applyAlignment="1" applyProtection="1">
      <alignment horizontal="center" vertical="center"/>
      <protection hidden="1"/>
    </xf>
    <xf numFmtId="0" fontId="17" fillId="6" borderId="4" xfId="0" applyNumberFormat="1" applyFont="1" applyFill="1" applyBorder="1" applyAlignment="1" applyProtection="1">
      <alignment vertical="center" wrapText="1"/>
      <protection hidden="1"/>
    </xf>
    <xf numFmtId="0" fontId="22" fillId="7" borderId="66" xfId="0" applyNumberFormat="1" applyFont="1" applyFill="1" applyBorder="1" applyAlignment="1" applyProtection="1">
      <alignment horizontal="center" vertical="center"/>
      <protection hidden="1"/>
    </xf>
    <xf numFmtId="0" fontId="22" fillId="7" borderId="67" xfId="0" applyNumberFormat="1" applyFont="1" applyFill="1" applyBorder="1" applyAlignment="1" applyProtection="1">
      <alignment horizontal="center" vertical="center"/>
      <protection hidden="1"/>
    </xf>
    <xf numFmtId="0" fontId="22" fillId="7" borderId="68" xfId="0" applyNumberFormat="1" applyFont="1" applyFill="1" applyBorder="1" applyAlignment="1" applyProtection="1">
      <alignment horizontal="center" vertical="center"/>
      <protection hidden="1"/>
    </xf>
    <xf numFmtId="0" fontId="22" fillId="7" borderId="69" xfId="0" applyNumberFormat="1" applyFont="1" applyFill="1" applyBorder="1" applyAlignment="1" applyProtection="1">
      <alignment horizontal="center" vertical="center"/>
      <protection hidden="1"/>
    </xf>
    <xf numFmtId="0" fontId="22" fillId="7" borderId="0" xfId="0" applyNumberFormat="1" applyFont="1" applyFill="1" applyBorder="1" applyAlignment="1" applyProtection="1">
      <alignment horizontal="center" vertical="center"/>
      <protection hidden="1"/>
    </xf>
    <xf numFmtId="0" fontId="22" fillId="7" borderId="70" xfId="0" applyNumberFormat="1" applyFont="1" applyFill="1" applyBorder="1" applyAlignment="1" applyProtection="1">
      <alignment horizontal="center" vertical="center"/>
      <protection hidden="1"/>
    </xf>
    <xf numFmtId="0" fontId="22" fillId="7" borderId="71" xfId="0" applyNumberFormat="1" applyFont="1" applyFill="1" applyBorder="1" applyAlignment="1" applyProtection="1">
      <alignment horizontal="center" vertical="center"/>
      <protection hidden="1"/>
    </xf>
    <xf numFmtId="0" fontId="22" fillId="7" borderId="72" xfId="0" applyNumberFormat="1" applyFont="1" applyFill="1" applyBorder="1" applyAlignment="1" applyProtection="1">
      <alignment horizontal="center" vertical="center"/>
      <protection hidden="1"/>
    </xf>
    <xf numFmtId="0" fontId="22" fillId="7" borderId="73" xfId="0" applyNumberFormat="1" applyFont="1" applyFill="1" applyBorder="1" applyAlignment="1" applyProtection="1">
      <alignment horizontal="center" vertical="center"/>
      <protection hidden="1"/>
    </xf>
    <xf numFmtId="10" fontId="23" fillId="5" borderId="40" xfId="0" applyNumberFormat="1" applyFont="1" applyFill="1" applyBorder="1" applyAlignment="1" applyProtection="1">
      <alignment horizontal="center" vertical="center"/>
      <protection hidden="1"/>
    </xf>
    <xf numFmtId="1" fontId="23" fillId="5" borderId="40" xfId="0" applyNumberFormat="1" applyFont="1" applyFill="1" applyBorder="1" applyAlignment="1" applyProtection="1">
      <alignment horizontal="center" vertical="center"/>
      <protection hidden="1"/>
    </xf>
    <xf numFmtId="177" fontId="1" fillId="13" borderId="4" xfId="0" applyNumberFormat="1" applyFont="1" applyFill="1" applyBorder="1" applyAlignment="1" applyProtection="1">
      <alignment horizontal="center" vertical="center"/>
      <protection hidden="1"/>
    </xf>
    <xf numFmtId="177" fontId="1" fillId="14" borderId="4" xfId="0" applyNumberFormat="1" applyFont="1" applyFill="1" applyBorder="1" applyAlignment="1" applyProtection="1">
      <alignment horizontal="center" vertical="center"/>
      <protection hidden="1"/>
    </xf>
    <xf numFmtId="0" fontId="18" fillId="7" borderId="34" xfId="0" applyNumberFormat="1" applyFont="1" applyFill="1" applyBorder="1" applyAlignment="1" applyProtection="1">
      <alignment horizontal="center" vertical="center" wrapText="1"/>
      <protection hidden="1"/>
    </xf>
    <xf numFmtId="0" fontId="17" fillId="8" borderId="5" xfId="0" applyNumberFormat="1" applyFont="1" applyFill="1" applyBorder="1" applyAlignment="1" applyProtection="1">
      <alignment horizontal="center" vertical="center"/>
      <protection hidden="1"/>
    </xf>
    <xf numFmtId="0" fontId="5" fillId="3" borderId="5" xfId="0" applyNumberFormat="1" applyFont="1" applyFill="1" applyBorder="1" applyAlignment="1" applyProtection="1">
      <alignment horizontal="center" vertical="center"/>
      <protection hidden="1"/>
    </xf>
    <xf numFmtId="0" fontId="13" fillId="3" borderId="40" xfId="0" applyNumberFormat="1" applyFont="1" applyFill="1" applyBorder="1" applyAlignment="1" applyProtection="1">
      <alignment vertical="center" wrapText="1"/>
      <protection hidden="1"/>
    </xf>
    <xf numFmtId="0" fontId="13" fillId="3" borderId="64" xfId="0" applyNumberFormat="1" applyFont="1" applyFill="1" applyBorder="1" applyAlignment="1" applyProtection="1">
      <alignment vertical="center" wrapText="1"/>
      <protection hidden="1"/>
    </xf>
    <xf numFmtId="0" fontId="13" fillId="3" borderId="42" xfId="0" applyNumberFormat="1" applyFont="1" applyFill="1" applyBorder="1" applyAlignment="1" applyProtection="1">
      <alignment vertical="center" wrapText="1"/>
      <protection hidden="1"/>
    </xf>
    <xf numFmtId="0" fontId="22" fillId="10" borderId="74" xfId="0" applyNumberFormat="1" applyFont="1" applyFill="1" applyBorder="1" applyAlignment="1" applyProtection="1">
      <alignment horizontal="center" vertical="center"/>
      <protection hidden="1"/>
    </xf>
    <xf numFmtId="0" fontId="22" fillId="10" borderId="75" xfId="0" applyNumberFormat="1" applyFont="1" applyFill="1" applyBorder="1" applyAlignment="1" applyProtection="1">
      <alignment horizontal="center" vertical="center"/>
      <protection hidden="1"/>
    </xf>
    <xf numFmtId="0" fontId="22" fillId="10" borderId="76" xfId="0" applyNumberFormat="1" applyFont="1" applyFill="1" applyBorder="1" applyAlignment="1" applyProtection="1">
      <alignment horizontal="center" vertical="center"/>
      <protection hidden="1"/>
    </xf>
    <xf numFmtId="0" fontId="22" fillId="10" borderId="77" xfId="0" applyNumberFormat="1" applyFont="1" applyFill="1" applyBorder="1" applyAlignment="1" applyProtection="1">
      <alignment horizontal="center" vertical="center"/>
      <protection hidden="1"/>
    </xf>
    <xf numFmtId="0" fontId="22" fillId="10" borderId="0" xfId="0" applyNumberFormat="1" applyFont="1" applyFill="1" applyBorder="1" applyAlignment="1" applyProtection="1">
      <alignment horizontal="center" vertical="center"/>
      <protection hidden="1"/>
    </xf>
    <xf numFmtId="0" fontId="22" fillId="10" borderId="78" xfId="0" applyNumberFormat="1" applyFont="1" applyFill="1" applyBorder="1" applyAlignment="1" applyProtection="1">
      <alignment horizontal="center" vertical="center"/>
      <protection hidden="1"/>
    </xf>
    <xf numFmtId="0" fontId="22" fillId="10" borderId="79" xfId="0" applyNumberFormat="1" applyFont="1" applyFill="1" applyBorder="1" applyAlignment="1" applyProtection="1">
      <alignment horizontal="center" vertical="center"/>
      <protection hidden="1"/>
    </xf>
    <xf numFmtId="0" fontId="22" fillId="10" borderId="80" xfId="0" applyNumberFormat="1" applyFont="1" applyFill="1" applyBorder="1" applyAlignment="1" applyProtection="1">
      <alignment horizontal="center" vertical="center"/>
      <protection hidden="1"/>
    </xf>
    <xf numFmtId="0" fontId="22" fillId="10" borderId="81" xfId="0" applyNumberFormat="1" applyFont="1" applyFill="1" applyBorder="1" applyAlignment="1" applyProtection="1">
      <alignment horizontal="center" vertical="center"/>
      <protection hidden="1"/>
    </xf>
    <xf numFmtId="0" fontId="13" fillId="3" borderId="41" xfId="0" applyNumberFormat="1" applyFont="1" applyFill="1" applyBorder="1" applyAlignment="1" applyProtection="1">
      <alignment vertical="center" wrapText="1"/>
      <protection hidden="1"/>
    </xf>
    <xf numFmtId="0" fontId="13" fillId="3" borderId="46" xfId="0" applyNumberFormat="1" applyFont="1" applyFill="1" applyBorder="1" applyAlignment="1" applyProtection="1">
      <alignment vertical="center" wrapText="1"/>
      <protection hidden="1"/>
    </xf>
    <xf numFmtId="0" fontId="13" fillId="3" borderId="0" xfId="0" applyNumberFormat="1" applyFont="1" applyFill="1" applyBorder="1" applyAlignment="1" applyProtection="1">
      <alignment vertical="center" wrapText="1"/>
      <protection hidden="1"/>
    </xf>
    <xf numFmtId="0" fontId="13" fillId="3" borderId="65" xfId="0" applyNumberFormat="1" applyFont="1" applyFill="1" applyBorder="1" applyAlignment="1" applyProtection="1">
      <alignment vertical="center" wrapText="1"/>
      <protection hidden="1"/>
    </xf>
    <xf numFmtId="0" fontId="13" fillId="3" borderId="33" xfId="0" applyNumberFormat="1" applyFont="1" applyFill="1" applyBorder="1" applyAlignment="1" applyProtection="1">
      <alignment vertical="center" wrapText="1"/>
      <protection hidden="1"/>
    </xf>
    <xf numFmtId="0" fontId="13" fillId="3" borderId="47" xfId="0" applyNumberFormat="1" applyFont="1" applyFill="1" applyBorder="1" applyAlignment="1" applyProtection="1">
      <alignment vertical="center" wrapText="1"/>
      <protection hidden="1"/>
    </xf>
    <xf numFmtId="0" fillId="2" borderId="0" xfId="0" applyNumberFormat="1" applyFill="1" applyBorder="1" applyAlignment="1" fontId="43" applyFont="1">
      <alignment vertical="center"/>
    </xf>
    <xf numFmtId="0" fillId="2" borderId="0" xfId="0" applyNumberFormat="1" applyFill="1" applyAlignment="1" fontId="43" applyFo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4">
    <dxf>
      <font>
        <b val="1"/>
        <color rgb="FF006100"/>
      </font>
      <fill>
        <patternFill patternType="solid">
          <bgColor rgb="FFE2F0D9"/>
        </patternFill>
      </fill>
    </dxf>
    <dxf>
      <font>
        <b val="1"/>
        <color rgb="FF9C0006"/>
      </font>
      <fill>
        <patternFill patternType="solid">
          <bgColor rgb="FFFFC7CE"/>
        </patternFill>
      </fill>
    </dxf>
    <dxf>
      <font>
        <b val="1"/>
        <color rgb="FF222222"/>
      </font>
      <fill>
        <patternFill patternType="solid">
          <bgColor rgb="FFFFEB9C"/>
        </patternFill>
      </fill>
    </dxf>
    <dxf>
      <protection locked="0"/>
    </dxf>
    <dxf>
      <protection locked="0"/>
    </dxf>
    <dxf>
      <protection locked="0"/>
    </dxf>
    <dxf>
      <protection locked="0"/>
    </dxf>
    <dxf>
      <protection locked="0"/>
    </dxf>
    <dxf>
      <protection locked="0"/>
    </dxf>
    <dxf>
      <protection locked="0"/>
    </dxf>
    <dxf>
      <protection locked="0"/>
    </dxf>
    <dxf>
      <protection hidden="1"/>
    </dxf>
    <dxf>
      <protection hidden="1"/>
    </dxf>
    <dxf>
      <protection hidden="1"/>
    </dxf>
    <dxf>
      <protection locked="0"/>
    </dxf>
    <dxf>
      <protection hidden="1"/>
    </dxf>
    <dxf>
      <protection hidden="1"/>
    </dxf>
    <dxf>
      <protection locked="0"/>
    </dxf>
    <dxf>
      <protection hidden="1"/>
    </dxf>
    <dxf>
      <protection hidden="1"/>
    </dxf>
    <dxf>
      <protection locked="0"/>
    </dxf>
    <dxf>
      <protection hidden="1"/>
    </dxf>
    <dxf>
      <protection hidden="1"/>
    </dxf>
    <dxf>
      <protection hidden="1"/>
    </dxf>
    <dxf>
      <protection hidden="1"/>
    </dxf>
    <dxf>
      <protection locked="0"/>
    </dxf>
    <dxf>
      <protection hidden="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PivotStylePreset2_Accent1" table="0" count="10" xr9:uid="{267968C8-6FFD-4C36-ACC1-9EA1FD1885CA}">
      <tableStyleElement type="headerRow" dxfId="43"/>
      <tableStyleElement type="totalRow" dxfId="42"/>
      <tableStyleElement type="firstRowStripe" dxfId="41"/>
      <tableStyleElement type="firstColumnStripe" dxfId="40"/>
      <tableStyleElement type="firstSubtotalRow" dxfId="39"/>
      <tableStyleElement type="secondSubtotalRow" dxfId="38"/>
      <tableStyleElement type="firstRowSubheading" dxfId="37"/>
      <tableStyleElement type="secondRowSubheading" dxfId="36"/>
      <tableStyleElement type="pageFieldLabels" dxfId="35"/>
      <tableStyleElement type="pageFieldValues" dxfId="34"/>
    </tableStyle>
  </tableStyles>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62050" cy="965200"/>
    <xdr:pic>
      <xdr:nvPicPr>
        <xdr:cNvPr id="2" name="/xl/media/image1.png"/>
        <xdr:cNvPicPr>
          <a:picLocks noChangeAspect="1"/>
        </xdr:cNvPicPr>
      </xdr:nvPicPr>
      <xdr:blipFill>
        <a:blip r:embed="rId1"/>
        <a:stretch>
          <a:fillRect/>
        </a:stretch>
      </xdr:blipFill>
      <xdr:spPr>
        <a:xfrm>
          <a:off x="12700" y="12700"/>
          <a:ext cx="1162050" cy="965200"/>
        </a:xfrm>
        <a:prstGeom prst="rect">
          <a:avLst/>
        </a:prstGeom>
      </xdr:spPr>
    </xdr:pic>
    <xdr:clientData/>
  </xdr:oneCellAnchor>
  <xdr:oneCellAnchor>
    <xdr:from>
      <xdr:col>0</xdr:col>
      <xdr:colOff>12700</xdr:colOff>
      <xdr:row>34</xdr:row>
      <xdr:rowOff>0</xdr:rowOff>
    </xdr:from>
    <xdr:ext cx="1336040" cy="1102360"/>
    <xdr:pic>
      <xdr:nvPicPr>
        <xdr:cNvPr id="3" name="/xl/media/image1.png"/>
        <xdr:cNvPicPr>
          <a:picLocks noChangeAspect="1"/>
        </xdr:cNvPicPr>
      </xdr:nvPicPr>
      <xdr:blipFill>
        <a:blip r:embed="rId1"/>
        <a:stretch>
          <a:fillRect/>
        </a:stretch>
      </xdr:blipFill>
      <xdr:spPr>
        <a:xfrm>
          <a:off x="12700" y="7477125"/>
          <a:ext cx="1336040" cy="1102360"/>
        </a:xfrm>
        <a:prstGeom prst="rect">
          <a:avLst/>
        </a:prstGeom>
      </xdr:spPr>
    </xdr:pic>
    <xdr:clientData/>
  </xdr:oneCellAnchor>
  <xdr:oneCellAnchor>
    <xdr:from>
      <xdr:col>10</xdr:col>
      <xdr:colOff>808355</xdr:colOff>
      <xdr:row>33</xdr:row>
      <xdr:rowOff>201930</xdr:rowOff>
    </xdr:from>
    <xdr:ext cx="1247140" cy="1016635"/>
    <xdr:pic>
      <xdr:nvPicPr>
        <xdr:cNvPr id="4" name="/xl/media/image1.png"/>
        <xdr:cNvPicPr>
          <a:picLocks noChangeAspect="1"/>
        </xdr:cNvPicPr>
      </xdr:nvPicPr>
      <xdr:blipFill>
        <a:blip r:embed="rId1"/>
        <a:stretch>
          <a:fillRect/>
        </a:stretch>
      </xdr:blipFill>
      <xdr:spPr>
        <a:xfrm>
          <a:off x="10186035" y="7465695"/>
          <a:ext cx="1247140" cy="101663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38555" cy="948055"/>
    <xdr:pic>
      <xdr:nvPicPr>
        <xdr:cNvPr id="2" name="/xl/media/image1.png"/>
        <xdr:cNvPicPr>
          <a:picLocks noChangeAspect="1"/>
        </xdr:cNvPicPr>
      </xdr:nvPicPr>
      <xdr:blipFill>
        <a:blip r:embed="rId1"/>
        <a:stretch>
          <a:fillRect/>
        </a:stretch>
      </xdr:blipFill>
      <xdr:spPr>
        <a:xfrm>
          <a:off x="12700" y="12700"/>
          <a:ext cx="1138555" cy="948055"/>
        </a:xfrm>
        <a:prstGeom prst="rect">
          <a:avLst/>
        </a:prstGeom>
      </xdr:spPr>
    </xdr:pic>
    <xdr:clientData/>
  </xdr:oneCellAnchor>
  <xdr:oneCellAnchor>
    <xdr:from>
      <xdr:col>0</xdr:col>
      <xdr:colOff>12700</xdr:colOff>
      <xdr:row>77</xdr:row>
      <xdr:rowOff>158750</xdr:rowOff>
    </xdr:from>
    <xdr:ext cx="1543685" cy="1282065"/>
    <xdr:pic>
      <xdr:nvPicPr>
        <xdr:cNvPr id="3" name="/xl/media/image1.png"/>
        <xdr:cNvPicPr>
          <a:picLocks noChangeAspect="1"/>
        </xdr:cNvPicPr>
      </xdr:nvPicPr>
      <xdr:blipFill>
        <a:blip r:embed="rId1"/>
        <a:stretch>
          <a:fillRect/>
        </a:stretch>
      </xdr:blipFill>
      <xdr:spPr>
        <a:xfrm>
          <a:off x="12700" y="17288510"/>
          <a:ext cx="1543685" cy="1282065"/>
        </a:xfrm>
        <a:prstGeom prst="rect">
          <a:avLst/>
        </a:prstGeom>
      </xdr:spPr>
    </xdr:pic>
    <xdr:clientData/>
  </xdr:oneCellAnchor>
  <xdr:oneCellAnchor>
    <xdr:from>
      <xdr:col>14</xdr:col>
      <xdr:colOff>1026160</xdr:colOff>
      <xdr:row>77</xdr:row>
      <xdr:rowOff>168275</xdr:rowOff>
    </xdr:from>
    <xdr:ext cx="1530985" cy="1250950"/>
    <xdr:pic>
      <xdr:nvPicPr>
        <xdr:cNvPr id="4" name="/xl/media/image1.png"/>
        <xdr:cNvPicPr>
          <a:picLocks noChangeAspect="1"/>
        </xdr:cNvPicPr>
      </xdr:nvPicPr>
      <xdr:blipFill>
        <a:blip r:embed="rId1"/>
        <a:stretch>
          <a:fillRect/>
        </a:stretch>
      </xdr:blipFill>
      <xdr:spPr>
        <a:xfrm>
          <a:off x="17660620" y="17298035"/>
          <a:ext cx="1530985" cy="12509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249045" cy="933450"/>
    <xdr:pic>
      <xdr:nvPicPr>
        <xdr:cNvPr id="2" name="/xl/media/image1.png"/>
        <xdr:cNvPicPr>
          <a:picLocks noChangeAspect="1"/>
        </xdr:cNvPicPr>
      </xdr:nvPicPr>
      <xdr:blipFill>
        <a:blip r:embed="rId1"/>
        <a:stretch>
          <a:fillRect/>
        </a:stretch>
      </xdr:blipFill>
      <xdr:spPr>
        <a:xfrm>
          <a:off x="12700" y="12700"/>
          <a:ext cx="1249045" cy="933450"/>
        </a:xfrm>
        <a:prstGeom prst="rect">
          <a:avLst/>
        </a:prstGeom>
      </xdr:spPr>
    </xdr:pic>
    <xdr:clientData/>
  </xdr:oneCellAnchor>
  <xdr:oneCellAnchor>
    <xdr:from>
      <xdr:col>0</xdr:col>
      <xdr:colOff>12700</xdr:colOff>
      <xdr:row>41</xdr:row>
      <xdr:rowOff>212725</xdr:rowOff>
    </xdr:from>
    <xdr:ext cx="1414780" cy="1166495"/>
    <xdr:pic>
      <xdr:nvPicPr>
        <xdr:cNvPr id="3" name="/xl/media/image1.png"/>
        <xdr:cNvPicPr>
          <a:picLocks noChangeAspect="1"/>
        </xdr:cNvPicPr>
      </xdr:nvPicPr>
      <xdr:blipFill>
        <a:blip r:embed="rId1"/>
        <a:stretch>
          <a:fillRect/>
        </a:stretch>
      </xdr:blipFill>
      <xdr:spPr>
        <a:xfrm>
          <a:off x="12700" y="9803130"/>
          <a:ext cx="1414780" cy="1166495"/>
        </a:xfrm>
        <a:prstGeom prst="rect">
          <a:avLst/>
        </a:prstGeom>
      </xdr:spPr>
    </xdr:pic>
    <xdr:clientData/>
  </xdr:oneCellAnchor>
  <xdr:oneCellAnchor>
    <xdr:from>
      <xdr:col>15</xdr:col>
      <xdr:colOff>379730</xdr:colOff>
      <xdr:row>41</xdr:row>
      <xdr:rowOff>211455</xdr:rowOff>
    </xdr:from>
    <xdr:ext cx="1373505" cy="1123950"/>
    <xdr:pic>
      <xdr:nvPicPr>
        <xdr:cNvPr id="4" name="/xl/media/image1.png"/>
        <xdr:cNvPicPr>
          <a:picLocks noChangeAspect="1"/>
        </xdr:cNvPicPr>
      </xdr:nvPicPr>
      <xdr:blipFill>
        <a:blip r:embed="rId1"/>
        <a:stretch>
          <a:fillRect/>
        </a:stretch>
      </xdr:blipFill>
      <xdr:spPr>
        <a:xfrm>
          <a:off x="17456785" y="9801860"/>
          <a:ext cx="1373505" cy="112395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77925" cy="976630"/>
    <xdr:pic>
      <xdr:nvPicPr>
        <xdr:cNvPr id="2" name="/xl/media/image1.png"/>
        <xdr:cNvPicPr>
          <a:picLocks noChangeAspect="1"/>
        </xdr:cNvPicPr>
      </xdr:nvPicPr>
      <xdr:blipFill>
        <a:blip r:embed="rId1"/>
        <a:stretch>
          <a:fillRect/>
        </a:stretch>
      </xdr:blipFill>
      <xdr:spPr>
        <a:xfrm>
          <a:off x="12700" y="12700"/>
          <a:ext cx="1177925" cy="976630"/>
        </a:xfrm>
        <a:prstGeom prst="rect">
          <a:avLst/>
        </a:prstGeom>
      </xdr:spPr>
    </xdr:pic>
    <xdr:clientData/>
  </xdr:oneCellAnchor>
  <xdr:oneCellAnchor>
    <xdr:from>
      <xdr:col>0</xdr:col>
      <xdr:colOff>12700</xdr:colOff>
      <xdr:row>215</xdr:row>
      <xdr:rowOff>0</xdr:rowOff>
    </xdr:from>
    <xdr:ext cx="1324610" cy="1091565"/>
    <xdr:pic>
      <xdr:nvPicPr>
        <xdr:cNvPr id="3" name="/xl/media/image1.png"/>
        <xdr:cNvPicPr>
          <a:picLocks noChangeAspect="1"/>
        </xdr:cNvPicPr>
      </xdr:nvPicPr>
      <xdr:blipFill>
        <a:blip r:embed="rId1"/>
        <a:stretch>
          <a:fillRect/>
        </a:stretch>
      </xdr:blipFill>
      <xdr:spPr>
        <a:xfrm>
          <a:off x="12700" y="57155715"/>
          <a:ext cx="1324610" cy="1091565"/>
        </a:xfrm>
        <a:prstGeom prst="rect">
          <a:avLst/>
        </a:prstGeom>
      </xdr:spPr>
    </xdr:pic>
    <xdr:clientData/>
  </xdr:oneCellAnchor>
  <xdr:oneCellAnchor>
    <xdr:from>
      <xdr:col>23</xdr:col>
      <xdr:colOff>1080770</xdr:colOff>
      <xdr:row>214</xdr:row>
      <xdr:rowOff>203200</xdr:rowOff>
    </xdr:from>
    <xdr:ext cx="1426210" cy="1164590"/>
    <xdr:pic>
      <xdr:nvPicPr>
        <xdr:cNvPr id="4" name="/xl/media/image1.png"/>
        <xdr:cNvPicPr>
          <a:picLocks noChangeAspect="1"/>
        </xdr:cNvPicPr>
      </xdr:nvPicPr>
      <xdr:blipFill>
        <a:blip r:embed="rId1"/>
        <a:stretch>
          <a:fillRect/>
        </a:stretch>
      </xdr:blipFill>
      <xdr:spPr>
        <a:xfrm>
          <a:off x="20897215" y="57145555"/>
          <a:ext cx="1426210" cy="116459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0</xdr:colOff>
      <xdr:row>40</xdr:row>
      <xdr:rowOff>0</xdr:rowOff>
    </xdr:from>
    <xdr:ext cx="904875" cy="742950"/>
    <xdr:pic>
      <xdr:nvPicPr>
        <xdr:cNvPr id="3" name="/xl/media/image1.png"/>
        <xdr:cNvPicPr>
          <a:picLocks noChangeAspect="1"/>
        </xdr:cNvPicPr>
      </xdr:nvPicPr>
      <xdr:blipFill>
        <a:blip r:embed="rId1"/>
        <a:stretch>
          <a:fillRect/>
        </a:stretch>
      </xdr:blipFill>
      <xdr:spPr>
        <a:xfrm>
          <a:off x="0" y="9147810"/>
          <a:ext cx="904875" cy="742950"/>
        </a:xfrm>
        <a:prstGeom prst="rect">
          <a:avLst/>
        </a:prstGeom>
      </xdr:spPr>
    </xdr:pic>
    <xdr:clientData/>
  </xdr:oneCellAnchor>
  <xdr:oneCellAnchor>
    <xdr:from>
      <xdr:col>15</xdr:col>
      <xdr:colOff>0</xdr:colOff>
      <xdr:row>40</xdr:row>
      <xdr:rowOff>0</xdr:rowOff>
    </xdr:from>
    <xdr:ext cx="904875" cy="742950"/>
    <xdr:pic>
      <xdr:nvPicPr>
        <xdr:cNvPr id="4" name="/xl/media/image1.png"/>
        <xdr:cNvPicPr>
          <a:picLocks noChangeAspect="1"/>
        </xdr:cNvPicPr>
      </xdr:nvPicPr>
      <xdr:blipFill>
        <a:blip r:embed="rId1"/>
        <a:stretch>
          <a:fillRect/>
        </a:stretch>
      </xdr:blipFill>
      <xdr:spPr>
        <a:xfrm>
          <a:off x="17038320" y="9147810"/>
          <a:ext cx="904875" cy="742950"/>
        </a:xfrm>
        <a:prstGeom prst="rect">
          <a:avLst/>
        </a:prstGeom>
      </xdr:spPr>
    </xdr:pic>
    <xdr:clientData/>
  </xdr:oneCellAnchor>
</xdr:wsDr>
</file>

<file path=xl/tables/table1.xml><?xml version="1.0" encoding="utf-8"?>
<table xmlns="http://schemas.openxmlformats.org/spreadsheetml/2006/main" id="1" name="NiftyTradeRegister" displayName="NiftyTradeRegister" ref="A13:X213" totalsRowShown="0">
  <tableColumns count="24">
    <tableColumn id="1" name="Trade Date" dataDxfId="3"/>
    <tableColumn id="2" name="Trade Type" dataDxfId="4"/>
    <tableColumn id="3" name="Final Strike" dataDxfId="5"/>
    <tableColumn id="4" name="Expiry" dataDxfId="6"/>
    <tableColumn id="5" name="Entry" dataDxfId="7"/>
    <tableColumn id="6" name="Target" dataDxfId="8"/>
    <tableColumn id="7" name="Original Stop-Loss" dataDxfId="9"/>
    <tableColumn id="8" name="New 3DHH" dataDxfId="10"/>
    <tableColumn id="9" name="Maximum Stop-Loss" dataDxfId="11"/>
    <tableColumn id="10" name="3DHH Stop-Loss" dataDxfId="12"/>
    <tableColumn id="11" name="Final Recalculated Stop-Loss" dataDxfId="13"/>
    <tableColumn id="12" name="First 15-Minute High" dataDxfId="14"/>
    <tableColumn id="13" name="Gap Stop-Loss" dataDxfId="15"/>
    <tableColumn id="14" name="Gap Calculation Type" dataDxfId="16">
      <calculatedColumnFormula>IF(B14="","",IF(B14="CALL Sell","Gap Up Calculation","Gap Down Calculation"))</calculatedColumnFormula>
    </tableColumn>
    <tableColumn id="15" name="Result Status" dataDxfId="17"/>
    <tableColumn id="16" name="Exit Price Used" dataDxfId="18"/>
    <tableColumn id="17" name="Lot Size" dataDxfId="19"/>
    <tableColumn id="18" name="Lots" dataDxfId="20"/>
    <tableColumn id="19" name="Total Quantity" dataDxfId="21"/>
    <tableColumn id="20" name="Capital Used" dataDxfId="22"/>
    <tableColumn id="21" name="Profit / Loss" dataDxfId="23"/>
    <tableColumn id="22" name="Return %" dataDxfId="24"/>
    <tableColumn id="23" name="Rollover Exit Price" dataDxfId="25"/>
    <tableColumn id="24" name="Validation / Remarks" dataDxfId="2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2933"/>
  </sheetPr>
  <dimension ref="A1:L38"/>
  <sheetViews>
    <sheetView showGridLines="0" workbookViewId="0">
      <selection activeCell="N35" sqref="N35"/>
    </sheetView>
  </sheetViews>
  <sheetFormatPr defaultColWidth="9" defaultRowHeight="16.8"/>
  <cols>
    <col min="1" max="1" width="16" customWidth="1"/>
    <col min="2" max="11" width="14" customWidth="1"/>
    <col min="12" max="12" width="16" customWidth="1"/>
  </cols>
  <sheetData>
    <row r="1" ht="23" customHeight="1" spans="1:12">
      <c r="A1" s="1"/>
      <c r="B1" s="1"/>
      <c r="C1" s="2" t="s">
        <v>0</v>
      </c>
      <c r="D1" s="2"/>
      <c r="E1" s="2"/>
      <c r="F1" s="2"/>
      <c r="G1" s="2"/>
      <c r="H1" s="2"/>
      <c r="I1" s="2"/>
      <c r="J1" s="32" t="s">
        <v>1</v>
      </c>
      <c r="K1" s="33"/>
      <c r="L1" s="43"/>
    </row>
    <row r="2" ht="21" customHeight="1" spans="1:12">
      <c r="A2" s="1"/>
      <c r="B2" s="1"/>
      <c r="C2" s="3" t="s">
        <v>2</v>
      </c>
      <c r="D2" s="3"/>
      <c r="E2" s="3"/>
      <c r="F2" s="3"/>
      <c r="G2" s="3"/>
      <c r="H2" s="3"/>
      <c r="I2" s="3"/>
      <c r="J2" s="34"/>
      <c r="K2" s="35"/>
      <c r="L2" s="44"/>
    </row>
    <row r="3" ht="23" customHeight="1" spans="1:12">
      <c r="A3" s="1"/>
      <c r="B3" s="1"/>
      <c r="C3" s="4" t="s">
        <v>3</v>
      </c>
      <c r="D3" s="4"/>
      <c r="E3" s="4"/>
      <c r="F3" s="4"/>
      <c r="G3" s="4"/>
      <c r="H3" s="4"/>
      <c r="I3" s="4"/>
      <c r="J3" s="36"/>
      <c r="K3" s="37"/>
      <c r="L3" s="45"/>
    </row>
    <row r="4" ht="8" customHeight="1" spans="1:12">
      <c r="A4" s="212" t="inlineStr">
        <is>
          <t xml:space="preserve">Licence Number: TSA-MURU-2419    |    Name: MURUGAN M    |    Mail ID: muruganm56789@gmail.com    |    Contact Number: 8610022419</t>
        </is>
      </c>
      <c r="B4" s="1"/>
      <c r="C4" s="1"/>
      <c r="D4" s="1"/>
      <c r="E4" s="1"/>
      <c r="F4" s="1"/>
      <c r="G4" s="1"/>
      <c r="H4" s="1"/>
      <c r="I4" s="1"/>
      <c r="J4" s="1"/>
      <c r="K4" s="1"/>
      <c r="L4" s="1"/>
    </row>
    <row r="5" ht="17.55" spans="1:12">
      <c r="A5" s="14"/>
      <c r="B5" s="14"/>
      <c r="C5" s="14"/>
      <c r="D5" s="14"/>
      <c r="E5" s="14"/>
      <c r="F5" s="14"/>
      <c r="G5" s="14"/>
      <c r="H5" s="14"/>
      <c r="I5" s="14"/>
      <c r="J5" s="14"/>
      <c r="K5" s="14"/>
      <c r="L5" s="14"/>
    </row>
    <row r="6" spans="1:12">
      <c r="A6" s="159" t="s">
        <v>4</v>
      </c>
      <c r="B6" s="160"/>
      <c r="C6" s="160"/>
      <c r="D6" s="161"/>
      <c r="E6" s="178" t="s">
        <v>5</v>
      </c>
      <c r="F6" s="179"/>
      <c r="G6" s="179"/>
      <c r="H6" s="180"/>
      <c r="I6" s="197" t="s">
        <v>6</v>
      </c>
      <c r="J6" s="198"/>
      <c r="K6" s="198"/>
      <c r="L6" s="199"/>
    </row>
    <row r="7" spans="1:12">
      <c r="A7" s="162"/>
      <c r="B7" s="163"/>
      <c r="C7" s="163"/>
      <c r="D7" s="164"/>
      <c r="E7" s="181"/>
      <c r="F7" s="182"/>
      <c r="G7" s="182"/>
      <c r="H7" s="183"/>
      <c r="I7" s="200"/>
      <c r="J7" s="201"/>
      <c r="K7" s="201"/>
      <c r="L7" s="202"/>
    </row>
    <row r="8" ht="17.55" spans="1:12">
      <c r="A8" s="165"/>
      <c r="B8" s="166"/>
      <c r="C8" s="166"/>
      <c r="D8" s="167"/>
      <c r="E8" s="184"/>
      <c r="F8" s="185"/>
      <c r="G8" s="185"/>
      <c r="H8" s="186"/>
      <c r="I8" s="203"/>
      <c r="J8" s="204"/>
      <c r="K8" s="204"/>
      <c r="L8" s="205"/>
    </row>
    <row r="9" ht="17.55" spans="1:12">
      <c r="A9" s="14"/>
      <c r="B9" s="14"/>
      <c r="C9" s="14"/>
      <c r="D9" s="14"/>
      <c r="E9" s="14"/>
      <c r="F9" s="14"/>
      <c r="G9" s="14"/>
      <c r="H9" s="14"/>
      <c r="I9" s="14"/>
      <c r="J9" s="14"/>
      <c r="K9" s="14"/>
      <c r="L9" s="14"/>
    </row>
    <row r="10" ht="17.55" spans="1:12">
      <c r="A10" s="15" t="s">
        <v>7</v>
      </c>
      <c r="B10" s="16"/>
      <c r="C10" s="16"/>
      <c r="D10" s="16"/>
      <c r="E10" s="16"/>
      <c r="F10" s="16"/>
      <c r="G10" s="16"/>
      <c r="H10" s="16"/>
      <c r="I10" s="16"/>
      <c r="J10" s="16"/>
      <c r="K10" s="16"/>
      <c r="L10" s="17"/>
    </row>
    <row r="11" ht="17.55" spans="1:12">
      <c r="A11" s="60" t="s">
        <v>8</v>
      </c>
      <c r="B11" s="60"/>
      <c r="C11" s="60" t="s">
        <v>9</v>
      </c>
      <c r="D11" s="60"/>
      <c r="E11" s="60" t="s">
        <v>10</v>
      </c>
      <c r="F11" s="60"/>
      <c r="G11" s="60" t="s">
        <v>11</v>
      </c>
      <c r="H11" s="60"/>
      <c r="I11" s="60" t="s">
        <v>12</v>
      </c>
      <c r="J11" s="60"/>
      <c r="K11" s="60" t="s">
        <v>13</v>
      </c>
      <c r="L11" s="60"/>
    </row>
    <row r="12" spans="1:12">
      <c r="A12" s="168">
        <f>'NIFTY Tracking'!B8</f>
        <v>320000</v>
      </c>
      <c r="B12" s="169"/>
      <c r="C12" s="170">
        <f>'NIFTY Tracking'!$K$6</f>
        <v>49593.8625</v>
      </c>
      <c r="D12" s="169"/>
      <c r="E12" s="187">
        <f>'NIFTY Tracking'!$K$7</f>
        <v>0.1549808203125</v>
      </c>
      <c r="F12" s="169"/>
      <c r="G12" s="188">
        <f>'NIFTY Tracking'!$K$8</f>
        <v>11</v>
      </c>
      <c r="H12" s="169"/>
      <c r="I12" s="188">
        <f>'NIFTY Tracking'!$O$6</f>
        <v>7</v>
      </c>
      <c r="J12" s="169"/>
      <c r="K12" s="188">
        <f>'NIFTY Tracking'!$K$9</f>
        <v>1</v>
      </c>
      <c r="L12" s="169"/>
    </row>
    <row r="13" spans="1:12">
      <c r="A13" s="171"/>
      <c r="B13" s="172"/>
      <c r="C13" s="171"/>
      <c r="D13" s="172"/>
      <c r="E13" s="171"/>
      <c r="F13" s="172"/>
      <c r="G13" s="171"/>
      <c r="H13" s="172"/>
      <c r="I13" s="171"/>
      <c r="J13" s="172"/>
      <c r="K13" s="171"/>
      <c r="L13" s="172"/>
    </row>
    <row r="14" ht="17.55" spans="1:12">
      <c r="A14" s="173"/>
      <c r="B14" s="174"/>
      <c r="C14" s="173"/>
      <c r="D14" s="174"/>
      <c r="E14" s="173"/>
      <c r="F14" s="174"/>
      <c r="G14" s="173"/>
      <c r="H14" s="174"/>
      <c r="I14" s="173"/>
      <c r="J14" s="174"/>
      <c r="K14" s="173"/>
      <c r="L14" s="174"/>
    </row>
    <row r="15" ht="17.55" spans="1:12">
      <c r="A15" s="14"/>
      <c r="B15" s="14"/>
      <c r="C15" s="14"/>
      <c r="D15" s="14"/>
      <c r="E15" s="14"/>
      <c r="F15" s="14"/>
      <c r="G15" s="14"/>
      <c r="H15" s="14"/>
      <c r="I15" s="14"/>
      <c r="J15" s="14"/>
      <c r="K15" s="14"/>
      <c r="L15" s="14"/>
    </row>
    <row r="16" ht="17.55" spans="1:12">
      <c r="A16" s="15" t="s">
        <v>14</v>
      </c>
      <c r="B16" s="16"/>
      <c r="C16" s="16"/>
      <c r="D16" s="16"/>
      <c r="E16" s="16"/>
      <c r="F16" s="16"/>
      <c r="G16" s="16"/>
      <c r="H16" s="16"/>
      <c r="I16" s="16"/>
      <c r="J16" s="16"/>
      <c r="K16" s="16"/>
      <c r="L16" s="17"/>
    </row>
    <row r="17" spans="1:12">
      <c r="A17" s="98" t="s">
        <v>15</v>
      </c>
      <c r="B17" s="98"/>
      <c r="C17" s="98" t="s">
        <v>16</v>
      </c>
      <c r="D17" s="98"/>
      <c r="E17" s="98" t="s">
        <v>17</v>
      </c>
      <c r="F17" s="98"/>
      <c r="G17" s="98" t="s">
        <v>18</v>
      </c>
      <c r="H17" s="98"/>
      <c r="I17" s="98" t="s">
        <v>19</v>
      </c>
      <c r="J17" s="98"/>
      <c r="K17" s="98" t="s">
        <v>20</v>
      </c>
      <c r="L17" s="98"/>
    </row>
    <row r="18" spans="1:12">
      <c r="A18" s="175" t="s">
        <v>21</v>
      </c>
      <c r="B18" s="175"/>
      <c r="C18" s="175">
        <f>IF('NIFTY Calculation'!$B$40="","INPUT REQUIRED",'NIFTY Calculation'!$B$40)</f>
        <v>23300</v>
      </c>
      <c r="D18" s="175"/>
      <c r="E18" s="189">
        <f>IF('NIFTY Calculation'!$C$40="","",'NIFTY Calculation'!$C$40)</f>
        <v>46287</v>
      </c>
      <c r="F18" s="175"/>
      <c r="G18" s="175" t="str">
        <f>IF('NIFTY Orders'!$B$10="Call Sell Holding","Latest Tracking CALL",IF('NIFTY Orders'!$B$21="","",'NIFTY Orders'!$B$21))</f>
        <v>Normal CALL</v>
      </c>
      <c r="H18" s="175"/>
      <c r="I18" s="175" t="str">
        <f>'NIFTY Orders'!$C$21</f>
        <v>No Holding</v>
      </c>
      <c r="J18" s="175"/>
      <c r="K18" s="175" t="str">
        <f>'NIFTY Orders'!$I$21</f>
        <v>READY</v>
      </c>
      <c r="L18" s="175"/>
    </row>
    <row r="19" spans="1:12">
      <c r="A19" s="176" t="s">
        <v>22</v>
      </c>
      <c r="B19" s="176"/>
      <c r="C19" s="176">
        <f>IF('NIFTY Calculation'!$J$40="","INPUT REQUIRED",'NIFTY Calculation'!$J$40)</f>
        <v>23300</v>
      </c>
      <c r="D19" s="176"/>
      <c r="E19" s="190">
        <f>IF('NIFTY Calculation'!$K$40="","",'NIFTY Calculation'!$K$40)</f>
        <v>46287</v>
      </c>
      <c r="F19" s="176"/>
      <c r="G19" s="176" t="str">
        <f>IF('NIFTY Orders'!$J$10="Put Sell Holding","Latest Tracking PUT",IF('NIFTY Orders'!$B$22="","",'NIFTY Orders'!$B$22))</f>
        <v>Normal PUT</v>
      </c>
      <c r="H19" s="176"/>
      <c r="I19" s="176" t="str">
        <f>'NIFTY Orders'!$C$22</f>
        <v>No Holding</v>
      </c>
      <c r="J19" s="176"/>
      <c r="K19" s="176" t="str">
        <f>'NIFTY Orders'!$I$22</f>
        <v>READY</v>
      </c>
      <c r="L19" s="176"/>
    </row>
    <row r="20" ht="17.55" spans="1:12">
      <c r="A20" s="14"/>
      <c r="B20" s="14"/>
      <c r="C20" s="14"/>
      <c r="D20" s="14"/>
      <c r="E20" s="14"/>
      <c r="F20" s="14"/>
      <c r="G20" s="14"/>
      <c r="H20" s="14"/>
      <c r="I20" s="14"/>
      <c r="J20" s="14"/>
      <c r="K20" s="14"/>
      <c r="L20" s="14"/>
    </row>
    <row r="21" ht="17.55" spans="1:12">
      <c r="A21" s="15" t="s">
        <v>23</v>
      </c>
      <c r="B21" s="16"/>
      <c r="C21" s="16"/>
      <c r="D21" s="16"/>
      <c r="E21" s="16"/>
      <c r="F21" s="17"/>
      <c r="G21" s="14"/>
      <c r="H21" s="15" t="s">
        <v>24</v>
      </c>
      <c r="I21" s="16"/>
      <c r="J21" s="16"/>
      <c r="K21" s="16"/>
      <c r="L21" s="17"/>
    </row>
    <row r="22" ht="17.55" spans="1:12">
      <c r="A22" s="177" t="s">
        <v>25</v>
      </c>
      <c r="B22" s="99" t="s">
        <v>26</v>
      </c>
      <c r="C22" s="99"/>
      <c r="D22" s="99"/>
      <c r="E22" s="99"/>
      <c r="F22" s="99"/>
      <c r="G22" s="14"/>
      <c r="H22" s="191" t="s">
        <v>27</v>
      </c>
      <c r="I22" s="191"/>
      <c r="J22" s="99" t="s">
        <v>28</v>
      </c>
      <c r="K22" s="99"/>
      <c r="L22" s="99"/>
    </row>
    <row r="23" spans="1:12">
      <c r="A23" s="177" t="s">
        <v>29</v>
      </c>
      <c r="B23" s="99" t="s">
        <v>30</v>
      </c>
      <c r="C23" s="99"/>
      <c r="D23" s="99"/>
      <c r="E23" s="99"/>
      <c r="F23" s="99"/>
      <c r="G23" s="14"/>
      <c r="H23" s="192" t="s">
        <v>31</v>
      </c>
      <c r="I23" s="192"/>
      <c r="J23" s="99" t="s">
        <v>32</v>
      </c>
      <c r="K23" s="99"/>
      <c r="L23" s="99"/>
    </row>
    <row r="24" spans="1:12">
      <c r="A24" s="177" t="s">
        <v>33</v>
      </c>
      <c r="B24" s="99" t="s">
        <v>34</v>
      </c>
      <c r="C24" s="99"/>
      <c r="D24" s="99"/>
      <c r="E24" s="99"/>
      <c r="F24" s="99"/>
      <c r="G24" s="14"/>
      <c r="H24" s="39" t="s">
        <v>35</v>
      </c>
      <c r="I24" s="39"/>
      <c r="J24" s="99" t="s">
        <v>36</v>
      </c>
      <c r="K24" s="99"/>
      <c r="L24" s="99"/>
    </row>
    <row r="25" spans="1:12">
      <c r="A25" s="177" t="s">
        <v>37</v>
      </c>
      <c r="B25" s="99" t="s">
        <v>38</v>
      </c>
      <c r="C25" s="99"/>
      <c r="D25" s="99"/>
      <c r="E25" s="99"/>
      <c r="F25" s="99"/>
      <c r="G25" s="14"/>
      <c r="H25" s="193" t="s">
        <v>39</v>
      </c>
      <c r="I25" s="193"/>
      <c r="J25" s="99" t="s">
        <v>40</v>
      </c>
      <c r="K25" s="99"/>
      <c r="L25" s="99"/>
    </row>
    <row r="26" ht="17.55" spans="1:12">
      <c r="A26" s="177" t="s">
        <v>41</v>
      </c>
      <c r="B26" s="99" t="s">
        <v>42</v>
      </c>
      <c r="C26" s="99"/>
      <c r="D26" s="99"/>
      <c r="E26" s="99"/>
      <c r="F26" s="99"/>
      <c r="G26" s="14"/>
      <c r="H26" s="14"/>
      <c r="I26" s="14"/>
      <c r="J26" s="14"/>
      <c r="K26" s="14"/>
      <c r="L26" s="14"/>
    </row>
    <row r="27" spans="1:12">
      <c r="A27" s="177" t="s">
        <v>43</v>
      </c>
      <c r="B27" s="99" t="s">
        <v>44</v>
      </c>
      <c r="C27" s="99"/>
      <c r="D27" s="99"/>
      <c r="E27" s="99"/>
      <c r="F27" s="99"/>
      <c r="G27" s="14"/>
      <c r="H27" s="194" t="s">
        <v>45</v>
      </c>
      <c r="I27" s="206"/>
      <c r="J27" s="206"/>
      <c r="K27" s="206"/>
      <c r="L27" s="207"/>
    </row>
    <row r="28" spans="1:12">
      <c r="A28" s="14"/>
      <c r="B28" s="14"/>
      <c r="C28" s="14"/>
      <c r="D28" s="14"/>
      <c r="E28" s="14"/>
      <c r="F28" s="14"/>
      <c r="G28" s="14"/>
      <c r="H28" s="195"/>
      <c r="I28" s="208"/>
      <c r="J28" s="208"/>
      <c r="K28" s="208"/>
      <c r="L28" s="209"/>
    </row>
    <row r="29" spans="1:12">
      <c r="A29" s="73" t="s">
        <v>46</v>
      </c>
      <c r="B29" s="77"/>
      <c r="C29" s="77"/>
      <c r="D29" s="77"/>
      <c r="E29" s="77"/>
      <c r="F29" s="78"/>
      <c r="G29" s="14"/>
      <c r="H29" s="195"/>
      <c r="I29" s="208"/>
      <c r="J29" s="208"/>
      <c r="K29" s="208"/>
      <c r="L29" s="209"/>
    </row>
    <row r="30" ht="17.55" spans="1:12">
      <c r="A30" s="74"/>
      <c r="B30" s="41"/>
      <c r="C30" s="41"/>
      <c r="D30" s="41"/>
      <c r="E30" s="41"/>
      <c r="F30" s="79"/>
      <c r="G30" s="14"/>
      <c r="H30" s="196"/>
      <c r="I30" s="210"/>
      <c r="J30" s="210"/>
      <c r="K30" s="210"/>
      <c r="L30" s="211"/>
    </row>
    <row r="31" spans="1:12">
      <c r="A31" s="75"/>
      <c r="B31" s="80"/>
      <c r="C31" s="80"/>
      <c r="D31" s="80"/>
      <c r="E31" s="80"/>
      <c r="F31" s="81"/>
      <c r="G31" s="14"/>
      <c r="H31" s="14"/>
      <c r="I31" s="14"/>
      <c r="J31" s="14"/>
      <c r="K31" s="14"/>
      <c r="L31" s="14"/>
    </row>
    <row r="32" spans="1:12">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ht="20" customHeight="1" spans="1:12">
      <c r="A35" s="1"/>
      <c r="B35" s="1"/>
      <c r="C35" s="20" t="s">
        <v>47</v>
      </c>
      <c r="D35" s="20"/>
      <c r="E35" s="20"/>
      <c r="F35" s="20"/>
      <c r="G35" s="20"/>
      <c r="H35" s="20"/>
      <c r="I35" s="20"/>
      <c r="J35" s="20"/>
      <c r="K35" s="1"/>
      <c r="L35" s="1"/>
    </row>
    <row r="36" ht="20" customHeight="1" spans="1:12">
      <c r="A36" s="1"/>
      <c r="B36" s="1"/>
      <c r="C36" s="21" t="s">
        <v>48</v>
      </c>
      <c r="D36" s="21"/>
      <c r="E36" s="21"/>
      <c r="F36" s="21"/>
      <c r="G36" s="21"/>
      <c r="H36" s="21"/>
      <c r="I36" s="21"/>
      <c r="J36" s="21"/>
      <c r="K36" s="1"/>
      <c r="L36" s="1"/>
    </row>
    <row r="37" ht="20" customHeight="1" spans="1:12">
      <c r="A37" s="1"/>
      <c r="B37" s="1"/>
      <c r="C37" s="21" t="s">
        <v>49</v>
      </c>
      <c r="D37" s="21"/>
      <c r="E37" s="21"/>
      <c r="F37" s="21"/>
      <c r="G37" s="21"/>
      <c r="H37" s="21"/>
      <c r="I37" s="21"/>
      <c r="J37" s="21"/>
      <c r="K37" s="1"/>
      <c r="L37" s="1"/>
    </row>
    <row r="38" ht="20" customHeight="1" spans="1:12">
      <c r="A38" s="1"/>
      <c r="B38" s="1"/>
      <c r="C38" s="22" t="s">
        <v>50</v>
      </c>
      <c r="D38" s="22"/>
      <c r="E38" s="22"/>
      <c r="F38" s="22"/>
      <c r="G38" s="22"/>
      <c r="H38" s="22"/>
      <c r="I38" s="22"/>
      <c r="J38" s="22"/>
      <c r="K38" s="1"/>
      <c r="L38" s="1"/>
    </row>
  </sheetData>
  <sheetProtection algorithmName="SHA-512" hashValue="dagoYAFbTvQTIV2bU7s/+D48ozv71IobKqTcrmmooBOF3p33u8Pvz2HDBE01T42/RnJoK67uKE0/z5vHqwy0Cg==" saltValue="h4RPJ9O3LLNMMJe2mk60eQ==" spinCount="100000" sheet="1" objects="1"/>
  <mergeCells count="57">
    <mergeCell ref="C1:I1"/>
    <mergeCell ref="C2:I2"/>
    <mergeCell ref="C3:I3"/>
    <mergeCell ref="A10:L10"/>
    <mergeCell ref="A11:B11"/>
    <mergeCell ref="C11:D11"/>
    <mergeCell ref="E11:F11"/>
    <mergeCell ref="G11:H11"/>
    <mergeCell ref="I11:J11"/>
    <mergeCell ref="K11:L11"/>
    <mergeCell ref="A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21:F21"/>
    <mergeCell ref="H21:L21"/>
    <mergeCell ref="B22:F22"/>
    <mergeCell ref="J22:L22"/>
    <mergeCell ref="B23:F23"/>
    <mergeCell ref="J23:L23"/>
    <mergeCell ref="B24:F24"/>
    <mergeCell ref="J24:L24"/>
    <mergeCell ref="B25:F25"/>
    <mergeCell ref="J25:L25"/>
    <mergeCell ref="B26:F26"/>
    <mergeCell ref="B27:F27"/>
    <mergeCell ref="C35:J35"/>
    <mergeCell ref="C36:J36"/>
    <mergeCell ref="C37:J37"/>
    <mergeCell ref="C38:J38"/>
    <mergeCell ref="J1:L3"/>
    <mergeCell ref="A6:D8"/>
    <mergeCell ref="E6:H8"/>
    <mergeCell ref="I6:L8"/>
    <mergeCell ref="A12:B14"/>
    <mergeCell ref="C12:D14"/>
    <mergeCell ref="E12:F14"/>
    <mergeCell ref="G12:H14"/>
    <mergeCell ref="I12:J14"/>
    <mergeCell ref="K12:L14"/>
    <mergeCell ref="H27:L30"/>
    <mergeCell ref="A29:F3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P82"/>
  <sheetViews>
    <sheetView showGridLines="0" workbookViewId="0">
      <pane ySplit="5" topLeftCell="A6" activePane="bottomLeft" state="frozen"/>
      <selection/>
      <selection pane="bottomLeft" activeCell="D71" sqref="D71:D74"/>
    </sheetView>
  </sheetViews>
  <sheetFormatPr defaultColWidth="9" defaultRowHeight="16.8"/>
  <cols>
    <col min="1" max="1" width="20.5096153846154" customWidth="1"/>
    <col min="2" max="2" width="26.2788461538462" customWidth="1"/>
    <col min="3" max="3" width="23.5576923076923" customWidth="1"/>
    <col min="4" max="4" width="16.8269230769231" customWidth="1"/>
    <col min="5" max="5" width="14" customWidth="1"/>
    <col min="6" max="6" width="15.3846153846154" customWidth="1"/>
    <col min="7" max="7" width="20.5096153846154" customWidth="1"/>
    <col min="8" max="8" width="19.3942307692308" customWidth="1"/>
    <col min="9" max="9" width="13" customWidth="1"/>
    <col min="10" max="10" width="18.4326923076923" customWidth="1"/>
    <col min="11" max="11" width="20.9903846153846" customWidth="1"/>
    <col min="12" max="12" width="15" customWidth="1"/>
    <col min="13" max="14" width="14" customWidth="1"/>
    <col min="15" max="15" width="18.4326923076923" customWidth="1"/>
    <col min="16" max="16" width="19.2307692307692" customWidth="1"/>
  </cols>
  <sheetData>
    <row r="1" ht="23" customHeight="1" spans="1:16">
      <c r="A1" s="1"/>
      <c r="B1" s="1"/>
      <c r="C1" s="2" t="s">
        <v>0</v>
      </c>
      <c r="D1" s="2"/>
      <c r="E1" s="2"/>
      <c r="F1" s="2"/>
      <c r="G1" s="2"/>
      <c r="H1" s="2"/>
      <c r="I1" s="2"/>
      <c r="J1" s="2"/>
      <c r="K1" s="2"/>
      <c r="L1" s="2"/>
      <c r="M1" s="32" t="s">
        <v>51</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52</v>
      </c>
      <c r="D3" s="4"/>
      <c r="E3" s="4"/>
      <c r="F3" s="4"/>
      <c r="G3" s="4"/>
      <c r="H3" s="4"/>
      <c r="I3" s="4"/>
      <c r="J3" s="4"/>
      <c r="K3" s="4"/>
      <c r="L3" s="4"/>
      <c r="M3" s="34"/>
      <c r="N3" s="35"/>
      <c r="O3" s="35"/>
      <c r="P3" s="44"/>
    </row>
    <row r="4" ht="18" customHeight="1" spans="1:16">
      <c r="A4" s="213" t="inlineStr">
        <is>
          <t xml:space="preserve">Licence Number: TSA-MURU-2419    |    Name: MURUGAN M    |    Mail ID: muruganm56789@gmail.com    |    Contact Number: 8610022419</t>
        </is>
      </c>
      <c r="B4" s="124"/>
      <c r="C4" s="124"/>
      <c r="D4" s="124"/>
      <c r="E4" s="124"/>
      <c r="F4" s="124"/>
      <c r="G4" s="124"/>
      <c r="H4" s="124"/>
      <c r="I4" s="124"/>
      <c r="J4" s="124"/>
      <c r="K4" s="124"/>
      <c r="L4" s="124"/>
      <c r="M4" s="124"/>
      <c r="N4" s="124"/>
      <c r="O4" s="124"/>
      <c r="P4" s="124"/>
    </row>
    <row r="5" ht="17.55" spans="1:16">
      <c r="A5" s="125" t="s">
        <v>53</v>
      </c>
      <c r="B5" s="126"/>
      <c r="C5" s="126"/>
      <c r="D5" s="126"/>
      <c r="E5" s="126"/>
      <c r="F5" s="126"/>
      <c r="G5" s="126"/>
      <c r="H5" s="126"/>
      <c r="I5" s="126"/>
      <c r="J5" s="126"/>
      <c r="K5" s="126"/>
      <c r="L5" s="126"/>
      <c r="M5" s="126"/>
      <c r="N5" s="126"/>
      <c r="O5" s="126"/>
      <c r="P5" s="157"/>
    </row>
    <row r="6" spans="1:16">
      <c r="A6" s="15" t="s">
        <v>54</v>
      </c>
      <c r="B6" s="16"/>
      <c r="C6" s="16"/>
      <c r="D6" s="16"/>
      <c r="E6" s="16"/>
      <c r="F6" s="16"/>
      <c r="G6" s="16"/>
      <c r="H6" s="142"/>
      <c r="I6" s="142"/>
      <c r="J6" s="16"/>
      <c r="K6" s="16"/>
      <c r="L6" s="16"/>
      <c r="M6" s="16"/>
      <c r="N6" s="16"/>
      <c r="O6" s="16"/>
      <c r="P6" s="17"/>
    </row>
    <row r="7" spans="1:16">
      <c r="A7" s="57" t="s">
        <v>55</v>
      </c>
      <c r="B7" s="61">
        <v>46286</v>
      </c>
      <c r="C7" s="14"/>
      <c r="E7" s="143"/>
      <c r="F7" s="143"/>
      <c r="H7" s="128" t="s">
        <v>56</v>
      </c>
      <c r="I7" s="150">
        <f>IF(COUNT(E9:E11)&lt;3,"",MAX(E9:E11))</f>
        <v>23592.85</v>
      </c>
      <c r="K7" s="57" t="s">
        <v>57</v>
      </c>
      <c r="L7" s="86">
        <f>IF(I9="","",CEILING(I9,Settings!$B$12))</f>
        <v>23650</v>
      </c>
      <c r="M7" s="14"/>
      <c r="N7" s="14"/>
      <c r="O7" s="14"/>
      <c r="P7" s="14"/>
    </row>
    <row r="8" spans="1:16">
      <c r="A8" s="57" t="s">
        <v>58</v>
      </c>
      <c r="B8" s="62" t="s">
        <v>59</v>
      </c>
      <c r="C8" s="14"/>
      <c r="D8" s="127"/>
      <c r="E8" s="144" t="s">
        <v>60</v>
      </c>
      <c r="F8" s="144" t="s">
        <v>61</v>
      </c>
      <c r="H8" s="128" t="s">
        <v>62</v>
      </c>
      <c r="I8" s="150">
        <f>IF(COUNT(F9:F11)&lt;3,"",MIN(F9:F11))</f>
        <v>23118.6</v>
      </c>
      <c r="K8" s="57" t="s">
        <v>63</v>
      </c>
      <c r="L8" s="86">
        <f>IF(L7="","",L7-(Settings!$B$13-1)*Settings!$B$12)</f>
        <v>23200</v>
      </c>
      <c r="M8" s="14"/>
      <c r="N8" s="14"/>
      <c r="O8" s="14"/>
      <c r="P8" s="14"/>
    </row>
    <row r="9" spans="1:16">
      <c r="A9" s="57" t="s">
        <v>64</v>
      </c>
      <c r="B9" s="39">
        <f>IF(OR(B7="",B8=""),"",MOD(MATCH(B8,Settings!$F$7:$F$11,0)-WEEKDAY(B7,2),7))</f>
        <v>1</v>
      </c>
      <c r="C9" s="14"/>
      <c r="D9" s="128" t="s">
        <v>65</v>
      </c>
      <c r="E9" s="145">
        <v>23448.1</v>
      </c>
      <c r="F9" s="145">
        <v>23448.1</v>
      </c>
      <c r="G9" s="146"/>
      <c r="H9" s="128" t="s">
        <v>66</v>
      </c>
      <c r="I9" s="150">
        <f>IF(I7="","",MROUND(I7*(1+Settings!$B$11),Settings!$B$19))</f>
        <v>23628.2</v>
      </c>
      <c r="K9" s="57" t="s">
        <v>67</v>
      </c>
      <c r="L9" s="86">
        <f>IF(I10="","",FLOOR(I10,Settings!$B$12))</f>
        <v>23050</v>
      </c>
      <c r="M9" s="14"/>
      <c r="N9" s="14"/>
      <c r="O9" s="14"/>
      <c r="P9" s="14"/>
    </row>
    <row r="10" spans="1:16">
      <c r="A10" s="57" t="s">
        <v>68</v>
      </c>
      <c r="B10" s="39" t="str">
        <f>IF(B9="","",IF(B9&lt;=Settings!$B$21,"NEXT WEEK EXPIRY","CURRENT WEEK EXPIRY"))</f>
        <v>NEXT WEEK EXPIRY</v>
      </c>
      <c r="C10" s="14"/>
      <c r="D10" s="128" t="s">
        <v>69</v>
      </c>
      <c r="E10" s="145">
        <v>23592.85</v>
      </c>
      <c r="F10" s="145">
        <v>23118.6</v>
      </c>
      <c r="H10" s="128" t="s">
        <v>70</v>
      </c>
      <c r="I10" s="150">
        <f>IF(I8="","",MROUND(I8*(1-Settings!$B$11),Settings!$B$19))</f>
        <v>23083.9</v>
      </c>
      <c r="K10" s="57" t="s">
        <v>71</v>
      </c>
      <c r="L10" s="86">
        <f>IF(L9="","",L9+(Settings!$B$13-1)*Settings!$B$12)</f>
        <v>23500</v>
      </c>
      <c r="M10" s="14"/>
      <c r="N10" s="14"/>
      <c r="O10" s="14"/>
      <c r="P10" s="14"/>
    </row>
    <row r="11" ht="17.55" spans="1:16">
      <c r="A11" s="14"/>
      <c r="B11" s="14"/>
      <c r="C11" s="14"/>
      <c r="D11" s="129" t="s">
        <v>72</v>
      </c>
      <c r="E11" s="145">
        <v>23448.1</v>
      </c>
      <c r="F11" s="145">
        <v>23448.1</v>
      </c>
      <c r="G11" s="147"/>
      <c r="H11" s="14"/>
      <c r="I11" s="14"/>
      <c r="J11" s="14"/>
      <c r="K11" s="14"/>
      <c r="L11" s="14"/>
      <c r="M11" s="14"/>
      <c r="N11" s="14"/>
      <c r="O11" s="14"/>
      <c r="P11" s="14"/>
    </row>
    <row r="12" ht="17.55" spans="1:16">
      <c r="A12" s="15" t="s">
        <v>73</v>
      </c>
      <c r="B12" s="16"/>
      <c r="C12" s="16"/>
      <c r="D12" s="16"/>
      <c r="E12" s="16"/>
      <c r="F12" s="16"/>
      <c r="G12" s="59"/>
      <c r="H12" s="16"/>
      <c r="I12" s="16"/>
      <c r="J12" s="16"/>
      <c r="K12" s="16"/>
      <c r="L12" s="16"/>
      <c r="M12" s="16"/>
      <c r="N12" s="16"/>
      <c r="O12" s="16"/>
      <c r="P12" s="17"/>
    </row>
    <row r="13" ht="17.55" spans="1:16">
      <c r="A13" s="130" t="s">
        <v>74</v>
      </c>
      <c r="B13" s="131"/>
      <c r="C13" s="131"/>
      <c r="D13" s="131"/>
      <c r="E13" s="131"/>
      <c r="F13" s="131"/>
      <c r="G13" s="131"/>
      <c r="H13" s="148"/>
      <c r="I13" s="151" t="s">
        <v>75</v>
      </c>
      <c r="J13" s="152"/>
      <c r="K13" s="152"/>
      <c r="L13" s="152"/>
      <c r="M13" s="152"/>
      <c r="N13" s="152"/>
      <c r="O13" s="152"/>
      <c r="P13" s="158"/>
    </row>
    <row r="14" ht="28" spans="1:16">
      <c r="A14" s="7" t="s">
        <v>76</v>
      </c>
      <c r="B14" s="7" t="s">
        <v>77</v>
      </c>
      <c r="C14" s="7" t="s">
        <v>78</v>
      </c>
      <c r="D14" s="7" t="s">
        <v>79</v>
      </c>
      <c r="E14" s="7" t="s">
        <v>80</v>
      </c>
      <c r="F14" s="7" t="s">
        <v>81</v>
      </c>
      <c r="G14" s="7" t="s">
        <v>82</v>
      </c>
      <c r="H14" s="7" t="s">
        <v>83</v>
      </c>
      <c r="I14" s="7" t="s">
        <v>76</v>
      </c>
      <c r="J14" s="7" t="s">
        <v>77</v>
      </c>
      <c r="K14" s="7" t="s">
        <v>78</v>
      </c>
      <c r="L14" s="7" t="s">
        <v>79</v>
      </c>
      <c r="M14" s="7" t="s">
        <v>80</v>
      </c>
      <c r="N14" s="7" t="s">
        <v>81</v>
      </c>
      <c r="O14" s="7" t="s">
        <v>82</v>
      </c>
      <c r="P14" s="7" t="s">
        <v>83</v>
      </c>
    </row>
    <row r="15" spans="1:16">
      <c r="A15" s="10">
        <v>1</v>
      </c>
      <c r="B15" s="132">
        <f>IF($L$10="","",$L$10-(A15-1)*Settings!$B$12)</f>
        <v>23500</v>
      </c>
      <c r="C15" s="69">
        <f>IF(B15="","",MROUND(B15*Settings!$B$7,Settings!$B$18))</f>
        <v>211.5</v>
      </c>
      <c r="D15" s="133"/>
      <c r="E15" s="72" t="str">
        <f t="shared" ref="E15:E24" si="0">IF(D15="","",IF(D15&gt;=C15,"Eligible","Not Eligible"))</f>
        <v/>
      </c>
      <c r="F15" s="63"/>
      <c r="G15" s="72" t="str">
        <f>IF(F15="","",IF(F15&gt;=Settings!$B$10,"Eligible","Not Eligible"))</f>
        <v/>
      </c>
      <c r="H15" s="72" t="str">
        <f t="shared" ref="H15:H24" si="1">IF(OR(E15="",G15=""),"",IF(AND(E15="Eligible",G15="Eligible"),"Eligible","Not Eligible"))</f>
        <v/>
      </c>
      <c r="I15" s="10">
        <v>1</v>
      </c>
      <c r="J15" s="132">
        <f>IF($L$8="","",$L$8+(I15-1)*Settings!$B$12)</f>
        <v>23200</v>
      </c>
      <c r="K15" s="69">
        <f>IF(J15="","",MROUND(J15*Settings!$B$7,Settings!$B$18))</f>
        <v>208.8</v>
      </c>
      <c r="L15" s="133"/>
      <c r="M15" s="72" t="str">
        <f t="shared" ref="M15:M24" si="2">IF(L15="","",IF(L15&gt;=K15,"Eligible","Not Eligible"))</f>
        <v/>
      </c>
      <c r="N15" s="63"/>
      <c r="O15" s="72" t="str">
        <f>IF(N15="","",IF(N15&gt;=Settings!$B$10,"Eligible","Not Eligible"))</f>
        <v/>
      </c>
      <c r="P15" s="72" t="str">
        <f t="shared" ref="P15:P24" si="3">IF(OR(M15="",O15=""),"",IF(AND(M15="Eligible",O15="Eligible"),"Eligible","Not Eligible"))</f>
        <v/>
      </c>
    </row>
    <row r="16" spans="1:16">
      <c r="A16" s="10">
        <v>2</v>
      </c>
      <c r="B16" s="132">
        <f>IF($L$10="","",$L$10-(A16-1)*Settings!$B$12)</f>
        <v>23450</v>
      </c>
      <c r="C16" s="69">
        <f>IF(B16="","",MROUND(B16*Settings!$B$7,Settings!$B$18))</f>
        <v>211.05</v>
      </c>
      <c r="D16" s="133"/>
      <c r="E16" s="72" t="str">
        <f t="shared" si="0"/>
        <v/>
      </c>
      <c r="F16" s="63">
        <v>35000</v>
      </c>
      <c r="G16" s="72" t="str">
        <f>IF(F16="","",IF(F16&gt;=Settings!$B$10,"Eligible","Not Eligible"))</f>
        <v>Eligible</v>
      </c>
      <c r="H16" s="72" t="str">
        <f t="shared" si="1"/>
        <v/>
      </c>
      <c r="I16" s="10">
        <v>2</v>
      </c>
      <c r="J16" s="132">
        <f>IF($L$8="","",$L$8+(I16-1)*Settings!$B$12)</f>
        <v>23250</v>
      </c>
      <c r="K16" s="69">
        <f>IF(J16="","",MROUND(J16*Settings!$B$7,Settings!$B$18))</f>
        <v>209.25</v>
      </c>
      <c r="L16" s="133"/>
      <c r="M16" s="72" t="str">
        <f t="shared" si="2"/>
        <v/>
      </c>
      <c r="N16" s="63"/>
      <c r="O16" s="72" t="str">
        <f>IF(N16="","",IF(N16&gt;=Settings!$B$10,"Eligible","Not Eligible"))</f>
        <v/>
      </c>
      <c r="P16" s="72" t="str">
        <f t="shared" si="3"/>
        <v/>
      </c>
    </row>
    <row r="17" spans="1:16">
      <c r="A17" s="10">
        <v>3</v>
      </c>
      <c r="B17" s="132">
        <f>IF($L$10="","",$L$10-(A17-1)*Settings!$B$12)</f>
        <v>23400</v>
      </c>
      <c r="C17" s="69">
        <f>IF(B17="","",MROUND(B17*Settings!$B$7,Settings!$B$18))</f>
        <v>210.6</v>
      </c>
      <c r="D17" s="133"/>
      <c r="E17" s="72" t="str">
        <f t="shared" si="0"/>
        <v/>
      </c>
      <c r="F17" s="63"/>
      <c r="G17" s="72" t="str">
        <f>IF(F17="","",IF(F17&gt;=Settings!$B$10,"Eligible","Not Eligible"))</f>
        <v/>
      </c>
      <c r="H17" s="72" t="str">
        <f t="shared" si="1"/>
        <v/>
      </c>
      <c r="I17" s="10">
        <v>3</v>
      </c>
      <c r="J17" s="132">
        <f>IF($L$8="","",$L$8+(I17-1)*Settings!$B$12)</f>
        <v>23300</v>
      </c>
      <c r="K17" s="69">
        <f>IF(J17="","",MROUND(J17*Settings!$B$7,Settings!$B$18))</f>
        <v>209.7</v>
      </c>
      <c r="L17" s="133"/>
      <c r="M17" s="72" t="str">
        <f t="shared" si="2"/>
        <v/>
      </c>
      <c r="N17" s="63">
        <v>45000</v>
      </c>
      <c r="O17" s="72" t="str">
        <f>IF(N17="","",IF(N17&gt;=Settings!$B$10,"Eligible","Not Eligible"))</f>
        <v>Eligible</v>
      </c>
      <c r="P17" s="72" t="str">
        <f t="shared" si="3"/>
        <v/>
      </c>
    </row>
    <row r="18" spans="1:16">
      <c r="A18" s="10">
        <v>4</v>
      </c>
      <c r="B18" s="132">
        <f>IF($L$10="","",$L$10-(A18-1)*Settings!$B$12)</f>
        <v>23350</v>
      </c>
      <c r="C18" s="69">
        <f>IF(B18="","",MROUND(B18*Settings!$B$7,Settings!$B$18))</f>
        <v>210.15</v>
      </c>
      <c r="D18" s="133"/>
      <c r="E18" s="72" t="str">
        <f t="shared" si="0"/>
        <v/>
      </c>
      <c r="F18" s="63"/>
      <c r="G18" s="72" t="str">
        <f>IF(F18="","",IF(F18&gt;=Settings!$B$10,"Eligible","Not Eligible"))</f>
        <v/>
      </c>
      <c r="H18" s="72" t="str">
        <f t="shared" si="1"/>
        <v/>
      </c>
      <c r="I18" s="10">
        <v>4</v>
      </c>
      <c r="J18" s="132">
        <f>IF($L$8="","",$L$8+(I18-1)*Settings!$B$12)</f>
        <v>23350</v>
      </c>
      <c r="K18" s="69">
        <f>IF(J18="","",MROUND(J18*Settings!$B$7,Settings!$B$18))</f>
        <v>210.15</v>
      </c>
      <c r="L18" s="133"/>
      <c r="M18" s="72" t="str">
        <f t="shared" si="2"/>
        <v/>
      </c>
      <c r="N18" s="63"/>
      <c r="O18" s="72" t="str">
        <f>IF(N18="","",IF(N18&gt;=Settings!$B$10,"Eligible","Not Eligible"))</f>
        <v/>
      </c>
      <c r="P18" s="72" t="str">
        <f t="shared" si="3"/>
        <v/>
      </c>
    </row>
    <row r="19" spans="1:16">
      <c r="A19" s="10">
        <v>5</v>
      </c>
      <c r="B19" s="132">
        <f>IF($L$10="","",$L$10-(A19-1)*Settings!$B$12)</f>
        <v>23300</v>
      </c>
      <c r="C19" s="69">
        <f>IF(B19="","",MROUND(B19*Settings!$B$7,Settings!$B$18))</f>
        <v>209.7</v>
      </c>
      <c r="D19" s="133"/>
      <c r="E19" s="72" t="str">
        <f t="shared" si="0"/>
        <v/>
      </c>
      <c r="F19" s="63"/>
      <c r="G19" s="72" t="str">
        <f>IF(F19="","",IF(F19&gt;=Settings!$B$10,"Eligible","Not Eligible"))</f>
        <v/>
      </c>
      <c r="H19" s="72" t="str">
        <f t="shared" si="1"/>
        <v/>
      </c>
      <c r="I19" s="10">
        <v>5</v>
      </c>
      <c r="J19" s="132">
        <f>IF($L$8="","",$L$8+(I19-1)*Settings!$B$12)</f>
        <v>23400</v>
      </c>
      <c r="K19" s="69">
        <f>IF(J19="","",MROUND(J19*Settings!$B$7,Settings!$B$18))</f>
        <v>210.6</v>
      </c>
      <c r="L19" s="133"/>
      <c r="M19" s="72" t="str">
        <f t="shared" si="2"/>
        <v/>
      </c>
      <c r="N19" s="63"/>
      <c r="O19" s="72" t="str">
        <f>IF(N19="","",IF(N19&gt;=Settings!$B$10,"Eligible","Not Eligible"))</f>
        <v/>
      </c>
      <c r="P19" s="72" t="str">
        <f t="shared" si="3"/>
        <v/>
      </c>
    </row>
    <row r="20" spans="1:16">
      <c r="A20" s="10">
        <v>6</v>
      </c>
      <c r="B20" s="132">
        <f>IF($L$10="","",$L$10-(A20-1)*Settings!$B$12)</f>
        <v>23250</v>
      </c>
      <c r="C20" s="69">
        <f>IF(B20="","",MROUND(B20*Settings!$B$7,Settings!$B$18))</f>
        <v>209.25</v>
      </c>
      <c r="D20" s="133"/>
      <c r="E20" s="72" t="str">
        <f t="shared" si="0"/>
        <v/>
      </c>
      <c r="F20" s="63"/>
      <c r="G20" s="72" t="str">
        <f>IF(F20="","",IF(F20&gt;=Settings!$B$10,"Eligible","Not Eligible"))</f>
        <v/>
      </c>
      <c r="H20" s="72" t="str">
        <f t="shared" si="1"/>
        <v/>
      </c>
      <c r="I20" s="10">
        <v>6</v>
      </c>
      <c r="J20" s="132">
        <f>IF($L$8="","",$L$8+(I20-1)*Settings!$B$12)</f>
        <v>23450</v>
      </c>
      <c r="K20" s="69">
        <f>IF(J20="","",MROUND(J20*Settings!$B$7,Settings!$B$18))</f>
        <v>211.05</v>
      </c>
      <c r="L20" s="133"/>
      <c r="M20" s="72" t="str">
        <f t="shared" si="2"/>
        <v/>
      </c>
      <c r="N20" s="63"/>
      <c r="O20" s="72" t="str">
        <f>IF(N20="","",IF(N20&gt;=Settings!$B$10,"Eligible","Not Eligible"))</f>
        <v/>
      </c>
      <c r="P20" s="72" t="str">
        <f t="shared" si="3"/>
        <v/>
      </c>
    </row>
    <row r="21" spans="1:16">
      <c r="A21" s="10">
        <v>7</v>
      </c>
      <c r="B21" s="132">
        <f>IF($L$10="","",$L$10-(A21-1)*Settings!$B$12)</f>
        <v>23200</v>
      </c>
      <c r="C21" s="69">
        <f>IF(B21="","",MROUND(B21*Settings!$B$7,Settings!$B$18))</f>
        <v>208.8</v>
      </c>
      <c r="D21" s="133"/>
      <c r="E21" s="72" t="str">
        <f t="shared" si="0"/>
        <v/>
      </c>
      <c r="F21" s="63"/>
      <c r="G21" s="72" t="str">
        <f>IF(F21="","",IF(F21&gt;=Settings!$B$10,"Eligible","Not Eligible"))</f>
        <v/>
      </c>
      <c r="H21" s="72" t="str">
        <f t="shared" si="1"/>
        <v/>
      </c>
      <c r="I21" s="10">
        <v>7</v>
      </c>
      <c r="J21" s="132">
        <f>IF($L$8="","",$L$8+(I21-1)*Settings!$B$12)</f>
        <v>23500</v>
      </c>
      <c r="K21" s="69">
        <f>IF(J21="","",MROUND(J21*Settings!$B$7,Settings!$B$18))</f>
        <v>211.5</v>
      </c>
      <c r="L21" s="133"/>
      <c r="M21" s="72" t="str">
        <f t="shared" si="2"/>
        <v/>
      </c>
      <c r="N21" s="63"/>
      <c r="O21" s="72" t="str">
        <f>IF(N21="","",IF(N21&gt;=Settings!$B$10,"Eligible","Not Eligible"))</f>
        <v/>
      </c>
      <c r="P21" s="72" t="str">
        <f t="shared" si="3"/>
        <v/>
      </c>
    </row>
    <row r="22" spans="1:16">
      <c r="A22" s="10">
        <v>8</v>
      </c>
      <c r="B22" s="132">
        <f>IF($L$10="","",$L$10-(A22-1)*Settings!$B$12)</f>
        <v>23150</v>
      </c>
      <c r="C22" s="69">
        <f>IF(B22="","",MROUND(B22*Settings!$B$7,Settings!$B$18))</f>
        <v>208.35</v>
      </c>
      <c r="D22" s="133"/>
      <c r="E22" s="72" t="str">
        <f t="shared" si="0"/>
        <v/>
      </c>
      <c r="F22" s="63"/>
      <c r="G22" s="72" t="str">
        <f>IF(F22="","",IF(F22&gt;=Settings!$B$10,"Eligible","Not Eligible"))</f>
        <v/>
      </c>
      <c r="H22" s="72" t="str">
        <f t="shared" si="1"/>
        <v/>
      </c>
      <c r="I22" s="10">
        <v>8</v>
      </c>
      <c r="J22" s="132">
        <f>IF($L$8="","",$L$8+(I22-1)*Settings!$B$12)</f>
        <v>23550</v>
      </c>
      <c r="K22" s="69">
        <f>IF(J22="","",MROUND(J22*Settings!$B$7,Settings!$B$18))</f>
        <v>211.95</v>
      </c>
      <c r="L22" s="133"/>
      <c r="M22" s="72" t="str">
        <f t="shared" si="2"/>
        <v/>
      </c>
      <c r="N22" s="63"/>
      <c r="O22" s="72" t="str">
        <f>IF(N22="","",IF(N22&gt;=Settings!$B$10,"Eligible","Not Eligible"))</f>
        <v/>
      </c>
      <c r="P22" s="72" t="str">
        <f t="shared" si="3"/>
        <v/>
      </c>
    </row>
    <row r="23" spans="1:16">
      <c r="A23" s="10">
        <v>9</v>
      </c>
      <c r="B23" s="132">
        <f>IF($L$10="","",$L$10-(A23-1)*Settings!$B$12)</f>
        <v>23100</v>
      </c>
      <c r="C23" s="69">
        <f>IF(B23="","",MROUND(B23*Settings!$B$7,Settings!$B$18))</f>
        <v>207.9</v>
      </c>
      <c r="D23" s="133"/>
      <c r="E23" s="72" t="str">
        <f t="shared" si="0"/>
        <v/>
      </c>
      <c r="F23" s="63"/>
      <c r="G23" s="72" t="str">
        <f>IF(F23="","",IF(F23&gt;=Settings!$B$10,"Eligible","Not Eligible"))</f>
        <v/>
      </c>
      <c r="H23" s="72" t="str">
        <f t="shared" si="1"/>
        <v/>
      </c>
      <c r="I23" s="10">
        <v>9</v>
      </c>
      <c r="J23" s="132">
        <f>IF($L$8="","",$L$8+(I23-1)*Settings!$B$12)</f>
        <v>23600</v>
      </c>
      <c r="K23" s="69">
        <f>IF(J23="","",MROUND(J23*Settings!$B$7,Settings!$B$18))</f>
        <v>212.4</v>
      </c>
      <c r="L23" s="133"/>
      <c r="M23" s="72" t="str">
        <f t="shared" si="2"/>
        <v/>
      </c>
      <c r="N23" s="63"/>
      <c r="O23" s="72" t="str">
        <f>IF(N23="","",IF(N23&gt;=Settings!$B$10,"Eligible","Not Eligible"))</f>
        <v/>
      </c>
      <c r="P23" s="72" t="str">
        <f t="shared" si="3"/>
        <v/>
      </c>
    </row>
    <row r="24" spans="1:16">
      <c r="A24" s="10">
        <v>10</v>
      </c>
      <c r="B24" s="132">
        <f>IF($L$10="","",$L$10-(A24-1)*Settings!$B$12)</f>
        <v>23050</v>
      </c>
      <c r="C24" s="69">
        <f>IF(B24="","",MROUND(B24*Settings!$B$7,Settings!$B$18))</f>
        <v>207.45</v>
      </c>
      <c r="D24" s="133"/>
      <c r="E24" s="72" t="str">
        <f t="shared" si="0"/>
        <v/>
      </c>
      <c r="F24" s="63"/>
      <c r="G24" s="72" t="str">
        <f>IF(F24="","",IF(F24&gt;=Settings!$B$10,"Eligible","Not Eligible"))</f>
        <v/>
      </c>
      <c r="H24" s="72" t="str">
        <f t="shared" si="1"/>
        <v/>
      </c>
      <c r="I24" s="10">
        <v>10</v>
      </c>
      <c r="J24" s="132">
        <f>IF($L$8="","",$L$8+(I24-1)*Settings!$B$12)</f>
        <v>23650</v>
      </c>
      <c r="K24" s="69">
        <f>IF(J24="","",MROUND(J24*Settings!$B$7,Settings!$B$18))</f>
        <v>212.85</v>
      </c>
      <c r="L24" s="133"/>
      <c r="M24" s="72" t="str">
        <f t="shared" si="2"/>
        <v/>
      </c>
      <c r="N24" s="63"/>
      <c r="O24" s="72" t="str">
        <f>IF(N24="","",IF(N24&gt;=Settings!$B$10,"Eligible","Not Eligible"))</f>
        <v/>
      </c>
      <c r="P24" s="72" t="str">
        <f t="shared" si="3"/>
        <v/>
      </c>
    </row>
    <row r="25" ht="17.55" spans="1:16">
      <c r="A25" s="14"/>
      <c r="B25" s="14"/>
      <c r="C25" s="14"/>
      <c r="D25" s="14"/>
      <c r="E25" s="14"/>
      <c r="F25" s="14"/>
      <c r="G25" s="14"/>
      <c r="H25" s="14"/>
      <c r="I25" s="14"/>
      <c r="J25" s="14"/>
      <c r="K25" s="14"/>
      <c r="L25" s="14"/>
      <c r="M25" s="14"/>
      <c r="N25" s="14"/>
      <c r="O25" s="14"/>
      <c r="P25" s="14"/>
    </row>
    <row r="26" ht="17.55" spans="1:16">
      <c r="A26" s="15" t="s">
        <v>84</v>
      </c>
      <c r="B26" s="16"/>
      <c r="C26" s="16"/>
      <c r="D26" s="16"/>
      <c r="E26" s="16"/>
      <c r="F26" s="16"/>
      <c r="G26" s="16"/>
      <c r="H26" s="16"/>
      <c r="I26" s="16"/>
      <c r="J26" s="16"/>
      <c r="K26" s="16"/>
      <c r="L26" s="16"/>
      <c r="M26" s="16"/>
      <c r="N26" s="16"/>
      <c r="O26" s="16"/>
      <c r="P26" s="17"/>
    </row>
    <row r="27" ht="17.55" spans="1:16">
      <c r="A27" s="57" t="s">
        <v>85</v>
      </c>
      <c r="B27" s="57"/>
      <c r="C27" s="62">
        <v>23300</v>
      </c>
      <c r="D27" s="57" t="s">
        <v>86</v>
      </c>
      <c r="E27" s="57"/>
      <c r="F27" s="149">
        <v>46287</v>
      </c>
      <c r="G27" s="57" t="s">
        <v>87</v>
      </c>
      <c r="H27" s="39" t="str">
        <f>IF(OR(C27="",F27=""),"INPUT REQUIRED",IF(COUNTIFS($B$15:$B$24,C27,$H$15:$H$24,"Eligible")=1,"READY","NOT ELIGIBLE"))</f>
        <v>NOT ELIGIBLE</v>
      </c>
      <c r="I27" s="57" t="s">
        <v>88</v>
      </c>
      <c r="J27" s="57"/>
      <c r="K27" s="62">
        <v>23300</v>
      </c>
      <c r="L27" s="57" t="s">
        <v>86</v>
      </c>
      <c r="M27" s="57"/>
      <c r="N27" s="149">
        <v>46287</v>
      </c>
      <c r="O27" s="57" t="s">
        <v>87</v>
      </c>
      <c r="P27" s="39" t="str">
        <f>IF(OR(K27="",N27=""),"INPUT REQUIRED",IF(COUNTIFS($J$15:$J$24,K27,$P$15:$P$24,"Eligible")=1,"READY","NOT ELIGIBLE"))</f>
        <v>NOT ELIGIBLE</v>
      </c>
    </row>
    <row r="28" spans="1:16">
      <c r="A28" s="134" t="s">
        <v>89</v>
      </c>
      <c r="B28" s="134"/>
      <c r="C28" s="134"/>
      <c r="D28" s="134"/>
      <c r="E28" s="134"/>
      <c r="F28" s="134"/>
      <c r="G28" s="134"/>
      <c r="H28" s="134"/>
      <c r="I28" s="134"/>
      <c r="J28" s="134"/>
      <c r="K28" s="134"/>
      <c r="L28" s="134"/>
      <c r="M28" s="134"/>
      <c r="N28" s="134"/>
      <c r="O28" s="134"/>
      <c r="P28" s="134"/>
    </row>
    <row r="29" ht="17.55" spans="1:16">
      <c r="A29" s="14"/>
      <c r="B29" s="14"/>
      <c r="C29" s="14"/>
      <c r="D29" s="14"/>
      <c r="E29" s="14"/>
      <c r="F29" s="14"/>
      <c r="G29" s="14"/>
      <c r="H29" s="14"/>
      <c r="I29" s="14"/>
      <c r="J29" s="14"/>
      <c r="K29" s="14"/>
      <c r="L29" s="14"/>
      <c r="M29" s="14"/>
      <c r="N29" s="14"/>
      <c r="O29" s="14"/>
      <c r="P29" s="14"/>
    </row>
    <row r="30" ht="17.55" spans="1:16">
      <c r="A30" s="15" t="s">
        <v>90</v>
      </c>
      <c r="B30" s="16"/>
      <c r="C30" s="16"/>
      <c r="D30" s="16"/>
      <c r="E30" s="16"/>
      <c r="F30" s="16"/>
      <c r="G30" s="16"/>
      <c r="H30" s="16"/>
      <c r="I30" s="16"/>
      <c r="J30" s="16"/>
      <c r="K30" s="16"/>
      <c r="L30" s="16"/>
      <c r="M30" s="16"/>
      <c r="N30" s="16"/>
      <c r="O30" s="16"/>
      <c r="P30" s="17"/>
    </row>
    <row r="31" spans="1:16">
      <c r="A31" s="85" t="s">
        <v>91</v>
      </c>
      <c r="B31" s="85"/>
      <c r="C31" s="85"/>
      <c r="D31" s="85"/>
      <c r="E31" s="85"/>
      <c r="F31" s="85"/>
      <c r="G31" s="85"/>
      <c r="H31" s="85"/>
      <c r="I31" s="104" t="s">
        <v>92</v>
      </c>
      <c r="J31" s="104"/>
      <c r="K31" s="104"/>
      <c r="L31" s="104"/>
      <c r="M31" s="104"/>
      <c r="N31" s="104"/>
      <c r="O31" s="104"/>
      <c r="P31" s="104"/>
    </row>
    <row r="32" spans="1:16">
      <c r="A32" s="7" t="s">
        <v>93</v>
      </c>
      <c r="B32" s="7" t="s">
        <v>60</v>
      </c>
      <c r="C32" s="7" t="s">
        <v>61</v>
      </c>
      <c r="D32" s="14"/>
      <c r="E32" s="14"/>
      <c r="F32" s="14"/>
      <c r="G32" s="14"/>
      <c r="H32" s="14"/>
      <c r="I32" s="7" t="s">
        <v>93</v>
      </c>
      <c r="J32" s="7" t="s">
        <v>60</v>
      </c>
      <c r="K32" s="7" t="s">
        <v>61</v>
      </c>
      <c r="L32" s="14"/>
      <c r="M32" s="14"/>
      <c r="N32" s="14"/>
      <c r="O32" s="14"/>
      <c r="P32" s="14"/>
    </row>
    <row r="33" spans="1:16">
      <c r="A33" s="10" t="s">
        <v>65</v>
      </c>
      <c r="B33" s="135">
        <v>461.15</v>
      </c>
      <c r="C33" s="135">
        <v>292.35</v>
      </c>
      <c r="D33" s="14"/>
      <c r="E33" s="14"/>
      <c r="F33" s="14"/>
      <c r="G33" s="14"/>
      <c r="H33" s="14"/>
      <c r="I33" s="10" t="s">
        <v>65</v>
      </c>
      <c r="J33" s="135">
        <v>427.05</v>
      </c>
      <c r="K33" s="135">
        <v>268.75</v>
      </c>
      <c r="L33" s="14"/>
      <c r="M33" s="14"/>
      <c r="N33" s="14"/>
      <c r="O33" s="14"/>
      <c r="P33" s="14"/>
    </row>
    <row r="34" spans="1:16">
      <c r="A34" s="10" t="s">
        <v>69</v>
      </c>
      <c r="B34" s="135">
        <v>466.35</v>
      </c>
      <c r="C34" s="135">
        <v>201.05</v>
      </c>
      <c r="D34" s="14"/>
      <c r="E34" s="14"/>
      <c r="F34" s="14"/>
      <c r="G34" s="14"/>
      <c r="H34" s="14"/>
      <c r="I34" s="10" t="s">
        <v>69</v>
      </c>
      <c r="J34" s="135">
        <v>526.3</v>
      </c>
      <c r="K34" s="135">
        <v>204.75</v>
      </c>
      <c r="L34" s="14"/>
      <c r="M34" s="14"/>
      <c r="N34" s="14"/>
      <c r="O34" s="14"/>
      <c r="P34" s="14"/>
    </row>
    <row r="35" spans="1:16">
      <c r="A35" s="136" t="s">
        <v>72</v>
      </c>
      <c r="B35" s="135">
        <v>347</v>
      </c>
      <c r="C35" s="135">
        <v>209</v>
      </c>
      <c r="D35" s="14"/>
      <c r="E35" s="14"/>
      <c r="F35" s="14"/>
      <c r="G35" s="14"/>
      <c r="H35" s="14"/>
      <c r="I35" s="136" t="s">
        <v>72</v>
      </c>
      <c r="J35" s="135">
        <v>526.3</v>
      </c>
      <c r="K35" s="135">
        <v>204.75</v>
      </c>
      <c r="L35" s="14"/>
      <c r="M35" s="14"/>
      <c r="N35" s="14"/>
      <c r="O35" s="14"/>
      <c r="P35" s="14"/>
    </row>
    <row r="36" spans="1:16">
      <c r="A36" s="136" t="s">
        <v>56</v>
      </c>
      <c r="B36" s="70">
        <f>IF(COUNT(B33:B35)&lt;3,"",MAX(B33:B35))</f>
        <v>466.35</v>
      </c>
      <c r="C36" s="70"/>
      <c r="D36" s="14"/>
      <c r="E36" s="14"/>
      <c r="F36" s="14"/>
      <c r="G36" s="14"/>
      <c r="H36" s="14"/>
      <c r="I36" s="136" t="s">
        <v>56</v>
      </c>
      <c r="J36" s="70">
        <f>IF(COUNT(J33:J35)&lt;3,"",MAX(J33:J35))</f>
        <v>526.3</v>
      </c>
      <c r="K36" s="70"/>
      <c r="L36" s="14"/>
      <c r="M36" s="14"/>
      <c r="N36" s="14"/>
      <c r="O36" s="14"/>
      <c r="P36" s="14"/>
    </row>
    <row r="37" ht="17.55" spans="1:16">
      <c r="A37" s="136" t="s">
        <v>62</v>
      </c>
      <c r="B37" s="70"/>
      <c r="C37" s="70">
        <f>IF(COUNT(C33:C35)&lt;3,"",MIN(C33:C35))</f>
        <v>201.05</v>
      </c>
      <c r="D37" s="14"/>
      <c r="E37" s="14"/>
      <c r="F37" s="14"/>
      <c r="G37" s="14"/>
      <c r="H37" s="14"/>
      <c r="I37" s="136" t="s">
        <v>62</v>
      </c>
      <c r="J37" s="70"/>
      <c r="K37" s="70">
        <f>IF(COUNT(K33:K35)&lt;3,"",MIN(K33:K35))</f>
        <v>204.75</v>
      </c>
      <c r="L37" s="14"/>
      <c r="M37" s="14"/>
      <c r="N37" s="14"/>
      <c r="O37" s="14"/>
      <c r="P37" s="14"/>
    </row>
    <row r="38" ht="17.55" spans="1:16">
      <c r="A38" s="15" t="s">
        <v>94</v>
      </c>
      <c r="B38" s="16"/>
      <c r="C38" s="16"/>
      <c r="D38" s="16"/>
      <c r="E38" s="16"/>
      <c r="F38" s="16"/>
      <c r="G38" s="16"/>
      <c r="H38" s="16"/>
      <c r="I38" s="16"/>
      <c r="J38" s="16"/>
      <c r="K38" s="16"/>
      <c r="L38" s="16"/>
      <c r="M38" s="16"/>
      <c r="N38" s="16"/>
      <c r="O38" s="16"/>
      <c r="P38" s="17"/>
    </row>
    <row r="39" spans="1:16">
      <c r="A39" s="90" t="s">
        <v>95</v>
      </c>
      <c r="B39" s="90" t="s">
        <v>16</v>
      </c>
      <c r="C39" s="90" t="s">
        <v>17</v>
      </c>
      <c r="D39" s="90" t="s">
        <v>96</v>
      </c>
      <c r="E39" s="90" t="s">
        <v>97</v>
      </c>
      <c r="F39" s="90" t="s">
        <v>98</v>
      </c>
      <c r="G39" s="90" t="s">
        <v>20</v>
      </c>
      <c r="H39" s="14"/>
      <c r="I39" s="114" t="s">
        <v>95</v>
      </c>
      <c r="J39" s="114" t="s">
        <v>16</v>
      </c>
      <c r="K39" s="114" t="s">
        <v>17</v>
      </c>
      <c r="L39" s="114" t="s">
        <v>96</v>
      </c>
      <c r="M39" s="114" t="s">
        <v>97</v>
      </c>
      <c r="N39" s="114" t="s">
        <v>98</v>
      </c>
      <c r="O39" s="114" t="s">
        <v>20</v>
      </c>
      <c r="P39" s="14"/>
    </row>
    <row r="40" spans="1:16">
      <c r="A40" s="137" t="s">
        <v>99</v>
      </c>
      <c r="B40" s="138">
        <f>IF($C$27="","",$C$27)</f>
        <v>23300</v>
      </c>
      <c r="C40" s="139">
        <f>IF($F$27="","",$F$27)</f>
        <v>46287</v>
      </c>
      <c r="D40" s="140">
        <f>IF(COUNT($B$33:$C$35)&lt;6,"",MROUND($C$37*Settings!$B$14,Settings!$B$18))</f>
        <v>180.95</v>
      </c>
      <c r="E40" s="140">
        <f>IF(D40="","",MROUND(D40*Settings!$B$15,Settings!$B$18))</f>
        <v>45.25</v>
      </c>
      <c r="F40" s="140">
        <f>IF(OR(D40="",$B$36=""),"",MROUND(MIN(D40*Settings!$B$16,$B$36*Settings!$B$17),Settings!$B$18))</f>
        <v>316.65</v>
      </c>
      <c r="G40" s="137" t="str">
        <f>IF(H27&lt;&gt;"READY","READY",IF(COUNT(B33:C35)&lt;6,"READY","READY"))</f>
        <v>READY</v>
      </c>
      <c r="H40" s="14"/>
      <c r="I40" s="153" t="s">
        <v>100</v>
      </c>
      <c r="J40" s="154">
        <f>IF($K$27="","",$K$27)</f>
        <v>23300</v>
      </c>
      <c r="K40" s="155">
        <f>IF($N$27="","",$N$27)</f>
        <v>46287</v>
      </c>
      <c r="L40" s="156">
        <f>IF(COUNT($J$33:$K$35)&lt;6,"",MROUND($K$37*Settings!$B$14,Settings!$B$18))</f>
        <v>184.3</v>
      </c>
      <c r="M40" s="156">
        <f>IF(L40="","",MROUND(L40*Settings!$B$15,Settings!$B$18))</f>
        <v>46.1</v>
      </c>
      <c r="N40" s="156">
        <f>IF(OR(L40="",$J$36=""),"",MROUND(MIN(L40*Settings!$B$16,$J$36*Settings!$B$17),Settings!$B$18))</f>
        <v>322.55</v>
      </c>
      <c r="O40" s="153" t="str">
        <f>IF(P27&lt;&gt;"READY","READY",IF(COUNT(J33:K35)&lt;6,"READY","READY"))</f>
        <v>READY</v>
      </c>
      <c r="P40" s="14"/>
    </row>
    <row r="41" ht="17.55" spans="1:16">
      <c r="A41" s="14"/>
      <c r="B41" s="14"/>
      <c r="C41" s="14"/>
      <c r="D41" s="14"/>
      <c r="E41" s="14"/>
      <c r="F41" s="14"/>
      <c r="G41" s="14"/>
      <c r="H41" s="14"/>
      <c r="I41" s="14"/>
      <c r="J41" s="14"/>
      <c r="K41" s="14"/>
      <c r="L41" s="14"/>
      <c r="M41" s="14"/>
      <c r="N41" s="14"/>
      <c r="O41" s="14"/>
      <c r="P41" s="14"/>
    </row>
    <row r="42" ht="17.55" spans="1:16">
      <c r="A42" s="15" t="s">
        <v>101</v>
      </c>
      <c r="B42" s="16"/>
      <c r="C42" s="16"/>
      <c r="D42" s="16"/>
      <c r="E42" s="16"/>
      <c r="F42" s="16"/>
      <c r="G42" s="16"/>
      <c r="H42" s="16"/>
      <c r="I42" s="16"/>
      <c r="J42" s="16"/>
      <c r="K42" s="16"/>
      <c r="L42" s="16"/>
      <c r="M42" s="16"/>
      <c r="N42" s="16"/>
      <c r="O42" s="16"/>
      <c r="P42" s="17"/>
    </row>
    <row r="43" spans="1:16">
      <c r="A43" s="104" t="s">
        <v>102</v>
      </c>
      <c r="B43" s="104"/>
      <c r="C43" s="104"/>
      <c r="D43" s="104"/>
      <c r="E43" s="104"/>
      <c r="F43" s="104"/>
      <c r="G43" s="104"/>
      <c r="H43" s="104"/>
      <c r="I43" s="85" t="s">
        <v>103</v>
      </c>
      <c r="J43" s="85"/>
      <c r="K43" s="85"/>
      <c r="L43" s="85"/>
      <c r="M43" s="85"/>
      <c r="N43" s="85"/>
      <c r="O43" s="85"/>
      <c r="P43" s="85"/>
    </row>
    <row r="44" spans="1:16">
      <c r="A44" s="57" t="s">
        <v>104</v>
      </c>
      <c r="B44" s="57"/>
      <c r="C44" s="57"/>
      <c r="D44" s="141">
        <v>23455</v>
      </c>
      <c r="E44" s="14"/>
      <c r="F44" s="14"/>
      <c r="G44" s="14"/>
      <c r="H44" s="14"/>
      <c r="I44" s="57" t="s">
        <v>105</v>
      </c>
      <c r="J44" s="57"/>
      <c r="K44" s="57"/>
      <c r="L44" s="141">
        <v>23421</v>
      </c>
      <c r="M44" s="14"/>
      <c r="N44" s="14"/>
      <c r="O44" s="14"/>
      <c r="P44" s="14"/>
    </row>
    <row r="45" spans="1:16">
      <c r="A45" s="57" t="s">
        <v>106</v>
      </c>
      <c r="B45" s="57"/>
      <c r="C45" s="57"/>
      <c r="D45" s="39">
        <f>IF(D44="","",MROUND(D44*(1+Settings!$B$11),Settings!$B$19))</f>
        <v>23490.2</v>
      </c>
      <c r="E45" s="14"/>
      <c r="F45" s="14"/>
      <c r="G45" s="14"/>
      <c r="H45" s="14"/>
      <c r="I45" s="57" t="s">
        <v>106</v>
      </c>
      <c r="J45" s="57"/>
      <c r="K45" s="57"/>
      <c r="L45" s="39">
        <f>IF(L44="","",MROUND(L44*(1-Settings!$B$11),Settings!$B$19))</f>
        <v>23385.9</v>
      </c>
      <c r="M45" s="14"/>
      <c r="N45" s="14"/>
      <c r="O45" s="14"/>
      <c r="P45" s="14"/>
    </row>
    <row r="46" spans="1:16">
      <c r="A46" s="57" t="s">
        <v>57</v>
      </c>
      <c r="B46" s="57"/>
      <c r="C46" s="57"/>
      <c r="D46" s="39">
        <f>IF(D45="","",CEILING(D45,Settings!$B$12))</f>
        <v>23500</v>
      </c>
      <c r="E46" s="14"/>
      <c r="F46" s="14"/>
      <c r="G46" s="14"/>
      <c r="H46" s="14"/>
      <c r="I46" s="57" t="s">
        <v>67</v>
      </c>
      <c r="J46" s="57"/>
      <c r="K46" s="57"/>
      <c r="L46" s="39">
        <f>IF(L45="","",FLOOR(L45,Settings!$B$12))</f>
        <v>23350</v>
      </c>
      <c r="M46" s="14"/>
      <c r="N46" s="14"/>
      <c r="O46" s="14"/>
      <c r="P46" s="14"/>
    </row>
    <row r="47" spans="1:16">
      <c r="A47" s="57" t="s">
        <v>63</v>
      </c>
      <c r="B47" s="57"/>
      <c r="C47" s="57"/>
      <c r="D47" s="39">
        <f>IF(D46="","",D46-(Settings!$B$13-1)*Settings!$B$12)</f>
        <v>23050</v>
      </c>
      <c r="E47" s="14"/>
      <c r="F47" s="14"/>
      <c r="G47" s="14"/>
      <c r="H47" s="14"/>
      <c r="I47" s="57" t="s">
        <v>71</v>
      </c>
      <c r="J47" s="57"/>
      <c r="K47" s="57"/>
      <c r="L47" s="39">
        <f>IF(L46="","",L46+(Settings!$B$13-1)*Settings!$B$12)</f>
        <v>23800</v>
      </c>
      <c r="M47" s="14"/>
      <c r="N47" s="14"/>
      <c r="O47" s="14"/>
      <c r="P47" s="14"/>
    </row>
    <row r="48" ht="28" spans="1:16">
      <c r="A48" s="7" t="s">
        <v>76</v>
      </c>
      <c r="B48" s="7" t="s">
        <v>77</v>
      </c>
      <c r="C48" s="7" t="s">
        <v>78</v>
      </c>
      <c r="D48" s="7" t="s">
        <v>107</v>
      </c>
      <c r="E48" s="7" t="s">
        <v>80</v>
      </c>
      <c r="F48" s="7" t="s">
        <v>81</v>
      </c>
      <c r="G48" s="7" t="s">
        <v>82</v>
      </c>
      <c r="H48" s="7" t="s">
        <v>83</v>
      </c>
      <c r="I48" s="7" t="s">
        <v>76</v>
      </c>
      <c r="J48" s="7" t="s">
        <v>77</v>
      </c>
      <c r="K48" s="7" t="s">
        <v>78</v>
      </c>
      <c r="L48" s="7" t="s">
        <v>107</v>
      </c>
      <c r="M48" s="7" t="s">
        <v>80</v>
      </c>
      <c r="N48" s="7" t="s">
        <v>81</v>
      </c>
      <c r="O48" s="7" t="s">
        <v>82</v>
      </c>
      <c r="P48" s="7" t="s">
        <v>83</v>
      </c>
    </row>
    <row r="49" spans="1:16">
      <c r="A49" s="10">
        <v>1</v>
      </c>
      <c r="B49" s="72">
        <f>IF($D$47="","",$D$47+(A49-1)*Settings!$B$12)</f>
        <v>23050</v>
      </c>
      <c r="C49" s="72">
        <f>IF(B49="","",MROUND(B49*Settings!$B$7,Settings!$B$18))</f>
        <v>207.45</v>
      </c>
      <c r="D49" s="133"/>
      <c r="E49" s="72" t="str">
        <f t="shared" ref="E49:E58" si="4">IF(D49="","",IF(D49&gt;=C49,"Eligible","Not Eligible"))</f>
        <v/>
      </c>
      <c r="F49" s="63"/>
      <c r="G49" s="72" t="str">
        <f>IF(F49="","",IF(F49&gt;=Settings!$B$10,"Eligible","Not Eligible"))</f>
        <v/>
      </c>
      <c r="H49" s="72" t="str">
        <f t="shared" ref="H49:H58" si="5">IF(OR(E49="",G49=""),"",IF(AND(E49="Eligible",G49="Eligible"),"Eligible","Not Eligible"))</f>
        <v/>
      </c>
      <c r="I49" s="10">
        <v>1</v>
      </c>
      <c r="J49" s="72">
        <f>IF($L$47="","",$L$47-(I49-1)*Settings!$B$12)</f>
        <v>23800</v>
      </c>
      <c r="K49" s="72">
        <f>IF(J49="","",MROUND(J49*Settings!$B$7,Settings!$B$18))</f>
        <v>214.2</v>
      </c>
      <c r="L49" s="133"/>
      <c r="M49" s="72" t="str">
        <f t="shared" ref="M49:M58" si="6">IF(L49="","",IF(L49&gt;=K49,"Eligible","Not Eligible"))</f>
        <v/>
      </c>
      <c r="N49" s="63"/>
      <c r="O49" s="72" t="str">
        <f>IF(N49="","",IF(N49&gt;=Settings!$B$10,"Eligible","Not Eligible"))</f>
        <v/>
      </c>
      <c r="P49" s="72" t="str">
        <f t="shared" ref="P49:P58" si="7">IF(OR(M49="",O49=""),"",IF(AND(M49="Eligible",O49="Eligible"),"Eligible","Not Eligible"))</f>
        <v/>
      </c>
    </row>
    <row r="50" spans="1:16">
      <c r="A50" s="10">
        <v>2</v>
      </c>
      <c r="B50" s="72">
        <f>IF($D$47="","",$D$47+(A50-1)*Settings!$B$12)</f>
        <v>23100</v>
      </c>
      <c r="C50" s="72">
        <f>IF(B50="","",MROUND(B50*Settings!$B$7,Settings!$B$18))</f>
        <v>207.9</v>
      </c>
      <c r="D50" s="133"/>
      <c r="E50" s="72" t="str">
        <f t="shared" si="4"/>
        <v/>
      </c>
      <c r="F50" s="63"/>
      <c r="G50" s="72" t="str">
        <f>IF(F50="","",IF(F50&gt;=Settings!$B$10,"Eligible","Not Eligible"))</f>
        <v/>
      </c>
      <c r="H50" s="72" t="str">
        <f t="shared" si="5"/>
        <v/>
      </c>
      <c r="I50" s="10">
        <v>2</v>
      </c>
      <c r="J50" s="72">
        <f>IF($L$47="","",$L$47-(I50-1)*Settings!$B$12)</f>
        <v>23750</v>
      </c>
      <c r="K50" s="72">
        <f>IF(J50="","",MROUND(J50*Settings!$B$7,Settings!$B$18))</f>
        <v>213.75</v>
      </c>
      <c r="L50" s="133"/>
      <c r="M50" s="72" t="str">
        <f t="shared" si="6"/>
        <v/>
      </c>
      <c r="N50" s="63"/>
      <c r="O50" s="72" t="str">
        <f>IF(N50="","",IF(N50&gt;=Settings!$B$10,"Eligible","Not Eligible"))</f>
        <v/>
      </c>
      <c r="P50" s="72" t="str">
        <f t="shared" si="7"/>
        <v/>
      </c>
    </row>
    <row r="51" spans="1:16">
      <c r="A51" s="10">
        <v>3</v>
      </c>
      <c r="B51" s="72">
        <f>IF($D$47="","",$D$47+(A51-1)*Settings!$B$12)</f>
        <v>23150</v>
      </c>
      <c r="C51" s="72">
        <f>IF(B51="","",MROUND(B51*Settings!$B$7,Settings!$B$18))</f>
        <v>208.35</v>
      </c>
      <c r="D51" s="133"/>
      <c r="E51" s="72" t="str">
        <f t="shared" si="4"/>
        <v/>
      </c>
      <c r="F51" s="63"/>
      <c r="G51" s="72" t="str">
        <f>IF(F51="","",IF(F51&gt;=Settings!$B$10,"Eligible","Not Eligible"))</f>
        <v/>
      </c>
      <c r="H51" s="72" t="str">
        <f t="shared" si="5"/>
        <v/>
      </c>
      <c r="I51" s="10">
        <v>3</v>
      </c>
      <c r="J51" s="72">
        <f>IF($L$47="","",$L$47-(I51-1)*Settings!$B$12)</f>
        <v>23700</v>
      </c>
      <c r="K51" s="72">
        <f>IF(J51="","",MROUND(J51*Settings!$B$7,Settings!$B$18))</f>
        <v>213.3</v>
      </c>
      <c r="L51" s="133"/>
      <c r="M51" s="72" t="str">
        <f t="shared" si="6"/>
        <v/>
      </c>
      <c r="N51" s="63"/>
      <c r="O51" s="72" t="str">
        <f>IF(N51="","",IF(N51&gt;=Settings!$B$10,"Eligible","Not Eligible"))</f>
        <v/>
      </c>
      <c r="P51" s="72" t="str">
        <f t="shared" si="7"/>
        <v/>
      </c>
    </row>
    <row r="52" spans="1:16">
      <c r="A52" s="10">
        <v>4</v>
      </c>
      <c r="B52" s="72">
        <f>IF($D$47="","",$D$47+(A52-1)*Settings!$B$12)</f>
        <v>23200</v>
      </c>
      <c r="C52" s="72">
        <f>IF(B52="","",MROUND(B52*Settings!$B$7,Settings!$B$18))</f>
        <v>208.8</v>
      </c>
      <c r="D52" s="133"/>
      <c r="E52" s="72" t="str">
        <f t="shared" si="4"/>
        <v/>
      </c>
      <c r="F52" s="63"/>
      <c r="G52" s="72" t="str">
        <f>IF(F52="","",IF(F52&gt;=Settings!$B$10,"Eligible","Not Eligible"))</f>
        <v/>
      </c>
      <c r="H52" s="72" t="str">
        <f t="shared" si="5"/>
        <v/>
      </c>
      <c r="I52" s="10">
        <v>4</v>
      </c>
      <c r="J52" s="72">
        <f>IF($L$47="","",$L$47-(I52-1)*Settings!$B$12)</f>
        <v>23650</v>
      </c>
      <c r="K52" s="72">
        <f>IF(J52="","",MROUND(J52*Settings!$B$7,Settings!$B$18))</f>
        <v>212.85</v>
      </c>
      <c r="L52" s="133"/>
      <c r="M52" s="72" t="str">
        <f t="shared" si="6"/>
        <v/>
      </c>
      <c r="N52" s="63"/>
      <c r="O52" s="72" t="str">
        <f>IF(N52="","",IF(N52&gt;=Settings!$B$10,"Eligible","Not Eligible"))</f>
        <v/>
      </c>
      <c r="P52" s="72" t="str">
        <f t="shared" si="7"/>
        <v/>
      </c>
    </row>
    <row r="53" spans="1:16">
      <c r="A53" s="10">
        <v>5</v>
      </c>
      <c r="B53" s="72">
        <f>IF($D$47="","",$D$47+(A53-1)*Settings!$B$12)</f>
        <v>23250</v>
      </c>
      <c r="C53" s="72">
        <f>IF(B53="","",MROUND(B53*Settings!$B$7,Settings!$B$18))</f>
        <v>209.25</v>
      </c>
      <c r="D53" s="133"/>
      <c r="E53" s="72" t="str">
        <f t="shared" si="4"/>
        <v/>
      </c>
      <c r="F53" s="63"/>
      <c r="G53" s="72" t="str">
        <f>IF(F53="","",IF(F53&gt;=Settings!$B$10,"Eligible","Not Eligible"))</f>
        <v/>
      </c>
      <c r="H53" s="72" t="str">
        <f t="shared" si="5"/>
        <v/>
      </c>
      <c r="I53" s="10">
        <v>5</v>
      </c>
      <c r="J53" s="72">
        <f>IF($L$47="","",$L$47-(I53-1)*Settings!$B$12)</f>
        <v>23600</v>
      </c>
      <c r="K53" s="72">
        <f>IF(J53="","",MROUND(J53*Settings!$B$7,Settings!$B$18))</f>
        <v>212.4</v>
      </c>
      <c r="L53" s="133"/>
      <c r="M53" s="72" t="str">
        <f t="shared" si="6"/>
        <v/>
      </c>
      <c r="N53" s="63"/>
      <c r="O53" s="72" t="str">
        <f>IF(N53="","",IF(N53&gt;=Settings!$B$10,"Eligible","Not Eligible"))</f>
        <v/>
      </c>
      <c r="P53" s="72" t="str">
        <f t="shared" si="7"/>
        <v/>
      </c>
    </row>
    <row r="54" spans="1:16">
      <c r="A54" s="10">
        <v>6</v>
      </c>
      <c r="B54" s="72">
        <f>IF($D$47="","",$D$47+(A54-1)*Settings!$B$12)</f>
        <v>23300</v>
      </c>
      <c r="C54" s="72">
        <f>IF(B54="","",MROUND(B54*Settings!$B$7,Settings!$B$18))</f>
        <v>209.7</v>
      </c>
      <c r="D54" s="133"/>
      <c r="E54" s="72" t="str">
        <f t="shared" si="4"/>
        <v/>
      </c>
      <c r="F54" s="63"/>
      <c r="G54" s="72" t="str">
        <f>IF(F54="","",IF(F54&gt;=Settings!$B$10,"Eligible","Not Eligible"))</f>
        <v/>
      </c>
      <c r="H54" s="72" t="str">
        <f t="shared" si="5"/>
        <v/>
      </c>
      <c r="I54" s="10">
        <v>6</v>
      </c>
      <c r="J54" s="72">
        <f>IF($L$47="","",$L$47-(I54-1)*Settings!$B$12)</f>
        <v>23550</v>
      </c>
      <c r="K54" s="72">
        <f>IF(J54="","",MROUND(J54*Settings!$B$7,Settings!$B$18))</f>
        <v>211.95</v>
      </c>
      <c r="L54" s="133"/>
      <c r="M54" s="72" t="str">
        <f t="shared" si="6"/>
        <v/>
      </c>
      <c r="N54" s="63"/>
      <c r="O54" s="72" t="str">
        <f>IF(N54="","",IF(N54&gt;=Settings!$B$10,"Eligible","Not Eligible"))</f>
        <v/>
      </c>
      <c r="P54" s="72" t="str">
        <f t="shared" si="7"/>
        <v/>
      </c>
    </row>
    <row r="55" spans="1:16">
      <c r="A55" s="10">
        <v>7</v>
      </c>
      <c r="B55" s="72">
        <f>IF($D$47="","",$D$47+(A55-1)*Settings!$B$12)</f>
        <v>23350</v>
      </c>
      <c r="C55" s="72">
        <f>IF(B55="","",MROUND(B55*Settings!$B$7,Settings!$B$18))</f>
        <v>210.15</v>
      </c>
      <c r="D55" s="133"/>
      <c r="E55" s="72" t="str">
        <f t="shared" si="4"/>
        <v/>
      </c>
      <c r="F55" s="63"/>
      <c r="G55" s="72" t="str">
        <f>IF(F55="","",IF(F55&gt;=Settings!$B$10,"Eligible","Not Eligible"))</f>
        <v/>
      </c>
      <c r="H55" s="72" t="str">
        <f t="shared" si="5"/>
        <v/>
      </c>
      <c r="I55" s="10">
        <v>7</v>
      </c>
      <c r="J55" s="72">
        <f>IF($L$47="","",$L$47-(I55-1)*Settings!$B$12)</f>
        <v>23500</v>
      </c>
      <c r="K55" s="72">
        <f>IF(J55="","",MROUND(J55*Settings!$B$7,Settings!$B$18))</f>
        <v>211.5</v>
      </c>
      <c r="L55" s="133"/>
      <c r="M55" s="72" t="str">
        <f t="shared" si="6"/>
        <v/>
      </c>
      <c r="N55" s="63"/>
      <c r="O55" s="72" t="str">
        <f>IF(N55="","",IF(N55&gt;=Settings!$B$10,"Eligible","Not Eligible"))</f>
        <v/>
      </c>
      <c r="P55" s="72" t="str">
        <f t="shared" si="7"/>
        <v/>
      </c>
    </row>
    <row r="56" spans="1:16">
      <c r="A56" s="10">
        <v>8</v>
      </c>
      <c r="B56" s="72">
        <f>IF($D$47="","",$D$47+(A56-1)*Settings!$B$12)</f>
        <v>23400</v>
      </c>
      <c r="C56" s="72">
        <f>IF(B56="","",MROUND(B56*Settings!$B$7,Settings!$B$18))</f>
        <v>210.6</v>
      </c>
      <c r="D56" s="133"/>
      <c r="E56" s="72" t="str">
        <f t="shared" si="4"/>
        <v/>
      </c>
      <c r="F56" s="63"/>
      <c r="G56" s="72" t="str">
        <f>IF(F56="","",IF(F56&gt;=Settings!$B$10,"Eligible","Not Eligible"))</f>
        <v/>
      </c>
      <c r="H56" s="72" t="str">
        <f t="shared" si="5"/>
        <v/>
      </c>
      <c r="I56" s="10">
        <v>8</v>
      </c>
      <c r="J56" s="72">
        <f>IF($L$47="","",$L$47-(I56-1)*Settings!$B$12)</f>
        <v>23450</v>
      </c>
      <c r="K56" s="72">
        <f>IF(J56="","",MROUND(J56*Settings!$B$7,Settings!$B$18))</f>
        <v>211.05</v>
      </c>
      <c r="L56" s="133"/>
      <c r="M56" s="72" t="str">
        <f t="shared" si="6"/>
        <v/>
      </c>
      <c r="N56" s="63"/>
      <c r="O56" s="72" t="str">
        <f>IF(N56="","",IF(N56&gt;=Settings!$B$10,"Eligible","Not Eligible"))</f>
        <v/>
      </c>
      <c r="P56" s="72" t="str">
        <f t="shared" si="7"/>
        <v/>
      </c>
    </row>
    <row r="57" spans="1:16">
      <c r="A57" s="10">
        <v>9</v>
      </c>
      <c r="B57" s="72">
        <f>IF($D$47="","",$D$47+(A57-1)*Settings!$B$12)</f>
        <v>23450</v>
      </c>
      <c r="C57" s="72">
        <f>IF(B57="","",MROUND(B57*Settings!$B$7,Settings!$B$18))</f>
        <v>211.05</v>
      </c>
      <c r="D57" s="133"/>
      <c r="E57" s="72" t="str">
        <f t="shared" si="4"/>
        <v/>
      </c>
      <c r="F57" s="63"/>
      <c r="G57" s="72" t="str">
        <f>IF(F57="","",IF(F57&gt;=Settings!$B$10,"Eligible","Not Eligible"))</f>
        <v/>
      </c>
      <c r="H57" s="72" t="str">
        <f t="shared" si="5"/>
        <v/>
      </c>
      <c r="I57" s="10">
        <v>9</v>
      </c>
      <c r="J57" s="72">
        <f>IF($L$47="","",$L$47-(I57-1)*Settings!$B$12)</f>
        <v>23400</v>
      </c>
      <c r="K57" s="72">
        <f>IF(J57="","",MROUND(J57*Settings!$B$7,Settings!$B$18))</f>
        <v>210.6</v>
      </c>
      <c r="L57" s="133"/>
      <c r="M57" s="72" t="str">
        <f t="shared" si="6"/>
        <v/>
      </c>
      <c r="N57" s="63"/>
      <c r="O57" s="72" t="str">
        <f>IF(N57="","",IF(N57&gt;=Settings!$B$10,"Eligible","Not Eligible"))</f>
        <v/>
      </c>
      <c r="P57" s="72" t="str">
        <f t="shared" si="7"/>
        <v/>
      </c>
    </row>
    <row r="58" spans="1:16">
      <c r="A58" s="10">
        <v>10</v>
      </c>
      <c r="B58" s="72">
        <f>IF($D$47="","",$D$47+(A58-1)*Settings!$B$12)</f>
        <v>23500</v>
      </c>
      <c r="C58" s="72">
        <f>IF(B58="","",MROUND(B58*Settings!$B$7,Settings!$B$18))</f>
        <v>211.5</v>
      </c>
      <c r="D58" s="133"/>
      <c r="E58" s="72" t="str">
        <f t="shared" si="4"/>
        <v/>
      </c>
      <c r="F58" s="63"/>
      <c r="G58" s="72" t="str">
        <f>IF(F58="","",IF(F58&gt;=Settings!$B$10,"Eligible","Not Eligible"))</f>
        <v/>
      </c>
      <c r="H58" s="72" t="str">
        <f t="shared" si="5"/>
        <v/>
      </c>
      <c r="I58" s="10">
        <v>10</v>
      </c>
      <c r="J58" s="72">
        <f>IF($L$47="","",$L$47-(I58-1)*Settings!$B$12)</f>
        <v>23350</v>
      </c>
      <c r="K58" s="72">
        <f>IF(J58="","",MROUND(J58*Settings!$B$7,Settings!$B$18))</f>
        <v>210.15</v>
      </c>
      <c r="L58" s="133"/>
      <c r="M58" s="72" t="str">
        <f t="shared" si="6"/>
        <v/>
      </c>
      <c r="N58" s="63"/>
      <c r="O58" s="72" t="str">
        <f>IF(N58="","",IF(N58&gt;=Settings!$B$10,"Eligible","Not Eligible"))</f>
        <v/>
      </c>
      <c r="P58" s="72" t="str">
        <f t="shared" si="7"/>
        <v/>
      </c>
    </row>
    <row r="59" ht="17.55" spans="1:16">
      <c r="A59" s="14"/>
      <c r="B59" s="14"/>
      <c r="C59" s="14"/>
      <c r="D59" s="14"/>
      <c r="E59" s="14"/>
      <c r="F59" s="14"/>
      <c r="G59" s="14"/>
      <c r="H59" s="14"/>
      <c r="I59" s="14"/>
      <c r="J59" s="14"/>
      <c r="K59" s="14"/>
      <c r="L59" s="14"/>
      <c r="M59" s="14"/>
      <c r="N59" s="14"/>
      <c r="O59" s="14"/>
      <c r="P59" s="14"/>
    </row>
    <row r="60" ht="17.55" spans="1:16">
      <c r="A60" s="15" t="s">
        <v>108</v>
      </c>
      <c r="B60" s="16"/>
      <c r="C60" s="16"/>
      <c r="D60" s="16"/>
      <c r="E60" s="16"/>
      <c r="F60" s="16"/>
      <c r="G60" s="16"/>
      <c r="H60" s="16"/>
      <c r="I60" s="16"/>
      <c r="J60" s="16"/>
      <c r="K60" s="16"/>
      <c r="L60" s="16"/>
      <c r="M60" s="16"/>
      <c r="N60" s="16"/>
      <c r="O60" s="16"/>
      <c r="P60" s="17"/>
    </row>
    <row r="61" ht="17.55" spans="1:16">
      <c r="A61" s="57" t="s">
        <v>109</v>
      </c>
      <c r="B61" s="57"/>
      <c r="C61" s="62">
        <v>23100</v>
      </c>
      <c r="D61" s="57" t="s">
        <v>86</v>
      </c>
      <c r="E61" s="57"/>
      <c r="F61" s="149">
        <v>46287</v>
      </c>
      <c r="G61" s="57" t="s">
        <v>87</v>
      </c>
      <c r="H61" s="39" t="str">
        <f>IF(OR(C61="",F61=""),"INPUT REQUIRED",IF(COUNTIFS($B$49:$B$58,C61,$H$49:$H$58,"Eligible")=1,"READY","NOT ELIGIBLE"))</f>
        <v>NOT ELIGIBLE</v>
      </c>
      <c r="I61" s="57" t="s">
        <v>110</v>
      </c>
      <c r="J61" s="57"/>
      <c r="K61" s="62">
        <v>23650</v>
      </c>
      <c r="L61" s="57" t="s">
        <v>86</v>
      </c>
      <c r="M61" s="57"/>
      <c r="N61" s="149">
        <v>46287</v>
      </c>
      <c r="O61" s="57" t="s">
        <v>87</v>
      </c>
      <c r="P61" s="39" t="str">
        <f>IF(OR(K61="",N61=""),"INPUT REQUIRED",IF(COUNTIFS($J$49:$J$58,K61,$P$49:$P$58,"Eligible")=1,"READY","NOT ELIGIBLE"))</f>
        <v>NOT ELIGIBLE</v>
      </c>
    </row>
    <row r="62" ht="17.55" spans="1:16">
      <c r="A62" s="134" t="s">
        <v>111</v>
      </c>
      <c r="B62" s="134"/>
      <c r="C62" s="134"/>
      <c r="D62" s="134"/>
      <c r="E62" s="134"/>
      <c r="F62" s="134"/>
      <c r="G62" s="134"/>
      <c r="H62" s="134"/>
      <c r="I62" s="134"/>
      <c r="J62" s="134"/>
      <c r="K62" s="134"/>
      <c r="L62" s="134"/>
      <c r="M62" s="134"/>
      <c r="N62" s="134"/>
      <c r="O62" s="134"/>
      <c r="P62" s="134"/>
    </row>
    <row r="63" ht="17.55" spans="1:16">
      <c r="A63" s="15" t="s">
        <v>112</v>
      </c>
      <c r="B63" s="16"/>
      <c r="C63" s="16"/>
      <c r="D63" s="16"/>
      <c r="E63" s="16"/>
      <c r="F63" s="16"/>
      <c r="G63" s="16"/>
      <c r="H63" s="16"/>
      <c r="I63" s="16"/>
      <c r="J63" s="16"/>
      <c r="K63" s="16"/>
      <c r="L63" s="16"/>
      <c r="M63" s="16"/>
      <c r="N63" s="16"/>
      <c r="O63" s="16"/>
      <c r="P63" s="17"/>
    </row>
    <row r="64" spans="1:16">
      <c r="A64" s="57" t="s">
        <v>113</v>
      </c>
      <c r="B64" s="57"/>
      <c r="C64" s="57"/>
      <c r="D64" s="141">
        <v>234</v>
      </c>
      <c r="E64" s="14"/>
      <c r="F64" s="14"/>
      <c r="G64" s="14"/>
      <c r="H64" s="14"/>
      <c r="I64" s="57" t="s">
        <v>114</v>
      </c>
      <c r="J64" s="57"/>
      <c r="K64" s="57"/>
      <c r="L64" s="141">
        <v>234</v>
      </c>
      <c r="M64" s="14"/>
      <c r="N64" s="14"/>
      <c r="O64" s="14"/>
      <c r="P64" s="14"/>
    </row>
    <row r="65" spans="1:16">
      <c r="A65" s="57" t="s">
        <v>115</v>
      </c>
      <c r="B65" s="57"/>
      <c r="C65" s="57"/>
      <c r="D65" s="141">
        <v>456</v>
      </c>
      <c r="E65" s="14"/>
      <c r="F65" s="14"/>
      <c r="G65" s="14"/>
      <c r="H65" s="14"/>
      <c r="I65" s="57" t="s">
        <v>116</v>
      </c>
      <c r="J65" s="57"/>
      <c r="K65" s="57"/>
      <c r="L65" s="141">
        <v>456</v>
      </c>
      <c r="M65" s="14"/>
      <c r="N65" s="14"/>
      <c r="O65" s="14"/>
      <c r="P65" s="14"/>
    </row>
    <row r="66" spans="1:16">
      <c r="A66" s="114" t="s">
        <v>95</v>
      </c>
      <c r="B66" s="114" t="s">
        <v>16</v>
      </c>
      <c r="C66" s="114" t="s">
        <v>17</v>
      </c>
      <c r="D66" s="114" t="s">
        <v>96</v>
      </c>
      <c r="E66" s="114" t="s">
        <v>97</v>
      </c>
      <c r="F66" s="114" t="s">
        <v>98</v>
      </c>
      <c r="G66" s="114" t="s">
        <v>20</v>
      </c>
      <c r="H66" s="14"/>
      <c r="I66" s="90" t="s">
        <v>95</v>
      </c>
      <c r="J66" s="90" t="s">
        <v>16</v>
      </c>
      <c r="K66" s="90" t="s">
        <v>17</v>
      </c>
      <c r="L66" s="90" t="s">
        <v>96</v>
      </c>
      <c r="M66" s="90" t="s">
        <v>97</v>
      </c>
      <c r="N66" s="90" t="s">
        <v>98</v>
      </c>
      <c r="O66" s="90" t="s">
        <v>20</v>
      </c>
      <c r="P66" s="14"/>
    </row>
    <row r="67" spans="1:16">
      <c r="A67" s="153" t="s">
        <v>100</v>
      </c>
      <c r="B67" s="154">
        <f>IF($C$61="","",$C$61)</f>
        <v>23100</v>
      </c>
      <c r="C67" s="155">
        <f>IF($F$61="","",$F$61)</f>
        <v>46287</v>
      </c>
      <c r="D67" s="156">
        <f>IF(COUNT($D$64:$D$65)&lt;2,"",MROUND($D$64*Settings!$B$14,Settings!$B$18))</f>
        <v>210.6</v>
      </c>
      <c r="E67" s="156">
        <f>IF(D67="","",MROUND(D67*Settings!$B$15,Settings!$B$18))</f>
        <v>52.65</v>
      </c>
      <c r="F67" s="156">
        <f>IF(OR(D67="",$D$65=""),"",MROUND(MIN(D67*Settings!$B$16,$D$65*Settings!$B$17),Settings!$B$18))</f>
        <v>368.55</v>
      </c>
      <c r="G67" s="153" t="str">
        <f>IF(H61&lt;&gt;"READY","READY",IF(COUNT(D64:D65)&lt;2,"READY","READY"))</f>
        <v>READY</v>
      </c>
      <c r="H67" s="14"/>
      <c r="I67" s="137" t="s">
        <v>99</v>
      </c>
      <c r="J67" s="138">
        <f>IF($K$61="","",$K$61)</f>
        <v>23650</v>
      </c>
      <c r="K67" s="139">
        <f>IF($N$61="","",$N$61)</f>
        <v>46287</v>
      </c>
      <c r="L67" s="140">
        <f>IF(COUNT($L$64:$L$65)&lt;2,"",MROUND($L$64*Settings!$B$14,Settings!$B$18))</f>
        <v>210.6</v>
      </c>
      <c r="M67" s="140">
        <f>IF(L67="","",MROUND(L67*Settings!$B$15,Settings!$B$18))</f>
        <v>52.65</v>
      </c>
      <c r="N67" s="140">
        <f>IF(OR(L67="",$L$65=""),"",MROUND(MIN(L67*Settings!$B$16,$L$65*Settings!$B$17),Settings!$B$18))</f>
        <v>368.55</v>
      </c>
      <c r="O67" s="137" t="str">
        <f>IF(P61&lt;&gt;"READY","READY",IF(COUNT(L64:L65)&lt;2,"READY","READY"))</f>
        <v>READY</v>
      </c>
      <c r="P67" s="14"/>
    </row>
    <row r="68" ht="17.55" spans="1:16">
      <c r="A68" s="14"/>
      <c r="B68" s="14"/>
      <c r="C68" s="14"/>
      <c r="D68" s="14"/>
      <c r="E68" s="14"/>
      <c r="F68" s="14"/>
      <c r="G68" s="14"/>
      <c r="H68" s="14"/>
      <c r="I68" s="14"/>
      <c r="J68" s="14"/>
      <c r="K68" s="14"/>
      <c r="L68" s="14"/>
      <c r="M68" s="14"/>
      <c r="N68" s="14"/>
      <c r="O68" s="14"/>
      <c r="P68" s="14"/>
    </row>
    <row r="69" ht="17.55" spans="1:16">
      <c r="A69" s="15" t="s">
        <v>117</v>
      </c>
      <c r="B69" s="16"/>
      <c r="C69" s="16"/>
      <c r="D69" s="16"/>
      <c r="E69" s="16"/>
      <c r="F69" s="16"/>
      <c r="G69" s="16"/>
      <c r="H69" s="16"/>
      <c r="I69" s="16"/>
      <c r="J69" s="16"/>
      <c r="K69" s="16"/>
      <c r="L69" s="16"/>
      <c r="M69" s="16"/>
      <c r="N69" s="16"/>
      <c r="O69" s="16"/>
      <c r="P69" s="17"/>
    </row>
    <row r="70" spans="1:16">
      <c r="A70" s="38" t="s">
        <v>118</v>
      </c>
      <c r="B70" s="38" t="s">
        <v>95</v>
      </c>
      <c r="C70" s="38" t="s">
        <v>77</v>
      </c>
      <c r="D70" s="38" t="s">
        <v>17</v>
      </c>
      <c r="E70" s="38" t="s">
        <v>96</v>
      </c>
      <c r="F70" s="38" t="s">
        <v>97</v>
      </c>
      <c r="G70" s="38" t="s">
        <v>98</v>
      </c>
      <c r="H70" s="38" t="s">
        <v>20</v>
      </c>
      <c r="I70" s="14"/>
      <c r="J70" s="105" t="s">
        <v>119</v>
      </c>
      <c r="K70" s="40"/>
      <c r="L70" s="40"/>
      <c r="M70" s="40"/>
      <c r="N70" s="40"/>
      <c r="O70" s="40"/>
      <c r="P70" s="47"/>
    </row>
    <row r="71" spans="1:16">
      <c r="A71" s="39" t="s">
        <v>120</v>
      </c>
      <c r="B71" s="39" t="str">
        <f>A40</f>
        <v>CALL</v>
      </c>
      <c r="C71" s="86">
        <f>IF(B40="","",B40)</f>
        <v>23300</v>
      </c>
      <c r="D71" s="87">
        <f>IF(C40="","",C40)</f>
        <v>46287</v>
      </c>
      <c r="E71" s="70">
        <f>IF(D40="","",D40)</f>
        <v>180.95</v>
      </c>
      <c r="F71" s="70">
        <f>IF(E40="","",E40)</f>
        <v>45.25</v>
      </c>
      <c r="G71" s="70">
        <f>IF(F40="","",F40)</f>
        <v>316.65</v>
      </c>
      <c r="H71" s="39" t="str">
        <f>G40</f>
        <v>READY</v>
      </c>
      <c r="I71" s="14"/>
      <c r="J71" s="106"/>
      <c r="K71" s="41"/>
      <c r="L71" s="41"/>
      <c r="M71" s="41"/>
      <c r="N71" s="41"/>
      <c r="O71" s="41"/>
      <c r="P71" s="48"/>
    </row>
    <row r="72" spans="1:16">
      <c r="A72" s="39" t="s">
        <v>121</v>
      </c>
      <c r="B72" s="39" t="str">
        <f>I67</f>
        <v>CALL</v>
      </c>
      <c r="C72" s="86">
        <f>IF(J67="","",J67)</f>
        <v>23650</v>
      </c>
      <c r="D72" s="87">
        <f>IF(K67="","",K67)</f>
        <v>46287</v>
      </c>
      <c r="E72" s="70">
        <f>IF(L67="","",L67)</f>
        <v>210.6</v>
      </c>
      <c r="F72" s="70">
        <f>IF(M67="","",M67)</f>
        <v>52.65</v>
      </c>
      <c r="G72" s="70">
        <f>IF(N67="","",N67)</f>
        <v>368.55</v>
      </c>
      <c r="H72" s="39" t="str">
        <f>O67</f>
        <v>READY</v>
      </c>
      <c r="I72" s="14"/>
      <c r="J72" s="106"/>
      <c r="K72" s="41"/>
      <c r="L72" s="41"/>
      <c r="M72" s="41"/>
      <c r="N72" s="41"/>
      <c r="O72" s="41"/>
      <c r="P72" s="48"/>
    </row>
    <row r="73" spans="1:16">
      <c r="A73" s="39" t="s">
        <v>122</v>
      </c>
      <c r="B73" s="39" t="str">
        <f>I40</f>
        <v>PUT</v>
      </c>
      <c r="C73" s="86">
        <f>IF(J40="","",J40)</f>
        <v>23300</v>
      </c>
      <c r="D73" s="87">
        <f>IF(K40="","",K40)</f>
        <v>46287</v>
      </c>
      <c r="E73" s="70">
        <f>IF(L40="","",L40)</f>
        <v>184.3</v>
      </c>
      <c r="F73" s="70">
        <f>IF(M40="","",M40)</f>
        <v>46.1</v>
      </c>
      <c r="G73" s="70">
        <f>IF(N40="","",N40)</f>
        <v>322.55</v>
      </c>
      <c r="H73" s="39" t="str">
        <f>O40</f>
        <v>READY</v>
      </c>
      <c r="I73" s="14"/>
      <c r="J73" s="106"/>
      <c r="K73" s="41"/>
      <c r="L73" s="41"/>
      <c r="M73" s="41"/>
      <c r="N73" s="41"/>
      <c r="O73" s="41"/>
      <c r="P73" s="48"/>
    </row>
    <row r="74" spans="1:16">
      <c r="A74" s="39" t="s">
        <v>123</v>
      </c>
      <c r="B74" s="39" t="str">
        <f>A67</f>
        <v>PUT</v>
      </c>
      <c r="C74" s="86">
        <f>IF(B67="","",B67)</f>
        <v>23100</v>
      </c>
      <c r="D74" s="87">
        <f>IF(C67="","",C67)</f>
        <v>46287</v>
      </c>
      <c r="E74" s="70">
        <f>IF(D67="","",D67)</f>
        <v>210.6</v>
      </c>
      <c r="F74" s="70">
        <f>IF(E67="","",E67)</f>
        <v>52.65</v>
      </c>
      <c r="G74" s="70">
        <f>IF(F67="","",F67)</f>
        <v>368.55</v>
      </c>
      <c r="H74" s="39" t="str">
        <f>G67</f>
        <v>READY</v>
      </c>
      <c r="I74" s="14"/>
      <c r="J74" s="107"/>
      <c r="K74" s="42"/>
      <c r="L74" s="42"/>
      <c r="M74" s="42"/>
      <c r="N74" s="42"/>
      <c r="O74" s="42"/>
      <c r="P74" s="49"/>
    </row>
    <row r="75" spans="1:16">
      <c r="A75" s="14"/>
      <c r="B75" s="14"/>
      <c r="C75" s="14"/>
      <c r="D75" s="14"/>
      <c r="E75" s="14"/>
      <c r="F75" s="14"/>
      <c r="G75" s="14"/>
      <c r="H75" s="14"/>
      <c r="I75" s="14"/>
      <c r="J75" s="14"/>
      <c r="K75" s="14"/>
      <c r="L75" s="14"/>
      <c r="M75" s="14"/>
      <c r="N75" s="14"/>
      <c r="O75" s="14"/>
      <c r="P75" s="14"/>
    </row>
    <row r="76" spans="1:16">
      <c r="A76" s="14"/>
      <c r="B76" s="14"/>
      <c r="C76" s="14"/>
      <c r="D76" s="14"/>
      <c r="E76" s="14"/>
      <c r="F76" s="14"/>
      <c r="G76" s="14"/>
      <c r="H76" s="14"/>
      <c r="I76" s="14"/>
      <c r="J76" s="14"/>
      <c r="K76" s="14"/>
      <c r="L76" s="14"/>
      <c r="M76" s="14"/>
      <c r="N76" s="14"/>
      <c r="O76" s="14"/>
      <c r="P76" s="14"/>
    </row>
    <row r="77" spans="1:16">
      <c r="A77" s="14"/>
      <c r="B77" s="14"/>
      <c r="C77" s="14"/>
      <c r="D77" s="14"/>
      <c r="E77" s="14"/>
      <c r="F77" s="14"/>
      <c r="G77" s="14"/>
      <c r="H77" s="14"/>
      <c r="I77" s="14"/>
      <c r="J77" s="14"/>
      <c r="K77" s="14"/>
      <c r="L77" s="14"/>
      <c r="M77" s="14"/>
      <c r="N77" s="14"/>
      <c r="O77" s="14"/>
      <c r="P77" s="14"/>
    </row>
    <row r="78" spans="1:16">
      <c r="A78" s="14"/>
      <c r="B78" s="14"/>
      <c r="C78" s="14"/>
      <c r="D78" s="14"/>
      <c r="E78" s="14"/>
      <c r="F78" s="14"/>
      <c r="G78" s="14"/>
      <c r="H78" s="14"/>
      <c r="I78" s="14"/>
      <c r="J78" s="14"/>
      <c r="K78" s="14"/>
      <c r="L78" s="14"/>
      <c r="M78" s="14"/>
      <c r="N78" s="14"/>
      <c r="O78" s="14"/>
      <c r="P78" s="14"/>
    </row>
    <row r="79" ht="20" customHeight="1" spans="1:16">
      <c r="A79" s="1"/>
      <c r="B79" s="1"/>
      <c r="C79" s="20" t="s">
        <v>47</v>
      </c>
      <c r="D79" s="20"/>
      <c r="E79" s="20"/>
      <c r="F79" s="20"/>
      <c r="G79" s="20"/>
      <c r="H79" s="20"/>
      <c r="I79" s="20"/>
      <c r="J79" s="20"/>
      <c r="K79" s="20"/>
      <c r="L79" s="20"/>
      <c r="M79" s="20"/>
      <c r="N79" s="20"/>
      <c r="O79" s="1"/>
      <c r="P79" s="1"/>
    </row>
    <row r="80" ht="20" customHeight="1" spans="1:16">
      <c r="A80" s="1"/>
      <c r="B80" s="1"/>
      <c r="C80" s="21" t="s">
        <v>48</v>
      </c>
      <c r="D80" s="21"/>
      <c r="E80" s="21"/>
      <c r="F80" s="21"/>
      <c r="G80" s="21"/>
      <c r="H80" s="21"/>
      <c r="I80" s="21"/>
      <c r="J80" s="21"/>
      <c r="K80" s="21"/>
      <c r="L80" s="21"/>
      <c r="M80" s="21"/>
      <c r="N80" s="21"/>
      <c r="O80" s="1"/>
      <c r="P80" s="1"/>
    </row>
    <row r="81" ht="20" customHeight="1" spans="1:16">
      <c r="A81" s="1"/>
      <c r="B81" s="1"/>
      <c r="C81" s="21" t="s">
        <v>49</v>
      </c>
      <c r="D81" s="21"/>
      <c r="E81" s="21"/>
      <c r="F81" s="21"/>
      <c r="G81" s="21"/>
      <c r="H81" s="21"/>
      <c r="I81" s="21"/>
      <c r="J81" s="21"/>
      <c r="K81" s="21"/>
      <c r="L81" s="21"/>
      <c r="M81" s="21"/>
      <c r="N81" s="21"/>
      <c r="O81" s="1"/>
      <c r="P81" s="1"/>
    </row>
    <row r="82" ht="20" customHeight="1" spans="1:16">
      <c r="A82" s="1"/>
      <c r="B82" s="1"/>
      <c r="C82" s="22" t="s">
        <v>50</v>
      </c>
      <c r="D82" s="22"/>
      <c r="E82" s="22"/>
      <c r="F82" s="22"/>
      <c r="G82" s="22"/>
      <c r="H82" s="22"/>
      <c r="I82" s="22"/>
      <c r="J82" s="22"/>
      <c r="K82" s="22"/>
      <c r="L82" s="22"/>
      <c r="M82" s="22"/>
      <c r="N82" s="22"/>
      <c r="O82" s="1"/>
      <c r="P82" s="1"/>
    </row>
  </sheetData>
  <sheetProtection algorithmName="SHA-512" hashValue="kXCOYfS21voJ2P/NBRcig1+NQvr6ohhW7m3ZZgQo/QYxgVoYpuCH49GRxEUxCax/VJanCi29YBVFCthnLqORdw==" saltValue="xiego3ZKc2zROXEqhYGXag==" spinCount="100000" sheet="1" objects="1"/>
  <mergeCells count="48">
    <mergeCell ref="C1:L1"/>
    <mergeCell ref="C2:L2"/>
    <mergeCell ref="C3:L3"/>
    <mergeCell ref="A4:P4"/>
    <mergeCell ref="A5:P5"/>
    <mergeCell ref="A6:P6"/>
    <mergeCell ref="A12:P12"/>
    <mergeCell ref="A13:H13"/>
    <mergeCell ref="I13:P13"/>
    <mergeCell ref="A26:P26"/>
    <mergeCell ref="A27:B27"/>
    <mergeCell ref="D27:E27"/>
    <mergeCell ref="I27:J27"/>
    <mergeCell ref="L27:M27"/>
    <mergeCell ref="A28:P28"/>
    <mergeCell ref="A30:P30"/>
    <mergeCell ref="A31:H31"/>
    <mergeCell ref="I31:P31"/>
    <mergeCell ref="A38:P38"/>
    <mergeCell ref="A42:P42"/>
    <mergeCell ref="A43:H43"/>
    <mergeCell ref="I43:P43"/>
    <mergeCell ref="A44:C44"/>
    <mergeCell ref="I44:K44"/>
    <mergeCell ref="A45:C45"/>
    <mergeCell ref="I45:K45"/>
    <mergeCell ref="A46:C46"/>
    <mergeCell ref="I46:K46"/>
    <mergeCell ref="A47:C47"/>
    <mergeCell ref="I47:K47"/>
    <mergeCell ref="A60:P60"/>
    <mergeCell ref="A61:B61"/>
    <mergeCell ref="D61:E61"/>
    <mergeCell ref="I61:J61"/>
    <mergeCell ref="L61:M61"/>
    <mergeCell ref="A62:P62"/>
    <mergeCell ref="A63:P63"/>
    <mergeCell ref="A64:C64"/>
    <mergeCell ref="I64:K64"/>
    <mergeCell ref="A65:C65"/>
    <mergeCell ref="I65:K65"/>
    <mergeCell ref="A69:P69"/>
    <mergeCell ref="C79:N79"/>
    <mergeCell ref="C80:N80"/>
    <mergeCell ref="C81:N81"/>
    <mergeCell ref="C82:N82"/>
    <mergeCell ref="M1:P3"/>
    <mergeCell ref="J70:P74"/>
  </mergeCells>
  <conditionalFormatting sqref="E15:H24">
    <cfRule type="expression" dxfId="0" priority="1">
      <formula>H15="Eligible"</formula>
    </cfRule>
    <cfRule type="expression" dxfId="1" priority="2">
      <formula>H15="Not Eligible"</formula>
    </cfRule>
  </conditionalFormatting>
  <conditionalFormatting sqref="M15:P24">
    <cfRule type="expression" dxfId="0" priority="3">
      <formula>P15="Eligible"</formula>
    </cfRule>
    <cfRule type="expression" dxfId="1" priority="4">
      <formula>P15="Not Eligible"</formula>
    </cfRule>
  </conditionalFormatting>
  <conditionalFormatting sqref="E49:H58">
    <cfRule type="expression" dxfId="0" priority="5">
      <formula>H49="Eligible"</formula>
    </cfRule>
    <cfRule type="expression" dxfId="1" priority="6">
      <formula>H49="Not Eligible"</formula>
    </cfRule>
  </conditionalFormatting>
  <conditionalFormatting sqref="M49:P58">
    <cfRule type="expression" dxfId="0" priority="7">
      <formula>P49="Eligible"</formula>
    </cfRule>
    <cfRule type="expression" dxfId="1" priority="8">
      <formula>P49="Not Eligible"</formula>
    </cfRule>
  </conditionalFormatting>
  <dataValidations count="5">
    <dataValidation type="list" sqref="B8">
      <formula1>Settings!$F$7:$F$11</formula1>
    </dataValidation>
    <dataValidation type="list" allowBlank="1" showInputMessage="1" showErrorMessage="1" sqref="C27">
      <formula1>$B$15:$B$24</formula1>
    </dataValidation>
    <dataValidation type="list" allowBlank="1" showInputMessage="1" showErrorMessage="1" sqref="K27">
      <formula1>$J$15:$J$24</formula1>
    </dataValidation>
    <dataValidation type="list" allowBlank="1" showInputMessage="1" showErrorMessage="1" sqref="C61">
      <formula1>$B$49:$B$58</formula1>
    </dataValidation>
    <dataValidation type="list" allowBlank="1" showInputMessage="1" showErrorMessage="1" sqref="K61">
      <formula1>$J$49:$J$58</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46"/>
  <sheetViews>
    <sheetView showGridLines="0" workbookViewId="0">
      <pane ySplit="5" topLeftCell="A6" activePane="bottomLeft" state="frozen"/>
      <selection/>
      <selection pane="bottomLeft" activeCell="E10" sqref="E10"/>
    </sheetView>
  </sheetViews>
  <sheetFormatPr defaultColWidth="9" defaultRowHeight="16.8"/>
  <cols>
    <col min="1" max="1" width="20.6730769230769" customWidth="1"/>
    <col min="2" max="2" width="16" customWidth="1"/>
    <col min="3" max="4" width="14" customWidth="1"/>
    <col min="5" max="5" width="24.0384615384615" customWidth="1"/>
    <col min="6" max="6" width="14" customWidth="1"/>
    <col min="7" max="7" width="18" customWidth="1"/>
    <col min="8" max="8" width="25" customWidth="1"/>
    <col min="9" max="9" width="19.875" customWidth="1"/>
    <col min="10" max="10" width="16" customWidth="1"/>
    <col min="11" max="12" width="14" customWidth="1"/>
    <col min="13" max="13" width="17" customWidth="1"/>
    <col min="14" max="14" width="14" customWidth="1"/>
    <col min="15" max="15" width="18" customWidth="1"/>
    <col min="16" max="16" width="25" customWidth="1"/>
  </cols>
  <sheetData>
    <row r="1" ht="23" customHeight="1" spans="1:16">
      <c r="A1" s="1"/>
      <c r="B1" s="1"/>
      <c r="C1" s="2" t="s">
        <v>0</v>
      </c>
      <c r="D1" s="2"/>
      <c r="E1" s="2"/>
      <c r="F1" s="2"/>
      <c r="G1" s="2"/>
      <c r="H1" s="2"/>
      <c r="I1" s="2"/>
      <c r="J1" s="2"/>
      <c r="K1" s="2"/>
      <c r="L1" s="2"/>
      <c r="M1" s="32" t="s">
        <v>124</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125</v>
      </c>
      <c r="D3" s="4"/>
      <c r="E3" s="4"/>
      <c r="F3" s="4"/>
      <c r="G3" s="4"/>
      <c r="H3" s="4"/>
      <c r="I3" s="4"/>
      <c r="J3" s="4"/>
      <c r="K3" s="4"/>
      <c r="L3" s="4"/>
      <c r="M3" s="36"/>
      <c r="N3" s="37"/>
      <c r="O3" s="37"/>
      <c r="P3" s="45"/>
    </row>
    <row r="4" ht="8" customHeight="1" spans="1:16">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row>
    <row r="5" spans="1:16">
      <c r="A5" s="57" t="s">
        <v>126</v>
      </c>
      <c r="B5" s="62">
        <v>1</v>
      </c>
      <c r="C5" s="83" t="s">
        <v>127</v>
      </c>
      <c r="D5" s="84">
        <f>Settings!$B$20</f>
        <v>3</v>
      </c>
      <c r="E5" s="57" t="s">
        <v>55</v>
      </c>
      <c r="F5" s="96">
        <f>IF('NIFTY Calculation'!$B$7="","",'NIFTY Calculation'!$B$7)</f>
        <v>46286</v>
      </c>
      <c r="G5" s="57" t="s">
        <v>95</v>
      </c>
      <c r="H5" s="39" t="str">
        <f>IF('NIFTY Calculation'!$B$10="","",'NIFTY Calculation'!$B$10)</f>
        <v>NEXT WEEK EXPIRY</v>
      </c>
      <c r="I5" s="102" t="s">
        <v>128</v>
      </c>
      <c r="J5" s="103"/>
      <c r="K5" s="103"/>
      <c r="L5" s="103"/>
      <c r="M5" s="103"/>
      <c r="N5" s="103"/>
      <c r="O5" s="103"/>
      <c r="P5" s="116"/>
    </row>
    <row r="6" spans="1:16">
      <c r="A6" s="85" t="s">
        <v>129</v>
      </c>
      <c r="B6" s="85"/>
      <c r="C6" s="85"/>
      <c r="D6" s="85"/>
      <c r="E6" s="85"/>
      <c r="F6" s="85"/>
      <c r="G6" s="85"/>
      <c r="H6" s="85"/>
      <c r="I6" s="104" t="s">
        <v>130</v>
      </c>
      <c r="J6" s="104"/>
      <c r="K6" s="104"/>
      <c r="L6" s="104"/>
      <c r="M6" s="104"/>
      <c r="N6" s="104"/>
      <c r="O6" s="104"/>
      <c r="P6" s="104"/>
    </row>
    <row r="7" spans="1:16">
      <c r="A7" s="57" t="s">
        <v>131</v>
      </c>
      <c r="B7" s="65">
        <v>240</v>
      </c>
      <c r="C7" s="14"/>
      <c r="D7" s="14"/>
      <c r="E7" s="14"/>
      <c r="F7" s="14"/>
      <c r="G7" s="14"/>
      <c r="H7" s="14"/>
      <c r="I7" s="57" t="s">
        <v>131</v>
      </c>
      <c r="J7" s="65"/>
      <c r="K7" s="14"/>
      <c r="L7" s="14"/>
      <c r="M7" s="14"/>
      <c r="N7" s="14"/>
      <c r="O7" s="14"/>
      <c r="P7" s="14"/>
    </row>
    <row r="8" spans="1:16">
      <c r="A8" s="57" t="s">
        <v>132</v>
      </c>
      <c r="B8" s="65">
        <v>255</v>
      </c>
      <c r="C8" s="14"/>
      <c r="D8" s="14"/>
      <c r="E8" s="14"/>
      <c r="F8" s="14"/>
      <c r="G8" s="14"/>
      <c r="H8" s="14"/>
      <c r="I8" s="57" t="s">
        <v>132</v>
      </c>
      <c r="J8" s="65"/>
      <c r="K8" s="14"/>
      <c r="L8" s="14"/>
      <c r="M8" s="14"/>
      <c r="N8" s="14"/>
      <c r="O8" s="14"/>
      <c r="P8" s="14"/>
    </row>
    <row r="9" ht="17.55" spans="1:16">
      <c r="A9" s="57" t="s">
        <v>133</v>
      </c>
      <c r="B9" s="65">
        <v>220</v>
      </c>
      <c r="C9" s="57" t="s">
        <v>134</v>
      </c>
      <c r="D9" s="14"/>
      <c r="E9" s="14"/>
      <c r="F9" s="14"/>
      <c r="G9" s="14"/>
      <c r="H9" s="14"/>
      <c r="I9" s="57" t="s">
        <v>133</v>
      </c>
      <c r="J9" s="65"/>
      <c r="K9" s="57" t="s">
        <v>134</v>
      </c>
      <c r="L9" s="14"/>
      <c r="M9" s="14"/>
      <c r="N9" s="14"/>
      <c r="O9" s="14"/>
      <c r="P9" s="14"/>
    </row>
    <row r="10" ht="31" customHeight="1" spans="1:16">
      <c r="A10" s="57" t="s">
        <v>135</v>
      </c>
      <c r="B10" s="62" t="s">
        <v>136</v>
      </c>
      <c r="C10" s="62"/>
      <c r="D10" s="14"/>
      <c r="E10" s="14"/>
      <c r="F10" s="14"/>
      <c r="G10" s="14"/>
      <c r="H10" s="14"/>
      <c r="I10" s="57" t="s">
        <v>137</v>
      </c>
      <c r="J10" s="62" t="s">
        <v>136</v>
      </c>
      <c r="K10" s="62"/>
      <c r="L10" s="14"/>
      <c r="M10" s="14"/>
      <c r="N10" s="14"/>
      <c r="O10" s="14"/>
      <c r="P10" s="14"/>
    </row>
    <row r="11" ht="17.55" spans="1:16">
      <c r="A11" s="14"/>
      <c r="B11" s="14"/>
      <c r="C11" s="14"/>
      <c r="D11" s="14"/>
      <c r="E11" s="14"/>
      <c r="F11" s="14"/>
      <c r="G11" s="14"/>
      <c r="H11" s="14"/>
      <c r="I11" s="14"/>
      <c r="J11" s="14"/>
      <c r="K11" s="14"/>
      <c r="L11" s="14"/>
      <c r="M11" s="14"/>
      <c r="N11" s="14"/>
      <c r="O11" s="14"/>
      <c r="P11" s="14"/>
    </row>
    <row r="12" ht="17.55" spans="1:16">
      <c r="A12" s="15" t="s">
        <v>138</v>
      </c>
      <c r="B12" s="16"/>
      <c r="C12" s="16"/>
      <c r="D12" s="16"/>
      <c r="E12" s="16"/>
      <c r="F12" s="16"/>
      <c r="G12" s="16"/>
      <c r="H12" s="16"/>
      <c r="I12" s="16"/>
      <c r="J12" s="16"/>
      <c r="K12" s="16"/>
      <c r="L12" s="16"/>
      <c r="M12" s="16"/>
      <c r="N12" s="16"/>
      <c r="O12" s="16"/>
      <c r="P12" s="17"/>
    </row>
    <row r="13" spans="1:16">
      <c r="A13" s="38" t="s">
        <v>118</v>
      </c>
      <c r="B13" s="38" t="s">
        <v>95</v>
      </c>
      <c r="C13" s="38" t="s">
        <v>77</v>
      </c>
      <c r="D13" s="38" t="s">
        <v>17</v>
      </c>
      <c r="E13" s="38" t="s">
        <v>96</v>
      </c>
      <c r="F13" s="38" t="s">
        <v>97</v>
      </c>
      <c r="G13" s="38" t="s">
        <v>98</v>
      </c>
      <c r="H13" s="38" t="s">
        <v>20</v>
      </c>
      <c r="I13" s="14"/>
      <c r="J13" s="105" t="s">
        <v>139</v>
      </c>
      <c r="K13" s="40"/>
      <c r="L13" s="40"/>
      <c r="M13" s="40"/>
      <c r="N13" s="40"/>
      <c r="O13" s="40"/>
      <c r="P13" s="47"/>
    </row>
    <row r="14" spans="1:16">
      <c r="A14" s="39" t="str">
        <f>IF('NIFTY Calculation'!A71="","",'NIFTY Calculation'!A71)</f>
        <v>Normal CALL</v>
      </c>
      <c r="B14" s="39" t="str">
        <f>IF('NIFTY Calculation'!B71="","",'NIFTY Calculation'!B71)</f>
        <v>CALL</v>
      </c>
      <c r="C14" s="86">
        <f>IF('NIFTY Calculation'!C71="","",'NIFTY Calculation'!C71)</f>
        <v>23300</v>
      </c>
      <c r="D14" s="87">
        <f>IF('NIFTY Calculation'!D71="","",'NIFTY Calculation'!D71)</f>
        <v>46287</v>
      </c>
      <c r="E14" s="70">
        <f>IF('NIFTY Calculation'!E71="","",'NIFTY Calculation'!E71)</f>
        <v>180.95</v>
      </c>
      <c r="F14" s="70">
        <f>IF('NIFTY Calculation'!F71="","",'NIFTY Calculation'!F71)</f>
        <v>45.25</v>
      </c>
      <c r="G14" s="70">
        <f>IF('NIFTY Calculation'!G71="","",'NIFTY Calculation'!G71)</f>
        <v>316.65</v>
      </c>
      <c r="H14" s="39" t="str">
        <f>IF('NIFTY Calculation'!H71="","",'NIFTY Calculation'!H71)</f>
        <v>READY</v>
      </c>
      <c r="I14" s="14"/>
      <c r="J14" s="106"/>
      <c r="K14" s="41"/>
      <c r="L14" s="41"/>
      <c r="M14" s="41"/>
      <c r="N14" s="41"/>
      <c r="O14" s="41"/>
      <c r="P14" s="48"/>
    </row>
    <row r="15" spans="1:16">
      <c r="A15" s="39" t="str">
        <f>IF('NIFTY Calculation'!A72="","",'NIFTY Calculation'!A72)</f>
        <v>Gap Down CALL</v>
      </c>
      <c r="B15" s="39" t="str">
        <f>IF('NIFTY Calculation'!B72="","",'NIFTY Calculation'!B72)</f>
        <v>CALL</v>
      </c>
      <c r="C15" s="86">
        <f>IF('NIFTY Calculation'!C72="","",'NIFTY Calculation'!C72)</f>
        <v>23650</v>
      </c>
      <c r="D15" s="87">
        <f>IF('NIFTY Calculation'!D72="","",'NIFTY Calculation'!D72)</f>
        <v>46287</v>
      </c>
      <c r="E15" s="70">
        <f>IF('NIFTY Calculation'!E72="","",'NIFTY Calculation'!E72)</f>
        <v>210.6</v>
      </c>
      <c r="F15" s="70">
        <f>IF('NIFTY Calculation'!F72="","",'NIFTY Calculation'!F72)</f>
        <v>52.65</v>
      </c>
      <c r="G15" s="70">
        <f>IF('NIFTY Calculation'!G72="","",'NIFTY Calculation'!G72)</f>
        <v>368.55</v>
      </c>
      <c r="H15" s="39" t="str">
        <f>IF('NIFTY Calculation'!H72="","",'NIFTY Calculation'!H72)</f>
        <v>READY</v>
      </c>
      <c r="I15" s="14"/>
      <c r="J15" s="106"/>
      <c r="K15" s="41"/>
      <c r="L15" s="41"/>
      <c r="M15" s="41"/>
      <c r="N15" s="41"/>
      <c r="O15" s="41"/>
      <c r="P15" s="48"/>
    </row>
    <row r="16" spans="1:16">
      <c r="A16" s="39" t="str">
        <f>IF('NIFTY Calculation'!A73="","",'NIFTY Calculation'!A73)</f>
        <v>Normal PUT</v>
      </c>
      <c r="B16" s="39" t="str">
        <f>IF('NIFTY Calculation'!B73="","",'NIFTY Calculation'!B73)</f>
        <v>PUT</v>
      </c>
      <c r="C16" s="86">
        <f>IF('NIFTY Calculation'!C73="","",'NIFTY Calculation'!C73)</f>
        <v>23300</v>
      </c>
      <c r="D16" s="87">
        <f>IF('NIFTY Calculation'!D73="","",'NIFTY Calculation'!D73)</f>
        <v>46287</v>
      </c>
      <c r="E16" s="70">
        <f>IF('NIFTY Calculation'!E73="","",'NIFTY Calculation'!E73)</f>
        <v>184.3</v>
      </c>
      <c r="F16" s="70">
        <f>IF('NIFTY Calculation'!F73="","",'NIFTY Calculation'!F73)</f>
        <v>46.1</v>
      </c>
      <c r="G16" s="70">
        <f>IF('NIFTY Calculation'!G73="","",'NIFTY Calculation'!G73)</f>
        <v>322.55</v>
      </c>
      <c r="H16" s="39" t="str">
        <f>IF('NIFTY Calculation'!H73="","",'NIFTY Calculation'!H73)</f>
        <v>READY</v>
      </c>
      <c r="I16" s="14"/>
      <c r="J16" s="106"/>
      <c r="K16" s="41"/>
      <c r="L16" s="41"/>
      <c r="M16" s="41"/>
      <c r="N16" s="41"/>
      <c r="O16" s="41"/>
      <c r="P16" s="48"/>
    </row>
    <row r="17" spans="1:16">
      <c r="A17" s="39" t="str">
        <f>IF('NIFTY Calculation'!A74="","",'NIFTY Calculation'!A74)</f>
        <v>Gap Up PUT</v>
      </c>
      <c r="B17" s="39" t="str">
        <f>IF('NIFTY Calculation'!B74="","",'NIFTY Calculation'!B74)</f>
        <v>PUT</v>
      </c>
      <c r="C17" s="86">
        <f>IF('NIFTY Calculation'!C74="","",'NIFTY Calculation'!C74)</f>
        <v>23100</v>
      </c>
      <c r="D17" s="87">
        <f>IF('NIFTY Calculation'!D74="","",'NIFTY Calculation'!D74)</f>
        <v>46287</v>
      </c>
      <c r="E17" s="70">
        <f>IF('NIFTY Calculation'!E74="","",'NIFTY Calculation'!E74)</f>
        <v>210.6</v>
      </c>
      <c r="F17" s="70">
        <f>IF('NIFTY Calculation'!F74="","",'NIFTY Calculation'!F74)</f>
        <v>52.65</v>
      </c>
      <c r="G17" s="70">
        <f>IF('NIFTY Calculation'!G74="","",'NIFTY Calculation'!G74)</f>
        <v>368.55</v>
      </c>
      <c r="H17" s="39" t="str">
        <f>IF('NIFTY Calculation'!H74="","",'NIFTY Calculation'!H74)</f>
        <v>READY</v>
      </c>
      <c r="I17" s="14"/>
      <c r="J17" s="107"/>
      <c r="K17" s="42"/>
      <c r="L17" s="42"/>
      <c r="M17" s="42"/>
      <c r="N17" s="42"/>
      <c r="O17" s="42"/>
      <c r="P17" s="49"/>
    </row>
    <row r="18" ht="17.55" spans="1:16">
      <c r="A18" s="14"/>
      <c r="B18" s="14"/>
      <c r="C18" s="14"/>
      <c r="D18" s="14"/>
      <c r="E18" s="14"/>
      <c r="F18" s="14"/>
      <c r="G18" s="14"/>
      <c r="H18" s="14"/>
      <c r="I18" s="14"/>
      <c r="J18" s="14"/>
      <c r="K18" s="14"/>
      <c r="L18" s="14"/>
      <c r="M18" s="14"/>
      <c r="N18" s="14"/>
      <c r="O18" s="14"/>
      <c r="P18" s="14"/>
    </row>
    <row r="19" ht="17.55" spans="1:16">
      <c r="A19" s="15" t="s">
        <v>140</v>
      </c>
      <c r="B19" s="16"/>
      <c r="C19" s="16"/>
      <c r="D19" s="16"/>
      <c r="E19" s="16"/>
      <c r="F19" s="16"/>
      <c r="G19" s="16"/>
      <c r="H19" s="16"/>
      <c r="I19" s="16"/>
      <c r="J19" s="16"/>
      <c r="K19" s="16"/>
      <c r="L19" s="16"/>
      <c r="M19" s="16"/>
      <c r="N19" s="16"/>
      <c r="O19" s="16"/>
      <c r="P19" s="17"/>
    </row>
    <row r="20" ht="17.55" spans="1:16">
      <c r="A20" s="7" t="s">
        <v>15</v>
      </c>
      <c r="B20" s="7" t="s">
        <v>18</v>
      </c>
      <c r="C20" s="7" t="s">
        <v>141</v>
      </c>
      <c r="D20" s="7" t="s">
        <v>77</v>
      </c>
      <c r="E20" s="7" t="s">
        <v>17</v>
      </c>
      <c r="F20" s="7" t="s">
        <v>96</v>
      </c>
      <c r="G20" s="7" t="s">
        <v>97</v>
      </c>
      <c r="H20" s="7" t="s">
        <v>98</v>
      </c>
      <c r="I20" s="7" t="s">
        <v>142</v>
      </c>
      <c r="J20" s="14"/>
      <c r="K20" s="108" t="s">
        <v>143</v>
      </c>
      <c r="L20" s="109"/>
      <c r="M20" s="109"/>
      <c r="N20" s="109"/>
      <c r="O20" s="109"/>
      <c r="P20" s="117"/>
    </row>
    <row r="21" ht="17.55" spans="1:16">
      <c r="A21" s="39" t="s">
        <v>21</v>
      </c>
      <c r="B21" s="62" t="s">
        <v>120</v>
      </c>
      <c r="C21" s="39" t="str">
        <f>IF($C$10&lt;&gt;"",$C$10,IF($B$10="","",$B$10))</f>
        <v>No Holding</v>
      </c>
      <c r="D21" s="86">
        <f>IF($B$10="Call Sell Holding",IF(COUNTIFS('NIFTY Tracking'!$B$14:$B$213,"CALL Sell",'NIFTY Tracking'!$E$14:$E$213,"&lt;&gt;")&gt;0,IF(INDEX('NIFTY Tracking'!$C$14:$C$213,LOOKUP(2,1/(('NIFTY Tracking'!$B$14:$B$213="CALL Sell")*('NIFTY Tracking'!$E$14:$E$213&lt;&gt;"")),ROW('NIFTY Tracking'!$B$14:$B$213)-ROW('NIFTY Tracking'!$B$14)+1))="","",INDEX('NIFTY Tracking'!$C$14:$C$213,LOOKUP(2,1/(('NIFTY Tracking'!$B$14:$B$213="CALL Sell")*('NIFTY Tracking'!$E$14:$E$213&lt;&gt;"")),ROW('NIFTY Tracking'!$B$14:$B$213)-ROW('NIFTY Tracking'!$B$14)+1))),""),IF($B$10="No Holding",IF($B21="","",IF(INDEX($C$14:$C$17,MATCH($B21,$A$14:$A$17,0))=0,"",INDEX($C$14:$C$17,MATCH($B21,$A$14:$A$17,0)))),""))</f>
        <v>23300</v>
      </c>
      <c r="E21" s="97">
        <f>IF($B$10="Call Sell Holding",IF(COUNTIFS('NIFTY Tracking'!$B$14:$B$213,"CALL Sell",'NIFTY Tracking'!$E$14:$E$213,"&lt;&gt;")&gt;0,IF(INDEX('NIFTY Tracking'!$D$14:$D$213,LOOKUP(2,1/(('NIFTY Tracking'!$B$14:$B$213="CALL Sell")*('NIFTY Tracking'!$E$14:$E$213&lt;&gt;"")),ROW('NIFTY Tracking'!$B$14:$B$213)-ROW('NIFTY Tracking'!$B$14)+1))="","",INDEX('NIFTY Tracking'!$D$14:$D$213,LOOKUP(2,1/(('NIFTY Tracking'!$B$14:$B$213="CALL Sell")*('NIFTY Tracking'!$E$14:$E$213&lt;&gt;"")),ROW('NIFTY Tracking'!$B$14:$B$213)-ROW('NIFTY Tracking'!$B$14)+1))),""),IF($B$10="No Holding",IF($B21="","",IF(INDEX($D$14:$D$17,MATCH($B21,$A$14:$A$17,0))=0,"",INDEX($D$14:$D$17,MATCH($B21,$A$14:$A$17,0)))),""))</f>
        <v>46287</v>
      </c>
      <c r="F21" s="70">
        <f>IF($B$10="Call Sell Holding",IF(COUNTIFS('NIFTY Tracking'!$B$14:$B$213,"CALL Sell",'NIFTY Tracking'!$E$14:$E$213,"&lt;&gt;")&gt;0,IF(INDEX('NIFTY Tracking'!$E$14:$E$213,LOOKUP(2,1/(('NIFTY Tracking'!$B$14:$B$213="CALL Sell")*('NIFTY Tracking'!$E$14:$E$213&lt;&gt;"")),ROW('NIFTY Tracking'!$B$14:$B$213)-ROW('NIFTY Tracking'!$B$14)+1))="","",INDEX('NIFTY Tracking'!$E$14:$E$213,LOOKUP(2,1/(('NIFTY Tracking'!$B$14:$B$213="CALL Sell")*('NIFTY Tracking'!$E$14:$E$213&lt;&gt;"")),ROW('NIFTY Tracking'!$B$14:$B$213)-ROW('NIFTY Tracking'!$B$14)+1))),""),IF($B$10="No Holding",IF($B21="","",IF(INDEX($E$14:$E$17,MATCH($B21,$A$14:$A$17,0))=0,"",INDEX($E$14:$E$17,MATCH($B21,$A$14:$A$17,0)))),""))</f>
        <v>180.95</v>
      </c>
      <c r="G21" s="70">
        <f>IF($B$10="Call Sell Holding",IF(COUNTIFS('NIFTY Tracking'!$B$14:$B$213,"CALL Sell",'NIFTY Tracking'!$E$14:$E$213,"&lt;&gt;")&gt;0,IF(INDEX('NIFTY Tracking'!$F$14:$F$213,LOOKUP(2,1/(('NIFTY Tracking'!$B$14:$B$213="CALL Sell")*('NIFTY Tracking'!$E$14:$E$213&lt;&gt;"")),ROW('NIFTY Tracking'!$B$14:$B$213)-ROW('NIFTY Tracking'!$B$14)+1))="","",INDEX('NIFTY Tracking'!$F$14:$F$213,LOOKUP(2,1/(('NIFTY Tracking'!$B$14:$B$213="CALL Sell")*('NIFTY Tracking'!$E$14:$E$213&lt;&gt;"")),ROW('NIFTY Tracking'!$B$14:$B$213)-ROW('NIFTY Tracking'!$B$14)+1))),""),IF($B$10="No Holding",IF($B21="","",IF(INDEX($F$14:$F$17,MATCH($B21,$A$14:$A$17,0))=0,"",INDEX($F$14:$F$17,MATCH($B21,$A$14:$A$17,0)))),""))</f>
        <v>45.25</v>
      </c>
      <c r="H21" s="70">
        <f>IF($B$10="Call Sell Holding",IF(COUNTIFS('NIFTY Tracking'!$B$14:$B$213,"CALL Sell",'NIFTY Tracking'!$E$14:$E$213,"&lt;&gt;")&gt;0,IF(IF(INDEX('NIFTY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Tracking'!$B$14)+1))),IF(IF(INDEX('NIFTY Tracking'!$M$14:$M$213,LOOKUP(2,1/(('NIFTY Tracking'!$B$14:$B$213="CALL Sell")*('NIFTY Tracking'!$E$14:$E$213&lt;&gt;"")),ROW('NIFTY Tracking'!$B$14:$B$213)-ROW('NIFTY Tracking'!$B$14)+1))="","",INDEX('NIFTY Tracking'!$M$14:$M$213,LOOKUP(2,1/(('NIFTY Tracking'!$B$14:$B$213="CALL Sell")*('NIFTY Tracking'!$E$14:$E$213&lt;&gt;"")),ROW('NIFTY Tracking'!$B$14:$B$213)-ROW('NIFTY Tracking'!$B$14)+1)))="",IF(INDEX('NIFTY Tracking'!$K$14:$K$213,LOOKUP(2,1/(('NIFTY Tracking'!$B$14:$B$213="CALL Sell")*('NIFTY Tracking'!$E$14:$E$213&lt;&gt;"")),ROW('NIFTY Tracking'!$B$14:$B$213)-ROW('NIFTY Tracking'!$B$14)+1))="","",INDEX('NIFTY Tracking'!$K$14:$K$213,LOOKUP(2,1/(('NIFTY Tracking'!$B$14:$B$213="CALL Sell")*('NIFTY Tracking'!$E$14:$E$213&lt;&gt;"")),ROW('NIFTY Tracking'!$B$14:$B$213)-ROW('NIFTY Tracking'!$B$14)+1))),MAX(IF(INDEX('NIFTY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Tracking'!$B$14)+1)))))),""),IF($B$10="No Holding",IF($B21="","",IF(INDEX($G$14:$G$17,MATCH($B21,$A$14:$A$17,0))=0,"",INDEX($G$14:$G$17,MATCH($B21,$A$14:$A$17,0)))),""))</f>
        <v>316.65</v>
      </c>
      <c r="I21" s="39" t="str">
        <f>IF($B$10="Call Sell Holding",IF(AND(D21&lt;&gt;"",ISNUMBER(E21),COUNT(F21:H21)=3),"READY","INPUT REQUIRED"),IF($B$10="No Holding",IF($B21="","INPUT REQUIRED",INDEX($H$14:$H$17,MATCH($B21,$A$14:$A$17,0))),"INPUT REQUIRED"))</f>
        <v>READY</v>
      </c>
      <c r="J21" s="14"/>
      <c r="K21" s="110"/>
      <c r="L21" s="111"/>
      <c r="M21" s="111"/>
      <c r="N21" s="111"/>
      <c r="O21" s="111"/>
      <c r="P21" s="118"/>
    </row>
    <row r="22" ht="17.55" spans="1:16">
      <c r="A22" s="39" t="s">
        <v>22</v>
      </c>
      <c r="B22" s="62" t="s">
        <v>122</v>
      </c>
      <c r="C22" s="39" t="str">
        <f>IF($K$10&lt;&gt;"",$K$10,IF($J$10="","",$J$10))</f>
        <v>No Holding</v>
      </c>
      <c r="D22" s="86">
        <f>IF($J$10="Put Sell Holding",IF(COUNTIFS('NIFTY Tracking'!$B$14:$B$213,"PUT Sell",'NIFTY Tracking'!$E$14:$E$213,"&lt;&gt;")&gt;0,IF(INDEX('NIFTY Tracking'!$C$14:$C$213,LOOKUP(2,1/(('NIFTY Tracking'!$B$14:$B$213="PUT Sell")*('NIFTY Tracking'!$E$14:$E$213&lt;&gt;"")),ROW('NIFTY Tracking'!$B$14:$B$213)-ROW('NIFTY Tracking'!$B$14)+1))="","",INDEX('NIFTY Tracking'!$C$14:$C$213,LOOKUP(2,1/(('NIFTY Tracking'!$B$14:$B$213="PUT Sell")*('NIFTY Tracking'!$E$14:$E$213&lt;&gt;"")),ROW('NIFTY Tracking'!$B$14:$B$213)-ROW('NIFTY Tracking'!$B$14)+1))),""),IF($J$10="No Holding",IF($B22="","",IF(INDEX($C$14:$C$17,MATCH($B22,$A$14:$A$17,0))=0,"",INDEX($C$14:$C$17,MATCH($B22,$A$14:$A$17,0)))),""))</f>
        <v>23300</v>
      </c>
      <c r="E22" s="97">
        <f>IF($J$10="Put Sell Holding",IF(COUNTIFS('NIFTY Tracking'!$B$14:$B$213,"PUT Sell",'NIFTY Tracking'!$E$14:$E$213,"&lt;&gt;")&gt;0,IF(INDEX('NIFTY Tracking'!$D$14:$D$213,LOOKUP(2,1/(('NIFTY Tracking'!$B$14:$B$213="PUT Sell")*('NIFTY Tracking'!$E$14:$E$213&lt;&gt;"")),ROW('NIFTY Tracking'!$B$14:$B$213)-ROW('NIFTY Tracking'!$B$14)+1))="","",INDEX('NIFTY Tracking'!$D$14:$D$213,LOOKUP(2,1/(('NIFTY Tracking'!$B$14:$B$213="PUT Sell")*('NIFTY Tracking'!$E$14:$E$213&lt;&gt;"")),ROW('NIFTY Tracking'!$B$14:$B$213)-ROW('NIFTY Tracking'!$B$14)+1))),""),IF($J$10="No Holding",IF($B22="","",IF(INDEX($D$14:$D$17,MATCH($B22,$A$14:$A$17,0))=0,"",INDEX($D$14:$D$17,MATCH($B22,$A$14:$A$17,0)))),""))</f>
        <v>46287</v>
      </c>
      <c r="F22" s="70">
        <f>IF($J$10="Put Sell Holding",IF(COUNTIFS('NIFTY Tracking'!$B$14:$B$213,"PUT Sell",'NIFTY Tracking'!$E$14:$E$213,"&lt;&gt;")&gt;0,IF(INDEX('NIFTY Tracking'!$E$14:$E$213,LOOKUP(2,1/(('NIFTY Tracking'!$B$14:$B$213="PUT Sell")*('NIFTY Tracking'!$E$14:$E$213&lt;&gt;"")),ROW('NIFTY Tracking'!$B$14:$B$213)-ROW('NIFTY Tracking'!$B$14)+1))="","",INDEX('NIFTY Tracking'!$E$14:$E$213,LOOKUP(2,1/(('NIFTY Tracking'!$B$14:$B$213="PUT Sell")*('NIFTY Tracking'!$E$14:$E$213&lt;&gt;"")),ROW('NIFTY Tracking'!$B$14:$B$213)-ROW('NIFTY Tracking'!$B$14)+1))),""),IF($J$10="No Holding",IF($B22="","",IF(INDEX($E$14:$E$17,MATCH($B22,$A$14:$A$17,0))=0,"",INDEX($E$14:$E$17,MATCH($B22,$A$14:$A$17,0)))),""))</f>
        <v>184.3</v>
      </c>
      <c r="G22" s="70">
        <f>IF($J$10="Put Sell Holding",IF(COUNTIFS('NIFTY Tracking'!$B$14:$B$213,"PUT Sell",'NIFTY Tracking'!$E$14:$E$213,"&lt;&gt;")&gt;0,IF(INDEX('NIFTY Tracking'!$F$14:$F$213,LOOKUP(2,1/(('NIFTY Tracking'!$B$14:$B$213="PUT Sell")*('NIFTY Tracking'!$E$14:$E$213&lt;&gt;"")),ROW('NIFTY Tracking'!$B$14:$B$213)-ROW('NIFTY Tracking'!$B$14)+1))="","",INDEX('NIFTY Tracking'!$F$14:$F$213,LOOKUP(2,1/(('NIFTY Tracking'!$B$14:$B$213="PUT Sell")*('NIFTY Tracking'!$E$14:$E$213&lt;&gt;"")),ROW('NIFTY Tracking'!$B$14:$B$213)-ROW('NIFTY Tracking'!$B$14)+1))),""),IF($J$10="No Holding",IF($B22="","",IF(INDEX($F$14:$F$17,MATCH($B22,$A$14:$A$17,0))=0,"",INDEX($F$14:$F$17,MATCH($B22,$A$14:$A$17,0)))),""))</f>
        <v>46.1</v>
      </c>
      <c r="H22" s="70">
        <f>IF($J$10="Put Sell Holding",IF(COUNTIFS('NIFTY Tracking'!$B$14:$B$213,"PUT Sell",'NIFTY Tracking'!$E$14:$E$213,"&lt;&gt;")&gt;0,IF(IF(INDEX('NIFTY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Tracking'!$B$14)+1))),IF(IF(INDEX('NIFTY Tracking'!$M$14:$M$213,LOOKUP(2,1/(('NIFTY Tracking'!$B$14:$B$213="PUT Sell")*('NIFTY Tracking'!$E$14:$E$213&lt;&gt;"")),ROW('NIFTY Tracking'!$B$14:$B$213)-ROW('NIFTY Tracking'!$B$14)+1))="","",INDEX('NIFTY Tracking'!$M$14:$M$213,LOOKUP(2,1/(('NIFTY Tracking'!$B$14:$B$213="PUT Sell")*('NIFTY Tracking'!$E$14:$E$213&lt;&gt;"")),ROW('NIFTY Tracking'!$B$14:$B$213)-ROW('NIFTY Tracking'!$B$14)+1)))="",IF(INDEX('NIFTY Tracking'!$K$14:$K$213,LOOKUP(2,1/(('NIFTY Tracking'!$B$14:$B$213="PUT Sell")*('NIFTY Tracking'!$E$14:$E$213&lt;&gt;"")),ROW('NIFTY Tracking'!$B$14:$B$213)-ROW('NIFTY Tracking'!$B$14)+1))="","",INDEX('NIFTY Tracking'!$K$14:$K$213,LOOKUP(2,1/(('NIFTY Tracking'!$B$14:$B$213="PUT Sell")*('NIFTY Tracking'!$E$14:$E$213&lt;&gt;"")),ROW('NIFTY Tracking'!$B$14:$B$213)-ROW('NIFTY Tracking'!$B$14)+1))),MAX(IF(INDEX('NIFTY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Tracking'!$B$14)+1)))))),""),IF($J$10="No Holding",IF($B22="","",IF(INDEX($G$14:$G$17,MATCH($B22,$A$14:$A$17,0))=0,"",INDEX($G$14:$G$17,MATCH($B22,$A$14:$A$17,0)))),""))</f>
        <v>322.55</v>
      </c>
      <c r="I22" s="39" t="str">
        <f>IF($J$10="Put Sell Holding",IF(AND(D22&lt;&gt;"",ISNUMBER(E22),COUNT(F22:H22)=3),"READY","INPUT REQUIRED"),IF($J$10="No Holding",IF($B22="","INPUT REQUIRED",INDEX($H$14:$H$17,MATCH($B22,$A$14:$A$17,0))),"INPUT REQUIRED"))</f>
        <v>READY</v>
      </c>
      <c r="J22" s="14"/>
      <c r="K22" s="112"/>
      <c r="L22" s="113"/>
      <c r="M22" s="113"/>
      <c r="N22" s="113"/>
      <c r="O22" s="113"/>
      <c r="P22" s="119"/>
    </row>
    <row r="23" ht="17.55" spans="1:16">
      <c r="A23" s="14"/>
      <c r="B23" s="14"/>
      <c r="C23" s="14"/>
      <c r="D23" s="14"/>
      <c r="E23" s="14"/>
      <c r="F23" s="14"/>
      <c r="G23" s="14"/>
      <c r="H23" s="14"/>
      <c r="I23" s="14"/>
      <c r="J23" s="14"/>
      <c r="K23" s="14"/>
      <c r="L23" s="14"/>
      <c r="M23" s="14"/>
      <c r="N23" s="14"/>
      <c r="O23" s="14"/>
      <c r="P23" s="14"/>
    </row>
    <row r="24" ht="17.55" spans="1:16">
      <c r="A24" s="15" t="s">
        <v>144</v>
      </c>
      <c r="B24" s="16"/>
      <c r="C24" s="16"/>
      <c r="D24" s="16"/>
      <c r="E24" s="16"/>
      <c r="F24" s="16"/>
      <c r="G24" s="16"/>
      <c r="H24" s="16"/>
      <c r="I24" s="16"/>
      <c r="J24" s="16"/>
      <c r="K24" s="16"/>
      <c r="L24" s="16"/>
      <c r="M24" s="16"/>
      <c r="N24" s="16"/>
      <c r="O24" s="16"/>
      <c r="P24" s="17"/>
    </row>
    <row r="25" spans="1:16">
      <c r="A25" s="7" t="s">
        <v>15</v>
      </c>
      <c r="B25" s="7" t="s">
        <v>145</v>
      </c>
      <c r="C25" s="7" t="s">
        <v>146</v>
      </c>
      <c r="D25" s="7" t="s">
        <v>147</v>
      </c>
      <c r="E25" s="7" t="s">
        <v>148</v>
      </c>
      <c r="F25" s="7" t="s">
        <v>149</v>
      </c>
      <c r="G25" s="98" t="s">
        <v>150</v>
      </c>
      <c r="H25" s="98"/>
      <c r="I25" s="98"/>
      <c r="J25" s="98"/>
      <c r="K25" s="98"/>
      <c r="L25" s="98"/>
      <c r="M25" s="98"/>
      <c r="N25" s="98"/>
      <c r="O25" s="98"/>
      <c r="P25" s="98"/>
    </row>
    <row r="26" spans="1:16">
      <c r="A26" s="88" t="s">
        <v>21</v>
      </c>
      <c r="B26" s="88" t="s">
        <v>96</v>
      </c>
      <c r="C26" s="69">
        <f>IF(AND($B$10="No Holding",$C$10=""),IF(ISNUMBER($B$9),$B$9,""),"")</f>
        <v>220</v>
      </c>
      <c r="D26" s="69">
        <f>IF(ISNUMBER($F$21),$F$21,"")</f>
        <v>180.95</v>
      </c>
      <c r="E26" s="72" t="str">
        <f>IF(NOT(AND($B$10="No Holding",$C$10="")),"NOT APPLICABLE",IF(OR($I$21&lt;&gt;"READY",NOT(ISNUMBER($B$9))),"INPUT REQUIRED",IF($B$9&lt;=$F$21,"ENTRY MISSED","ENTRY NOT MISSED")))</f>
        <v>ENTRY NOT MISSED</v>
      </c>
      <c r="F26" s="69">
        <f>IF(E26="ENTRY NOT MISSED",D26,"")</f>
        <v>180.95</v>
      </c>
      <c r="G26" s="99" t="str">
        <f>IF(AND($B$10="Call Sell Holding",$C$10=""),"Select a trade stage for the holding",IF(E26="INPUT REQUIRED","Complete CALL levels and market inputs",IF(E26="ENTRY MISSED","Do not place this setup; review Gap Down CALL after 9:30 AM",IF(E26="ENTRY NOT MISSED","Place the selected CALL Sell entry order",""))))</f>
        <v>Place the selected CALL Sell entry order</v>
      </c>
      <c r="H26" s="99"/>
      <c r="I26" s="99"/>
      <c r="J26" s="99"/>
      <c r="K26" s="99"/>
      <c r="L26" s="99"/>
      <c r="M26" s="99"/>
      <c r="N26" s="99"/>
      <c r="O26" s="99"/>
      <c r="P26" s="99"/>
    </row>
    <row r="27" spans="1:16">
      <c r="A27" s="88" t="s">
        <v>21</v>
      </c>
      <c r="B27" s="88" t="s">
        <v>97</v>
      </c>
      <c r="C27" s="69" t="str">
        <f>IF($C$10="Entry Triggered",IF(ISNUMBER($B$7),$B$7,""),"")</f>
        <v/>
      </c>
      <c r="D27" s="69">
        <f>IF(ISNUMBER($G$21),$G$21,"")</f>
        <v>45.25</v>
      </c>
      <c r="E27" s="72" t="str">
        <f>IF($C$10="Target Triggered","COMPLETED",IF(NOT($C$10="Entry Triggered"),"NOT APPLICABLE",IF(OR($I$21&lt;&gt;"READY",NOT(ISNUMBER($B$7))),"INPUT REQUIRED",IF($B$7&lt;=$G$21,"TARGET MISSED","TARGET NOT MISSED"))))</f>
        <v>NOT APPLICABLE</v>
      </c>
      <c r="F27" s="69" t="str">
        <f>IF(E27="TARGET NOT MISSED",D27,"")</f>
        <v/>
      </c>
      <c r="G27" s="99" t="str">
        <f>IF($C$10="Target Triggered","START FRESH TRADE",IF(E27="TARGET NOT MISSED","Place the CALL target order",IF(E27="TARGET MISSED","Target price already traded; do not place a late target order",IF(E27="INPUT REQUIRED","Complete CALL levels and opening price",""))))</f>
        <v/>
      </c>
      <c r="H27" s="99"/>
      <c r="I27" s="99"/>
      <c r="J27" s="99"/>
      <c r="K27" s="99"/>
      <c r="L27" s="99"/>
      <c r="M27" s="99"/>
      <c r="N27" s="99"/>
      <c r="O27" s="99"/>
      <c r="P27" s="99"/>
    </row>
    <row r="28" spans="1:16">
      <c r="A28" s="88" t="s">
        <v>21</v>
      </c>
      <c r="B28" s="88" t="s">
        <v>98</v>
      </c>
      <c r="C28" s="69" t="str">
        <f>IF($C$10="Entry Triggered",IF(ISNUMBER($B$8),$B$8,""),"")</f>
        <v/>
      </c>
      <c r="D28" s="69">
        <f>IF(ISNUMBER($H$21),$H$21,"")</f>
        <v>316.65</v>
      </c>
      <c r="E28" s="72" t="str">
        <f>IF($C$10="Stoploss Triggered","COMPLETED",IF(NOT($C$10="Entry Triggered"),"NOT APPLICABLE",IF(OR($I$21&lt;&gt;"READY",NOT(ISNUMBER($B$8))),"INPUT REQUIRED",IF($B$8&gt;=$H$21,"STOPLOSS MISSED","STOPLOSS NOT MISSED"))))</f>
        <v>NOT APPLICABLE</v>
      </c>
      <c r="F28" s="69" t="str">
        <f>IF(E28="STOPLOSS NOT MISSED",D28,"")</f>
        <v/>
      </c>
      <c r="G28" s="99" t="str">
        <f>IF($C$10="Stoploss Triggered","START FRESH TRADE",IF(E28="STOPLOSS NOT MISSED","Place the CALL stop-loss order",IF(E28="STOPLOSS MISSED","Stop-loss price already traded; do not place a late order",IF(E28="INPUT REQUIRED","Complete CALL levels and 10-minute high",""))))</f>
        <v/>
      </c>
      <c r="H28" s="99"/>
      <c r="I28" s="99"/>
      <c r="J28" s="99"/>
      <c r="K28" s="99"/>
      <c r="L28" s="99"/>
      <c r="M28" s="99"/>
      <c r="N28" s="99"/>
      <c r="O28" s="99"/>
      <c r="P28" s="99"/>
    </row>
    <row r="29" spans="1:16">
      <c r="A29" s="89" t="s">
        <v>22</v>
      </c>
      <c r="B29" s="89" t="s">
        <v>96</v>
      </c>
      <c r="C29" s="69" t="str">
        <f>IF(AND($J$10="No Holding",$K$10=""),IF(ISNUMBER($J$9),$J$9,""),"")</f>
        <v/>
      </c>
      <c r="D29" s="69">
        <f>IF(ISNUMBER($F$22),$F$22,"")</f>
        <v>184.3</v>
      </c>
      <c r="E29" s="72" t="str">
        <f>IF(NOT(AND($J$10="No Holding",$K$10="")),"NOT APPLICABLE",IF(OR($I$22&lt;&gt;"READY",NOT(ISNUMBER($J$9))),"INPUT REQUIRED",IF($J$9&lt;=$F$22,"ENTRY MISSED","ENTRY NOT MISSED")))</f>
        <v>INPUT REQUIRED</v>
      </c>
      <c r="F29" s="69" t="str">
        <f>IF(E29="ENTRY NOT MISSED",D29,"")</f>
        <v/>
      </c>
      <c r="G29" s="99" t="str">
        <f>IF(AND($J$10="Put Sell Holding",$K$10=""),"Select a trade stage for the holding",IF(E29="INPUT REQUIRED","Complete PUT levels and market inputs",IF(E29="ENTRY MISSED","Do not place this setup; review Gap Up PUT after 9:30 AM",IF(E29="ENTRY NOT MISSED","Place the selected PUT Sell entry order",""))))</f>
        <v>Complete PUT levels and market inputs</v>
      </c>
      <c r="H29" s="99"/>
      <c r="I29" s="99"/>
      <c r="J29" s="99"/>
      <c r="K29" s="99"/>
      <c r="L29" s="99"/>
      <c r="M29" s="99"/>
      <c r="N29" s="99"/>
      <c r="O29" s="99"/>
      <c r="P29" s="99"/>
    </row>
    <row r="30" spans="1:16">
      <c r="A30" s="89" t="s">
        <v>22</v>
      </c>
      <c r="B30" s="89" t="s">
        <v>97</v>
      </c>
      <c r="C30" s="69" t="str">
        <f>IF($K$10="Entry Triggered",IF(ISNUMBER($J$7),$J$7,""),"")</f>
        <v/>
      </c>
      <c r="D30" s="69">
        <f>IF(ISNUMBER($G$22),$G$22,"")</f>
        <v>46.1</v>
      </c>
      <c r="E30" s="72" t="str">
        <f>IF($K$10="Target Triggered","COMPLETED",IF(NOT($K$10="Entry Triggered"),"NOT APPLICABLE",IF(OR($I$22&lt;&gt;"READY",NOT(ISNUMBER($J$7))),"INPUT REQUIRED",IF($J$7&lt;=$G$22,"TARGET MISSED","TARGET NOT MISSED"))))</f>
        <v>NOT APPLICABLE</v>
      </c>
      <c r="F30" s="69" t="str">
        <f>IF(E30="TARGET NOT MISSED",D30,"")</f>
        <v/>
      </c>
      <c r="G30" s="99" t="str">
        <f>IF($K$10="Target Triggered","START FRESH TRADE",IF(E30="TARGET NOT MISSED","Place the PUT target order",IF(E30="TARGET MISSED","Target price already traded; do not place a late target order",IF(E30="INPUT REQUIRED","Complete PUT levels and opening price",""))))</f>
        <v/>
      </c>
      <c r="H30" s="99"/>
      <c r="I30" s="99"/>
      <c r="J30" s="99"/>
      <c r="K30" s="99"/>
      <c r="L30" s="99"/>
      <c r="M30" s="99"/>
      <c r="N30" s="99"/>
      <c r="O30" s="99"/>
      <c r="P30" s="99"/>
    </row>
    <row r="31" spans="1:16">
      <c r="A31" s="89" t="s">
        <v>22</v>
      </c>
      <c r="B31" s="89" t="s">
        <v>98</v>
      </c>
      <c r="C31" s="69" t="str">
        <f>IF($K$10="Entry Triggered",IF(ISNUMBER($J$8),$J$8,""),"")</f>
        <v/>
      </c>
      <c r="D31" s="69">
        <f>IF(ISNUMBER($H$22),$H$22,"")</f>
        <v>322.55</v>
      </c>
      <c r="E31" s="72" t="str">
        <f>IF($K$10="Stoploss Triggered","COMPLETED",IF(NOT($K$10="Entry Triggered"),"NOT APPLICABLE",IF(OR($I$22&lt;&gt;"READY",NOT(ISNUMBER($J$8))),"INPUT REQUIRED",IF($J$8&gt;=$H$22,"STOPLOSS MISSED","STOPLOSS NOT MISSED"))))</f>
        <v>NOT APPLICABLE</v>
      </c>
      <c r="F31" s="69" t="str">
        <f>IF(E31="STOPLOSS NOT MISSED",D31,"")</f>
        <v/>
      </c>
      <c r="G31" s="99" t="str">
        <f>IF($K$10="Stoploss Triggered","START FRESH TRADE",IF(E31="STOPLOSS NOT MISSED","Place the PUT stop-loss order",IF(E31="STOPLOSS MISSED","Stop-loss price already traded; do not place a late order",IF(E31="INPUT REQUIRED","Complete PUT levels and 10-minute high",""))))</f>
        <v/>
      </c>
      <c r="H31" s="99"/>
      <c r="I31" s="99"/>
      <c r="J31" s="99"/>
      <c r="K31" s="99"/>
      <c r="L31" s="99"/>
      <c r="M31" s="99"/>
      <c r="N31" s="99"/>
      <c r="O31" s="99"/>
      <c r="P31" s="99"/>
    </row>
    <row r="32" ht="17.55" spans="1:16">
      <c r="A32" s="14"/>
      <c r="B32" s="14"/>
      <c r="C32" s="14"/>
      <c r="D32" s="14"/>
      <c r="E32" s="14"/>
      <c r="F32" s="14"/>
      <c r="G32" s="14"/>
      <c r="H32" s="14"/>
      <c r="I32" s="14"/>
      <c r="J32" s="14"/>
      <c r="K32" s="14"/>
      <c r="L32" s="14"/>
      <c r="M32" s="14"/>
      <c r="N32" s="14"/>
      <c r="O32" s="14"/>
      <c r="P32" s="14"/>
    </row>
    <row r="33" ht="17.55" spans="1:16">
      <c r="A33" s="15" t="s">
        <v>151</v>
      </c>
      <c r="B33" s="16"/>
      <c r="C33" s="16"/>
      <c r="D33" s="16"/>
      <c r="E33" s="16"/>
      <c r="F33" s="16"/>
      <c r="G33" s="16"/>
      <c r="H33" s="16"/>
      <c r="I33" s="16"/>
      <c r="J33" s="16"/>
      <c r="K33" s="16"/>
      <c r="L33" s="16"/>
      <c r="M33" s="16"/>
      <c r="N33" s="16"/>
      <c r="O33" s="16"/>
      <c r="P33" s="17"/>
    </row>
    <row r="34" spans="1:16">
      <c r="A34" s="90" t="s">
        <v>152</v>
      </c>
      <c r="B34" s="90" t="s">
        <v>153</v>
      </c>
      <c r="C34" s="90" t="s">
        <v>15</v>
      </c>
      <c r="D34" s="90" t="s">
        <v>154</v>
      </c>
      <c r="E34" s="90" t="s">
        <v>155</v>
      </c>
      <c r="F34" s="90" t="s">
        <v>156</v>
      </c>
      <c r="G34" s="90" t="s">
        <v>157</v>
      </c>
      <c r="H34" s="90" t="s">
        <v>150</v>
      </c>
      <c r="I34" s="114" t="s">
        <v>152</v>
      </c>
      <c r="J34" s="114" t="s">
        <v>153</v>
      </c>
      <c r="K34" s="114" t="s">
        <v>15</v>
      </c>
      <c r="L34" s="114" t="s">
        <v>154</v>
      </c>
      <c r="M34" s="114" t="s">
        <v>155</v>
      </c>
      <c r="N34" s="114" t="s">
        <v>156</v>
      </c>
      <c r="O34" s="114" t="s">
        <v>157</v>
      </c>
      <c r="P34" s="114" t="s">
        <v>150</v>
      </c>
    </row>
    <row r="35" ht="29" spans="1:16">
      <c r="A35" s="88" t="s">
        <v>96</v>
      </c>
      <c r="B35" s="88" t="str">
        <f>IF($E$26="ENTRY NOT MISSED","YES","")</f>
        <v>YES</v>
      </c>
      <c r="C35" s="91" t="str">
        <f>IF(B35="YES","Sell","")</f>
        <v>Sell</v>
      </c>
      <c r="D35" s="88" t="str">
        <f>IF(B35="YES","Stop-Limit","")</f>
        <v>Stop-Limit</v>
      </c>
      <c r="E35" s="100">
        <f>IF(B35="YES",$F$21,"")</f>
        <v>180.95</v>
      </c>
      <c r="F35" s="100">
        <f>IF(E35="","",E35-Settings!$B$20)</f>
        <v>177.95</v>
      </c>
      <c r="G35" s="88" t="str">
        <f>IF(B35="YES",IF($B$21="Gap Down CALL","After 9:30 AM","After 9:25 AM"),"")</f>
        <v>After 9:25 AM</v>
      </c>
      <c r="H35" s="101" t="str">
        <f>IF(OR($C$10="Target Triggered",$C$10="Stoploss Triggered"),"START FRESH TRADE",IF(AND($B$10="Call Sell Holding",$C$10=""),"SELECT TRADE STAGE",IF(B35="YES","Place the selected CALL Sell entry","")))</f>
        <v>Place the selected CALL Sell entry</v>
      </c>
      <c r="I35" s="89" t="s">
        <v>96</v>
      </c>
      <c r="J35" s="89" t="str">
        <f>IF($E$29="ENTRY NOT MISSED","YES","")</f>
        <v/>
      </c>
      <c r="K35" s="115" t="str">
        <f>IF(J35="YES","Sell","")</f>
        <v/>
      </c>
      <c r="L35" s="89" t="str">
        <f>IF(J35="YES","Stop-Limit","")</f>
        <v/>
      </c>
      <c r="M35" s="120" t="str">
        <f>IF(J35="YES",$F$22,"")</f>
        <v/>
      </c>
      <c r="N35" s="120" t="str">
        <f>IF(M35="","",M35-Settings!$B$20)</f>
        <v/>
      </c>
      <c r="O35" s="89" t="str">
        <f>IF(J35="YES",IF($B$22="Gap Up PUT","After 9:30 AM","After 9:25 AM"),"")</f>
        <v/>
      </c>
      <c r="P35" s="121" t="str">
        <f>IF(OR($K$10="Target Triggered",$K$10="Stoploss Triggered"),"START FRESH TRADE",IF(AND($J$10="Put Sell Holding",$K$10=""),"SELECT TRADE STAGE",IF(J35="YES","Place the selected PUT Sell entry","")))</f>
        <v/>
      </c>
    </row>
    <row r="36" spans="1:16">
      <c r="A36" s="88" t="s">
        <v>97</v>
      </c>
      <c r="B36" s="88" t="str">
        <f>IF($E$27="TARGET NOT MISSED","YES","")</f>
        <v/>
      </c>
      <c r="C36" s="91" t="str">
        <f>IF(B36="YES","Buy","")</f>
        <v/>
      </c>
      <c r="D36" s="88" t="str">
        <f>IF(B36="YES","Limit","")</f>
        <v/>
      </c>
      <c r="E36" s="100"/>
      <c r="F36" s="100" t="str">
        <f>IF(B36="YES",$G$21,"")</f>
        <v/>
      </c>
      <c r="G36" s="88" t="str">
        <f>IF(B36="YES","After 9:15 AM","")</f>
        <v/>
      </c>
      <c r="H36" s="101" t="str">
        <f>IF(B36="YES","Place the CALL target order","")</f>
        <v/>
      </c>
      <c r="I36" s="89" t="s">
        <v>97</v>
      </c>
      <c r="J36" s="89" t="str">
        <f>IF($E$30="TARGET NOT MISSED","YES","")</f>
        <v/>
      </c>
      <c r="K36" s="115" t="str">
        <f>IF(J36="YES","Buy","")</f>
        <v/>
      </c>
      <c r="L36" s="89" t="str">
        <f>IF(J36="YES","Limit","")</f>
        <v/>
      </c>
      <c r="M36" s="120"/>
      <c r="N36" s="120" t="str">
        <f>IF(J36="YES",$G$22,"")</f>
        <v/>
      </c>
      <c r="O36" s="89" t="str">
        <f>IF(J36="YES","After 9:15 AM","")</f>
        <v/>
      </c>
      <c r="P36" s="121" t="str">
        <f>IF(J36="YES","Place the PUT target order","")</f>
        <v/>
      </c>
    </row>
    <row r="37" spans="1:16">
      <c r="A37" s="88" t="s">
        <v>98</v>
      </c>
      <c r="B37" s="88" t="str">
        <f>IF($E$28="STOPLOSS NOT MISSED","YES","")</f>
        <v/>
      </c>
      <c r="C37" s="91" t="str">
        <f>IF(B37="YES","Buy","")</f>
        <v/>
      </c>
      <c r="D37" s="88" t="str">
        <f>IF(B37="YES","Stop-Limit","")</f>
        <v/>
      </c>
      <c r="E37" s="100" t="str">
        <f>IF(B37="YES",$H$21,"")</f>
        <v/>
      </c>
      <c r="F37" s="100" t="str">
        <f>IF(E37="","",E37+Settings!$B$20)</f>
        <v/>
      </c>
      <c r="G37" s="88" t="str">
        <f>IF(B37="YES","After 9:25 AM","")</f>
        <v/>
      </c>
      <c r="H37" s="101" t="str">
        <f>IF(B37="YES","Place the CALL stop-loss order","")</f>
        <v/>
      </c>
      <c r="I37" s="89" t="s">
        <v>98</v>
      </c>
      <c r="J37" s="89" t="str">
        <f>IF($E$31="STOPLOSS NOT MISSED","YES","")</f>
        <v/>
      </c>
      <c r="K37" s="115" t="str">
        <f>IF(J37="YES","Buy","")</f>
        <v/>
      </c>
      <c r="L37" s="89" t="str">
        <f>IF(J37="YES","Stop-Limit","")</f>
        <v/>
      </c>
      <c r="M37" s="120" t="str">
        <f>IF(J37="YES",$H$22,"")</f>
        <v/>
      </c>
      <c r="N37" s="120" t="str">
        <f>IF(M37="","",M37+Settings!$B$20)</f>
        <v/>
      </c>
      <c r="O37" s="89" t="str">
        <f>IF(J37="YES","After 9:25 AM","")</f>
        <v/>
      </c>
      <c r="P37" s="121" t="str">
        <f>IF(J37="YES","Place the PUT stop-loss order","")</f>
        <v/>
      </c>
    </row>
    <row r="38" ht="17.55" spans="1:16">
      <c r="A38" s="14"/>
      <c r="B38" s="14"/>
      <c r="C38" s="14"/>
      <c r="D38" s="14"/>
      <c r="E38" s="14"/>
      <c r="F38" s="14"/>
      <c r="G38" s="14"/>
      <c r="H38" s="14"/>
      <c r="I38" s="14"/>
      <c r="J38" s="14"/>
      <c r="K38" s="14"/>
      <c r="L38" s="14"/>
      <c r="M38" s="14"/>
      <c r="N38" s="14"/>
      <c r="O38" s="14"/>
      <c r="P38" s="14"/>
    </row>
    <row r="39" ht="28" customHeight="1" spans="1:16">
      <c r="A39" s="92" t="s">
        <v>158</v>
      </c>
      <c r="B39" s="93"/>
      <c r="C39" s="93"/>
      <c r="D39" s="93"/>
      <c r="E39" s="93"/>
      <c r="F39" s="93"/>
      <c r="G39" s="93"/>
      <c r="H39" s="93"/>
      <c r="I39" s="93"/>
      <c r="J39" s="93"/>
      <c r="K39" s="93"/>
      <c r="L39" s="93"/>
      <c r="M39" s="93"/>
      <c r="N39" s="93"/>
      <c r="O39" s="93"/>
      <c r="P39" s="122"/>
    </row>
    <row r="40" ht="28" customHeight="1" spans="1:16">
      <c r="A40" s="94"/>
      <c r="B40" s="95"/>
      <c r="C40" s="95"/>
      <c r="D40" s="95"/>
      <c r="E40" s="95"/>
      <c r="F40" s="95"/>
      <c r="G40" s="95"/>
      <c r="H40" s="95"/>
      <c r="I40" s="95"/>
      <c r="J40" s="95"/>
      <c r="K40" s="95"/>
      <c r="L40" s="95"/>
      <c r="M40" s="95"/>
      <c r="N40" s="95"/>
      <c r="O40" s="95"/>
      <c r="P40" s="123"/>
    </row>
    <row r="41" spans="1:16">
      <c r="A41" s="14"/>
      <c r="B41" s="14"/>
      <c r="C41" s="14"/>
      <c r="D41" s="14"/>
      <c r="E41" s="14"/>
      <c r="F41" s="14"/>
      <c r="G41" s="14"/>
      <c r="H41" s="14"/>
      <c r="I41" s="14"/>
      <c r="J41" s="14"/>
      <c r="K41" s="14"/>
      <c r="L41" s="14"/>
      <c r="M41" s="14"/>
      <c r="N41" s="14"/>
      <c r="O41" s="14"/>
      <c r="P41" s="14"/>
    </row>
    <row r="42" spans="1:16">
      <c r="A42" s="14"/>
      <c r="B42" s="14"/>
      <c r="C42" s="14"/>
      <c r="D42" s="14"/>
      <c r="E42" s="14"/>
      <c r="F42" s="14"/>
      <c r="G42" s="14"/>
      <c r="H42" s="14"/>
      <c r="I42" s="14"/>
      <c r="J42" s="14"/>
      <c r="K42" s="14"/>
      <c r="L42" s="14"/>
      <c r="M42" s="14"/>
      <c r="N42" s="14"/>
      <c r="O42" s="14"/>
      <c r="P42" s="14"/>
    </row>
    <row r="43" ht="20" customHeight="1" spans="1:16">
      <c r="A43" s="1"/>
      <c r="B43" s="1"/>
      <c r="C43" s="20" t="s">
        <v>47</v>
      </c>
      <c r="D43" s="20"/>
      <c r="E43" s="20"/>
      <c r="F43" s="20"/>
      <c r="G43" s="20"/>
      <c r="H43" s="20"/>
      <c r="I43" s="20"/>
      <c r="J43" s="20"/>
      <c r="K43" s="20"/>
      <c r="L43" s="20"/>
      <c r="M43" s="20"/>
      <c r="N43" s="20"/>
      <c r="O43" s="1"/>
      <c r="P43" s="1"/>
    </row>
    <row r="44" ht="20" customHeight="1" spans="1:16">
      <c r="A44" s="1"/>
      <c r="B44" s="1"/>
      <c r="C44" s="21" t="s">
        <v>48</v>
      </c>
      <c r="D44" s="21"/>
      <c r="E44" s="21"/>
      <c r="F44" s="21"/>
      <c r="G44" s="21"/>
      <c r="H44" s="21"/>
      <c r="I44" s="21"/>
      <c r="J44" s="21"/>
      <c r="K44" s="21"/>
      <c r="L44" s="21"/>
      <c r="M44" s="21"/>
      <c r="N44" s="21"/>
      <c r="O44" s="1"/>
      <c r="P44" s="1"/>
    </row>
    <row r="45" ht="20" customHeight="1" spans="1:16">
      <c r="A45" s="1"/>
      <c r="B45" s="1"/>
      <c r="C45" s="21" t="s">
        <v>49</v>
      </c>
      <c r="D45" s="21"/>
      <c r="E45" s="21"/>
      <c r="F45" s="21"/>
      <c r="G45" s="21"/>
      <c r="H45" s="21"/>
      <c r="I45" s="21"/>
      <c r="J45" s="21"/>
      <c r="K45" s="21"/>
      <c r="L45" s="21"/>
      <c r="M45" s="21"/>
      <c r="N45" s="21"/>
      <c r="O45" s="1"/>
      <c r="P45" s="1"/>
    </row>
    <row r="46" ht="20" customHeight="1" spans="1:16">
      <c r="A46" s="1"/>
      <c r="B46" s="1"/>
      <c r="C46" s="22" t="s">
        <v>50</v>
      </c>
      <c r="D46" s="22"/>
      <c r="E46" s="22"/>
      <c r="F46" s="22"/>
      <c r="G46" s="22"/>
      <c r="H46" s="22"/>
      <c r="I46" s="22"/>
      <c r="J46" s="22"/>
      <c r="K46" s="22"/>
      <c r="L46" s="22"/>
      <c r="M46" s="22"/>
      <c r="N46" s="22"/>
      <c r="O46" s="1"/>
      <c r="P46" s="1"/>
    </row>
  </sheetData>
  <sheetProtection algorithmName="SHA-512" hashValue="Cjj3nNmmwr2eMzClJ0TDhq2a1pIXJWIkTQbbfINwsld5TFCKmRcgwcgDzDqvTxAErycpsr2hY1ZEI+aMD65/6Q==" saltValue="qBE2Isl9sg8SUlf2niTozg==" spinCount="100000" sheet="1" objects="1"/>
  <mergeCells count="25">
    <mergeCell ref="C1:L1"/>
    <mergeCell ref="C2:L2"/>
    <mergeCell ref="C3:L3"/>
    <mergeCell ref="I5:P5"/>
    <mergeCell ref="A6:H6"/>
    <mergeCell ref="I6:P6"/>
    <mergeCell ref="A12:P12"/>
    <mergeCell ref="A19:P19"/>
    <mergeCell ref="A24:P24"/>
    <mergeCell ref="G25:P25"/>
    <mergeCell ref="G26:P26"/>
    <mergeCell ref="G27:P27"/>
    <mergeCell ref="G28:P28"/>
    <mergeCell ref="G29:P29"/>
    <mergeCell ref="G30:P30"/>
    <mergeCell ref="G31:P31"/>
    <mergeCell ref="A33:P33"/>
    <mergeCell ref="C43:N43"/>
    <mergeCell ref="C44:N44"/>
    <mergeCell ref="C45:N45"/>
    <mergeCell ref="C46:N46"/>
    <mergeCell ref="M1:P3"/>
    <mergeCell ref="J13:P17"/>
    <mergeCell ref="K20:P22"/>
    <mergeCell ref="A39:P40"/>
  </mergeCells>
  <conditionalFormatting sqref="E26:E31">
    <cfRule type="expression" dxfId="0" priority="1">
      <formula>OR(E26="ENTRY NOT MISSED",E26="TARGET NOT MISSED",E26="STOPLOSS NOT MISSED",E26="COMPLETED")</formula>
    </cfRule>
    <cfRule type="expression" dxfId="1" priority="2">
      <formula>OR(E26="ENTRY MISSED",E26="TARGET MISSED",E26="STOPLOSS MISSED")</formula>
    </cfRule>
    <cfRule type="expression" dxfId="2" priority="3">
      <formula>E26="INPUT REQUIRED"</formula>
    </cfRule>
  </conditionalFormatting>
  <dataValidations count="6">
    <dataValidation type="list" sqref="B5">
      <formula1>Settings!$J$7:$J$36</formula1>
    </dataValidation>
    <dataValidation type="list" allowBlank="1" showErrorMessage="1" sqref="B10">
      <formula1>"No Holding,Call Sell Holding"</formula1>
    </dataValidation>
    <dataValidation type="list" allowBlank="1" showErrorMessage="1" sqref="C10 K10">
      <formula1>Settings!$G$8:$G$10</formula1>
    </dataValidation>
    <dataValidation type="list" allowBlank="1" showErrorMessage="1" sqref="J10">
      <formula1>"No Holding,Put Sell Holding"</formula1>
    </dataValidation>
    <dataValidation type="list" sqref="B21">
      <formula1>Settings!$K$7:$K$8</formula1>
    </dataValidation>
    <dataValidation type="list" sqref="B22">
      <formula1>Settings!$L$7:$L$8</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9A227"/>
  </sheetPr>
  <dimension ref="A1:X219"/>
  <sheetViews>
    <sheetView showGridLines="0" tabSelected="1" workbookViewId="0">
      <pane xSplit="4" ySplit="13" topLeftCell="E14" activePane="bottomRight" state="frozen"/>
      <selection/>
      <selection pane="topRight"/>
      <selection pane="bottomLeft"/>
      <selection pane="bottomRight" activeCell="N14" sqref="N14:N213"/>
    </sheetView>
  </sheetViews>
  <sheetFormatPr defaultColWidth="9" defaultRowHeight="16.8"/>
  <cols>
    <col min="1" max="1" width="26.4423076923077" customWidth="1"/>
    <col min="2" max="2" width="15.8653846153846" customWidth="1"/>
    <col min="3" max="3" width="12" customWidth="1"/>
    <col min="4" max="4" width="24.1923076923077" customWidth="1"/>
    <col min="5" max="6" width="11" customWidth="1"/>
    <col min="7" max="7" width="12" customWidth="1"/>
    <col min="8" max="8" width="18.1153846153846" customWidth="1"/>
    <col min="9" max="10" width="13" hidden="1" customWidth="1"/>
    <col min="11" max="11" width="15.7019230769231" customWidth="1"/>
    <col min="12" max="12" width="15" customWidth="1"/>
    <col min="13" max="13" width="12" customWidth="1"/>
    <col min="14" max="14" width="26.75" customWidth="1"/>
    <col min="15" max="15" width="18" customWidth="1"/>
    <col min="16" max="16" width="12" customWidth="1"/>
    <col min="17" max="17" width="10" hidden="1" customWidth="1"/>
    <col min="18" max="18" width="9" customWidth="1"/>
    <col min="19" max="19" width="11" customWidth="1"/>
    <col min="20" max="21" width="13" customWidth="1"/>
    <col min="22" max="22" width="10" customWidth="1"/>
    <col min="23" max="23" width="14" customWidth="1"/>
    <col min="24" max="24" width="36" customWidth="1"/>
  </cols>
  <sheetData>
    <row r="1" ht="23" customHeight="1" spans="1:24">
      <c r="A1" s="1"/>
      <c r="B1" s="1"/>
      <c r="C1" s="2" t="s">
        <v>0</v>
      </c>
      <c r="D1" s="2"/>
      <c r="E1" s="2"/>
      <c r="F1" s="2"/>
      <c r="G1" s="2"/>
      <c r="H1" s="2"/>
      <c r="I1" s="2"/>
      <c r="J1" s="2"/>
      <c r="K1" s="2"/>
      <c r="L1" s="2"/>
      <c r="M1" s="2"/>
      <c r="N1" s="2"/>
      <c r="O1" s="2"/>
      <c r="P1" s="2"/>
      <c r="Q1" s="2"/>
      <c r="R1" s="2"/>
      <c r="S1" s="2"/>
      <c r="T1" s="2"/>
      <c r="U1" s="32" t="s">
        <v>159</v>
      </c>
      <c r="V1" s="33"/>
      <c r="W1" s="33"/>
      <c r="X1" s="43"/>
    </row>
    <row r="2" ht="21" customHeight="1" spans="1:24">
      <c r="A2" s="1"/>
      <c r="B2" s="1"/>
      <c r="C2" s="3" t="s">
        <v>2</v>
      </c>
      <c r="D2" s="3"/>
      <c r="E2" s="3"/>
      <c r="F2" s="3"/>
      <c r="G2" s="3"/>
      <c r="H2" s="3"/>
      <c r="I2" s="3"/>
      <c r="J2" s="3"/>
      <c r="K2" s="3"/>
      <c r="L2" s="3"/>
      <c r="M2" s="3"/>
      <c r="N2" s="3"/>
      <c r="O2" s="3"/>
      <c r="P2" s="3"/>
      <c r="Q2" s="3"/>
      <c r="R2" s="3"/>
      <c r="S2" s="3"/>
      <c r="T2" s="3"/>
      <c r="U2" s="34"/>
      <c r="V2" s="35"/>
      <c r="W2" s="35"/>
      <c r="X2" s="44"/>
    </row>
    <row r="3" ht="23" customHeight="1" spans="1:24">
      <c r="A3" s="1"/>
      <c r="B3" s="1"/>
      <c r="C3" s="4" t="s">
        <v>160</v>
      </c>
      <c r="D3" s="4"/>
      <c r="E3" s="4"/>
      <c r="F3" s="4"/>
      <c r="G3" s="4"/>
      <c r="H3" s="4"/>
      <c r="I3" s="4"/>
      <c r="J3" s="4"/>
      <c r="K3" s="4"/>
      <c r="L3" s="4"/>
      <c r="M3" s="4"/>
      <c r="N3" s="4"/>
      <c r="O3" s="4"/>
      <c r="P3" s="4"/>
      <c r="Q3" s="4"/>
      <c r="R3" s="4"/>
      <c r="S3" s="4"/>
      <c r="T3" s="4"/>
      <c r="U3" s="36"/>
      <c r="V3" s="37"/>
      <c r="W3" s="37"/>
      <c r="X3" s="45"/>
    </row>
    <row r="4" ht="8" customHeight="1" spans="1:24">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c r="R4" s="1"/>
      <c r="S4" s="1"/>
      <c r="T4" s="1"/>
      <c r="U4" s="1"/>
      <c r="V4" s="1"/>
      <c r="W4" s="1"/>
      <c r="X4" s="1"/>
    </row>
    <row r="5" ht="17.55" spans="1:24">
      <c r="A5" s="15" t="s">
        <v>161</v>
      </c>
      <c r="B5" s="16"/>
      <c r="C5" s="16"/>
      <c r="D5" s="16"/>
      <c r="E5" s="16"/>
      <c r="F5" s="17"/>
      <c r="G5" s="14"/>
      <c r="H5" s="15" t="s">
        <v>162</v>
      </c>
      <c r="I5" s="16"/>
      <c r="J5" s="16"/>
      <c r="K5" s="16"/>
      <c r="L5" s="16"/>
      <c r="M5" s="17"/>
      <c r="N5" s="15" t="s">
        <v>163</v>
      </c>
      <c r="O5" s="16"/>
      <c r="P5" s="16"/>
      <c r="Q5" s="16"/>
      <c r="R5" s="16"/>
      <c r="S5" s="17"/>
      <c r="T5" s="15" t="s">
        <v>164</v>
      </c>
      <c r="U5" s="16"/>
      <c r="V5" s="16"/>
      <c r="W5" s="16"/>
      <c r="X5" s="17"/>
    </row>
    <row r="6" spans="1:24">
      <c r="A6" s="50"/>
      <c r="B6" s="50"/>
      <c r="C6" s="51"/>
      <c r="D6" s="52"/>
      <c r="E6" s="52"/>
      <c r="F6" s="52"/>
      <c r="G6" s="14"/>
      <c r="H6" s="57" t="s">
        <v>165</v>
      </c>
      <c r="I6" s="50"/>
      <c r="J6" s="14"/>
      <c r="K6" s="66">
        <f>SUM(U14:U213)</f>
        <v>49593.8625</v>
      </c>
      <c r="L6" s="50"/>
      <c r="M6" s="14"/>
      <c r="N6" s="57" t="s">
        <v>12</v>
      </c>
      <c r="O6" s="39">
        <f>COUNTIF(U14:U213,"&gt;0")</f>
        <v>7</v>
      </c>
      <c r="P6" s="14"/>
      <c r="Q6" s="14"/>
      <c r="R6" s="14"/>
      <c r="S6" s="14"/>
      <c r="T6" s="73" t="s">
        <v>166</v>
      </c>
      <c r="U6" s="77"/>
      <c r="V6" s="77"/>
      <c r="W6" s="77"/>
      <c r="X6" s="78"/>
    </row>
    <row r="7" spans="1:24">
      <c r="A7" s="53" t="s">
        <v>167</v>
      </c>
      <c r="B7" s="54">
        <v>65</v>
      </c>
      <c r="C7" s="55"/>
      <c r="D7" s="56"/>
      <c r="E7" s="56"/>
      <c r="F7" s="56"/>
      <c r="G7" s="14"/>
      <c r="H7" s="57" t="s">
        <v>10</v>
      </c>
      <c r="I7" s="50"/>
      <c r="J7" s="14"/>
      <c r="K7" s="67">
        <f>IF(Settings!$B$23=0,"",K6/B8)</f>
        <v>0.1549808203125</v>
      </c>
      <c r="L7" s="50"/>
      <c r="M7" s="14"/>
      <c r="N7" s="57" t="s">
        <v>168</v>
      </c>
      <c r="O7" s="39">
        <f>COUNTIF(U14:U213,"&lt;0")</f>
        <v>4</v>
      </c>
      <c r="P7" s="14"/>
      <c r="Q7" s="14"/>
      <c r="R7" s="14"/>
      <c r="S7" s="14"/>
      <c r="T7" s="74"/>
      <c r="U7" s="41"/>
      <c r="V7" s="41"/>
      <c r="W7" s="41"/>
      <c r="X7" s="79"/>
    </row>
    <row r="8" spans="1:24">
      <c r="A8" s="57" t="s">
        <v>169</v>
      </c>
      <c r="B8" s="58">
        <v>320000</v>
      </c>
      <c r="C8" s="55"/>
      <c r="D8" s="56"/>
      <c r="E8" s="56"/>
      <c r="F8" s="56"/>
      <c r="G8" s="14"/>
      <c r="H8" s="57" t="s">
        <v>170</v>
      </c>
      <c r="I8" s="50"/>
      <c r="J8" s="14"/>
      <c r="K8" s="39">
        <f>COUNTIF(O14:O213,"Target Hit")+COUNTIF(O14:O213,"Stoploss Hit")+COUNTIF(O14:O213,"Gap Up Stoploss")+COUNTIF(O14:O213,"Gap Down Stoploss")+COUNTIF(O14:O213,"Rollover")</f>
        <v>11</v>
      </c>
      <c r="L8" s="50"/>
      <c r="M8" s="14"/>
      <c r="N8" s="57" t="s">
        <v>171</v>
      </c>
      <c r="O8" s="67">
        <f>IF(K8=0,"",O6/K8)</f>
        <v>0.636363636363636</v>
      </c>
      <c r="P8" s="14"/>
      <c r="Q8" s="14"/>
      <c r="R8" s="14"/>
      <c r="S8" s="14"/>
      <c r="T8" s="74"/>
      <c r="U8" s="41"/>
      <c r="V8" s="41"/>
      <c r="W8" s="41"/>
      <c r="X8" s="79"/>
    </row>
    <row r="9" ht="22" customHeight="1" spans="1:24">
      <c r="A9" s="57" t="s">
        <v>172</v>
      </c>
      <c r="B9" s="39" t="s">
        <v>173</v>
      </c>
      <c r="C9" s="55"/>
      <c r="D9" s="56"/>
      <c r="E9" s="56"/>
      <c r="F9" s="56"/>
      <c r="G9" s="14"/>
      <c r="H9" s="57" t="s">
        <v>13</v>
      </c>
      <c r="I9" s="50"/>
      <c r="J9" s="14"/>
      <c r="K9" s="39">
        <f>COUNTIF(B14:B213,"CALL Sell")+COUNTIF(B14:B213,"PUT Sell")-K8</f>
        <v>1</v>
      </c>
      <c r="L9" s="50"/>
      <c r="M9" s="14"/>
      <c r="N9" s="57" t="s">
        <v>174</v>
      </c>
      <c r="O9" s="70">
        <f>IF(COUNT(U14:U213)=0,"",MAX(U14:U213))</f>
        <v>10075</v>
      </c>
      <c r="P9" s="14"/>
      <c r="Q9" s="14"/>
      <c r="R9" s="14"/>
      <c r="S9" s="14"/>
      <c r="T9" s="75"/>
      <c r="U9" s="80"/>
      <c r="V9" s="80"/>
      <c r="W9" s="80"/>
      <c r="X9" s="81"/>
    </row>
    <row r="10" ht="17.55" spans="1:24">
      <c r="A10" s="14"/>
      <c r="B10" s="14"/>
      <c r="C10" s="14"/>
      <c r="D10" s="14"/>
      <c r="E10" s="14"/>
      <c r="F10" s="14"/>
      <c r="G10" s="14"/>
      <c r="H10" s="14"/>
      <c r="I10" s="14"/>
      <c r="J10" s="14"/>
      <c r="K10" s="14"/>
      <c r="L10" s="14"/>
      <c r="M10" s="14"/>
      <c r="N10" s="14"/>
      <c r="O10" s="14"/>
      <c r="P10" s="14"/>
      <c r="Q10" s="14"/>
      <c r="R10" s="14"/>
      <c r="S10" s="14"/>
      <c r="T10" s="14"/>
      <c r="U10" s="14"/>
      <c r="V10" s="14"/>
      <c r="W10" s="14"/>
      <c r="X10" s="14"/>
    </row>
    <row r="11" ht="17.55" spans="1:24">
      <c r="A11" s="15" t="s">
        <v>175</v>
      </c>
      <c r="B11" s="16"/>
      <c r="C11" s="16"/>
      <c r="D11" s="59"/>
      <c r="E11" s="16"/>
      <c r="F11" s="16"/>
      <c r="G11" s="16"/>
      <c r="H11" s="16"/>
      <c r="I11" s="16"/>
      <c r="J11" s="16"/>
      <c r="K11" s="16"/>
      <c r="L11" s="16"/>
      <c r="M11" s="16"/>
      <c r="N11" s="16"/>
      <c r="O11" s="16"/>
      <c r="P11" s="16"/>
      <c r="Q11" s="16"/>
      <c r="R11" s="16"/>
      <c r="S11" s="16"/>
      <c r="T11" s="16"/>
      <c r="U11" s="16"/>
      <c r="V11" s="16"/>
      <c r="W11" s="16"/>
      <c r="X11" s="17"/>
    </row>
    <row r="12" spans="1:24">
      <c r="A12" s="60" t="s">
        <v>176</v>
      </c>
      <c r="B12" s="60"/>
      <c r="C12" s="60"/>
      <c r="D12" s="60"/>
      <c r="E12" s="64" t="s">
        <v>177</v>
      </c>
      <c r="F12" s="64"/>
      <c r="G12" s="64"/>
      <c r="H12" s="64"/>
      <c r="I12" s="64"/>
      <c r="J12" s="64"/>
      <c r="K12" s="64"/>
      <c r="L12" s="68" t="s">
        <v>178</v>
      </c>
      <c r="M12" s="68"/>
      <c r="N12" s="68"/>
      <c r="O12" s="71" t="s">
        <v>179</v>
      </c>
      <c r="P12" s="71"/>
      <c r="Q12" s="71"/>
      <c r="R12" s="71"/>
      <c r="S12" s="71"/>
      <c r="T12" s="71"/>
      <c r="U12" s="71"/>
      <c r="V12" s="71"/>
      <c r="W12" s="71"/>
      <c r="X12" s="60" t="s">
        <v>180</v>
      </c>
    </row>
    <row r="13" ht="54" customHeight="1" spans="1:24">
      <c r="A13" s="7" t="s">
        <v>181</v>
      </c>
      <c r="B13" s="7" t="s">
        <v>182</v>
      </c>
      <c r="C13" s="7" t="s">
        <v>16</v>
      </c>
      <c r="D13" s="7" t="s">
        <v>17</v>
      </c>
      <c r="E13" s="7" t="s">
        <v>96</v>
      </c>
      <c r="F13" s="7" t="s">
        <v>97</v>
      </c>
      <c r="G13" s="7" t="s">
        <v>183</v>
      </c>
      <c r="H13" s="7" t="s">
        <v>184</v>
      </c>
      <c r="I13" s="7" t="s">
        <v>185</v>
      </c>
      <c r="J13" s="7" t="s">
        <v>186</v>
      </c>
      <c r="K13" s="7" t="s">
        <v>187</v>
      </c>
      <c r="L13" s="7" t="s">
        <v>188</v>
      </c>
      <c r="M13" s="7" t="s">
        <v>189</v>
      </c>
      <c r="N13" s="7" t="s">
        <v>190</v>
      </c>
      <c r="O13" s="7" t="s">
        <v>191</v>
      </c>
      <c r="P13" s="7" t="s">
        <v>192</v>
      </c>
      <c r="Q13" s="7" t="s">
        <v>193</v>
      </c>
      <c r="R13" s="7" t="s">
        <v>194</v>
      </c>
      <c r="S13" s="7" t="s">
        <v>195</v>
      </c>
      <c r="T13" s="7" t="s">
        <v>8</v>
      </c>
      <c r="U13" s="7" t="s">
        <v>196</v>
      </c>
      <c r="V13" s="7" t="s">
        <v>197</v>
      </c>
      <c r="W13" s="7" t="s">
        <v>198</v>
      </c>
      <c r="X13" s="7" t="s">
        <v>199</v>
      </c>
    </row>
    <row r="14" ht="21" customHeight="1" spans="1:24">
      <c r="A14" s="61">
        <v>46205</v>
      </c>
      <c r="B14" s="62" t="s">
        <v>22</v>
      </c>
      <c r="C14" s="63">
        <v>24200</v>
      </c>
      <c r="D14" s="61">
        <v>46217</v>
      </c>
      <c r="E14" s="65">
        <v>190</v>
      </c>
      <c r="F14" s="65">
        <v>47</v>
      </c>
      <c r="G14" s="65">
        <v>332</v>
      </c>
      <c r="H14" s="65">
        <v>135.65</v>
      </c>
      <c r="I14" s="69">
        <f>IF(E14="","",MROUND(E14*Settings!$B$16,Settings!$B$19))</f>
        <v>332.5</v>
      </c>
      <c r="J14" s="69">
        <f>IF(H14="","",MROUND(H14*Settings!$B$17,Settings!$B$19))</f>
        <v>149.2</v>
      </c>
      <c r="K14" s="69">
        <f>IF(OR(I14="",J14=""),"",MROUND(MIN(I14,J14),Settings!$B$19))</f>
        <v>149.2</v>
      </c>
      <c r="L14" s="65"/>
      <c r="M14" s="69" t="str">
        <f>IF(OR(E14="",L14=""),"",MROUND(MIN(E14*Settings!$B$16,L14*Settings!$B$17),Settings!$B$19))</f>
        <v/>
      </c>
      <c r="N14" s="72" t="str">
        <f>IF(B14="","",IF(B14="CALL Sell","Gap Up Calculation","Gap Down Calculation"))</f>
        <v>Gap Down Calculation</v>
      </c>
      <c r="O14" s="62" t="s">
        <v>200</v>
      </c>
      <c r="P14" s="69">
        <f t="shared" ref="P14:P77" si="0">IF(O14="","",IF(O14="Target Hit",F14,IF(O14="Stoploss Hit",K14,IF(OR(O14="Gap Up Stoploss",O14="Gap Down Stoploss"),M14,IF(O14="Rollover",W14,"")))))</f>
        <v>47</v>
      </c>
      <c r="Q14" s="76">
        <f>$B$7</f>
        <v>65</v>
      </c>
      <c r="R14" s="63">
        <v>1</v>
      </c>
      <c r="S14" s="69">
        <f>IF(OR(Q14="",R14=""),"",Q14*R14)</f>
        <v>65</v>
      </c>
      <c r="T14" s="65">
        <v>320000</v>
      </c>
      <c r="U14" s="69">
        <f t="shared" ref="U14:U77" si="1">IF(OR(E14="",P14="",S14=""),"",(E14-P14)*S14)</f>
        <v>9295</v>
      </c>
      <c r="V14" s="82">
        <f t="shared" ref="V14:V77" si="2">IF(OR(U14="",T14="",T14=0),"",U14/T14)</f>
        <v>0.029046875</v>
      </c>
      <c r="W14" s="65"/>
      <c r="X14" s="72" t="str">
        <f t="shared" ref="X14:X77" si="3">IF(OR(B14="",O14=""),"",IF(AND(B14="CALL Sell",O14="Gap Up Stoploss"),"CHECK: CALL Sell uses Gap Down Stoploss",IF(AND(B14="PUT Sell",O14="Gap Down Stoploss"),"CHECK: PUT Sell uses Gap Up Stoploss",IF(AND(O14="Rollover",W14=""),"INPUT REQUIRED: Rollover exit price",IF(AND(O14="Target Hit",F14=""),"INPUT REQUIRED: Target",IF(AND(O14="Stoploss Hit",K14=""),"INPUT REQUIRED: New 3DHH",IF(AND(OR(O14="Gap Up Stoploss",O14="Gap Down Stoploss"),M14=""),"INPUT REQUIRED: Gap 3DHH","OK")))))))</f>
        <v>OK</v>
      </c>
    </row>
    <row r="15" ht="21" customHeight="1" spans="1:24">
      <c r="A15" s="61">
        <v>46211</v>
      </c>
      <c r="B15" s="62" t="s">
        <v>21</v>
      </c>
      <c r="C15" s="63">
        <v>24200</v>
      </c>
      <c r="D15" s="61">
        <v>46224</v>
      </c>
      <c r="E15" s="65">
        <v>205</v>
      </c>
      <c r="F15" s="65">
        <v>51</v>
      </c>
      <c r="G15" s="65">
        <v>359</v>
      </c>
      <c r="H15" s="65">
        <v>217.4</v>
      </c>
      <c r="I15" s="69">
        <f>IF(E15="","",MROUND(E15*Settings!$B$16,Settings!$B$19))</f>
        <v>358.8</v>
      </c>
      <c r="J15" s="69">
        <f>IF(H15="","",MROUND(H15*Settings!$B$17,Settings!$B$19))</f>
        <v>239.1</v>
      </c>
      <c r="K15" s="69">
        <f>IF(OR(I15="",J15=""),"",MROUND(MIN(I15,J15),Settings!$B$19))</f>
        <v>239.1</v>
      </c>
      <c r="L15" s="65"/>
      <c r="M15" s="69" t="str">
        <f>IF(OR(E15="",L15=""),"",MROUND(MIN(E15*Settings!$B$16,L15*Settings!$B$17),Settings!$B$19))</f>
        <v/>
      </c>
      <c r="N15" s="72" t="str">
        <f t="shared" ref="N15:N46" si="4">IF(B15="","",IF(B15="CALL Sell","Gap Up Calculation","Gap Down Calculation"))</f>
        <v>Gap Up Calculation</v>
      </c>
      <c r="O15" s="62" t="s">
        <v>201</v>
      </c>
      <c r="P15" s="69">
        <f t="shared" si="0"/>
        <v>239.1</v>
      </c>
      <c r="Q15" s="76">
        <f t="shared" ref="Q15:Q24" si="5">$B$7</f>
        <v>65</v>
      </c>
      <c r="R15" s="63">
        <v>1</v>
      </c>
      <c r="S15" s="69">
        <f t="shared" ref="S15:S77" si="6">IF(OR(Q15="",R15=""),"",Q15*R15)</f>
        <v>65</v>
      </c>
      <c r="T15" s="65">
        <v>320000</v>
      </c>
      <c r="U15" s="69">
        <f t="shared" si="1"/>
        <v>-2216.5</v>
      </c>
      <c r="V15" s="82">
        <f t="shared" si="2"/>
        <v>-0.0069265625</v>
      </c>
      <c r="W15" s="65"/>
      <c r="X15" s="72" t="str">
        <f t="shared" si="3"/>
        <v>OK</v>
      </c>
    </row>
    <row r="16" ht="21" customHeight="1" spans="1:24">
      <c r="A16" s="61">
        <v>46220</v>
      </c>
      <c r="B16" s="62" t="s">
        <v>22</v>
      </c>
      <c r="C16" s="63">
        <v>24250</v>
      </c>
      <c r="D16" s="61">
        <v>46231</v>
      </c>
      <c r="E16" s="65">
        <v>206</v>
      </c>
      <c r="F16" s="65">
        <v>51</v>
      </c>
      <c r="G16" s="65">
        <v>360</v>
      </c>
      <c r="H16" s="65">
        <v>260.05</v>
      </c>
      <c r="I16" s="69">
        <f>IF(E16="","",MROUND(E16*Settings!$B$16,Settings!$B$19))</f>
        <v>360.5</v>
      </c>
      <c r="J16" s="69">
        <f>IF(H16="","",MROUND(H16*Settings!$B$17,Settings!$B$19))</f>
        <v>286.1</v>
      </c>
      <c r="K16" s="69">
        <f>IF(OR(I16="",J16=""),"",MROUND(MIN(I16,J16),Settings!$B$19))</f>
        <v>286.1</v>
      </c>
      <c r="L16" s="65"/>
      <c r="M16" s="69" t="str">
        <f>IF(OR(E16="",L16=""),"",MROUND(MIN(E16*Settings!$B$16,L16*Settings!$B$17),Settings!$B$19))</f>
        <v/>
      </c>
      <c r="N16" s="72" t="str">
        <f t="shared" si="4"/>
        <v>Gap Down Calculation</v>
      </c>
      <c r="O16" s="62" t="s">
        <v>201</v>
      </c>
      <c r="P16" s="69">
        <f t="shared" si="0"/>
        <v>286.1</v>
      </c>
      <c r="Q16" s="76">
        <f t="shared" si="5"/>
        <v>65</v>
      </c>
      <c r="R16" s="63">
        <v>1</v>
      </c>
      <c r="S16" s="69">
        <f t="shared" si="6"/>
        <v>65</v>
      </c>
      <c r="T16" s="65">
        <v>320000</v>
      </c>
      <c r="U16" s="69">
        <f t="shared" si="1"/>
        <v>-5206.5</v>
      </c>
      <c r="V16" s="82">
        <f t="shared" si="2"/>
        <v>-0.0162703125</v>
      </c>
      <c r="W16" s="65"/>
      <c r="X16" s="72" t="str">
        <f t="shared" si="3"/>
        <v>OK</v>
      </c>
    </row>
    <row r="17" ht="17" customHeight="1" spans="1:24">
      <c r="A17" s="61">
        <v>46225</v>
      </c>
      <c r="B17" s="62" t="s">
        <v>21</v>
      </c>
      <c r="C17" s="63">
        <v>24100</v>
      </c>
      <c r="D17" s="61">
        <v>46238</v>
      </c>
      <c r="E17" s="65">
        <v>189</v>
      </c>
      <c r="F17" s="65">
        <v>47</v>
      </c>
      <c r="G17" s="65">
        <v>331</v>
      </c>
      <c r="H17" s="65">
        <v>143</v>
      </c>
      <c r="I17" s="69">
        <f>IF(E17="","",MROUND(E17*Settings!$B$16,Settings!$B$19))</f>
        <v>330.8</v>
      </c>
      <c r="J17" s="69">
        <f>IF(H17="","",MROUND(H17*Settings!$B$17,Settings!$B$19))</f>
        <v>157.3</v>
      </c>
      <c r="K17" s="69">
        <f>IF(OR(I17="",J17=""),"",MROUND(MIN(I17,J17),Settings!$B$19))</f>
        <v>157.3</v>
      </c>
      <c r="L17" s="65">
        <v>203.7</v>
      </c>
      <c r="M17" s="69">
        <f>IF(OR(E17="",L17=""),"",MROUND(MIN(E17*Settings!$B$16,L17*Settings!$B$17),Settings!$B$19))</f>
        <v>224.1</v>
      </c>
      <c r="N17" s="72" t="str">
        <f t="shared" si="4"/>
        <v>Gap Up Calculation</v>
      </c>
      <c r="O17" s="62" t="s">
        <v>202</v>
      </c>
      <c r="P17" s="69">
        <f t="shared" si="0"/>
        <v>224.1</v>
      </c>
      <c r="Q17" s="76">
        <f t="shared" si="5"/>
        <v>65</v>
      </c>
      <c r="R17" s="63">
        <v>1</v>
      </c>
      <c r="S17" s="69">
        <f t="shared" si="6"/>
        <v>65</v>
      </c>
      <c r="T17" s="65">
        <v>320000</v>
      </c>
      <c r="U17" s="69">
        <f t="shared" si="1"/>
        <v>-2281.5</v>
      </c>
      <c r="V17" s="82">
        <f t="shared" si="2"/>
        <v>-0.0071296875</v>
      </c>
      <c r="W17" s="65"/>
      <c r="X17" s="72" t="str">
        <f t="shared" si="3"/>
        <v>OK</v>
      </c>
    </row>
    <row r="18" ht="21" customHeight="1" spans="1:24">
      <c r="A18" s="61">
        <v>46230</v>
      </c>
      <c r="B18" s="62" t="s">
        <v>22</v>
      </c>
      <c r="C18" s="63">
        <v>24000</v>
      </c>
      <c r="D18" s="61">
        <v>46238</v>
      </c>
      <c r="E18" s="65">
        <v>191</v>
      </c>
      <c r="F18" s="65">
        <v>48</v>
      </c>
      <c r="G18" s="65">
        <v>334</v>
      </c>
      <c r="H18" s="65">
        <v>228</v>
      </c>
      <c r="I18" s="69">
        <f>IF(E18="","",MROUND(E18*Settings!$B$16,Settings!$B$19))</f>
        <v>334.3</v>
      </c>
      <c r="J18" s="69">
        <f>IF(H18="","",MROUND(H18*Settings!$B$17,Settings!$B$19))</f>
        <v>250.8</v>
      </c>
      <c r="K18" s="69">
        <f>IF(OR(I18="",J18=""),"",MROUND(MIN(I18,J18),Settings!$B$19))</f>
        <v>250.8</v>
      </c>
      <c r="L18" s="65"/>
      <c r="M18" s="69" t="str">
        <f>IF(OR(E18="",L18=""),"",MROUND(MIN(E18*Settings!$B$16,L18*Settings!$B$17),Settings!$B$19))</f>
        <v/>
      </c>
      <c r="N18" s="72" t="str">
        <f t="shared" si="4"/>
        <v>Gap Down Calculation</v>
      </c>
      <c r="O18" s="62" t="s">
        <v>200</v>
      </c>
      <c r="P18" s="69">
        <f t="shared" si="0"/>
        <v>48</v>
      </c>
      <c r="Q18" s="76">
        <f t="shared" si="5"/>
        <v>65</v>
      </c>
      <c r="R18" s="63">
        <v>1</v>
      </c>
      <c r="S18" s="69">
        <f t="shared" si="6"/>
        <v>65</v>
      </c>
      <c r="T18" s="65">
        <v>320000</v>
      </c>
      <c r="U18" s="69">
        <f t="shared" si="1"/>
        <v>9295</v>
      </c>
      <c r="V18" s="82">
        <f t="shared" si="2"/>
        <v>0.029046875</v>
      </c>
      <c r="W18" s="65"/>
      <c r="X18" s="72" t="str">
        <f t="shared" si="3"/>
        <v>OK</v>
      </c>
    </row>
    <row r="19" ht="21" customHeight="1" spans="1:24">
      <c r="A19" s="61">
        <v>46233</v>
      </c>
      <c r="B19" s="62" t="s">
        <v>22</v>
      </c>
      <c r="C19" s="63">
        <v>24350</v>
      </c>
      <c r="D19" s="61">
        <v>46245</v>
      </c>
      <c r="E19" s="65">
        <v>201</v>
      </c>
      <c r="F19" s="65">
        <v>50</v>
      </c>
      <c r="G19" s="65">
        <v>351</v>
      </c>
      <c r="H19" s="65">
        <v>186.65</v>
      </c>
      <c r="I19" s="69">
        <f>IF(E19="","",MROUND(E19*Settings!$B$16,Settings!$B$19))</f>
        <v>351.8</v>
      </c>
      <c r="J19" s="69">
        <f>IF(H19="","",MROUND(H19*Settings!$B$17,Settings!$B$19))</f>
        <v>205.3</v>
      </c>
      <c r="K19" s="69">
        <f>IF(OR(I19="",J19=""),"",MROUND(MIN(I19,J19),Settings!$B$19))</f>
        <v>205.3</v>
      </c>
      <c r="L19" s="65"/>
      <c r="M19" s="69" t="str">
        <f>IF(OR(E19="",L19=""),"",MROUND(MIN(E19*Settings!$B$16,L19*Settings!$B$17),Settings!$B$19))</f>
        <v/>
      </c>
      <c r="N19" s="72" t="str">
        <f t="shared" si="4"/>
        <v>Gap Down Calculation</v>
      </c>
      <c r="O19" s="62" t="s">
        <v>200</v>
      </c>
      <c r="P19" s="69">
        <f t="shared" si="0"/>
        <v>50</v>
      </c>
      <c r="Q19" s="76">
        <f t="shared" si="5"/>
        <v>65</v>
      </c>
      <c r="R19" s="63">
        <v>1</v>
      </c>
      <c r="S19" s="69">
        <f t="shared" si="6"/>
        <v>65</v>
      </c>
      <c r="T19" s="65">
        <v>320000</v>
      </c>
      <c r="U19" s="69">
        <f t="shared" si="1"/>
        <v>9815</v>
      </c>
      <c r="V19" s="82">
        <f t="shared" si="2"/>
        <v>0.030671875</v>
      </c>
      <c r="W19" s="65"/>
      <c r="X19" s="72" t="str">
        <f t="shared" si="3"/>
        <v>OK</v>
      </c>
    </row>
    <row r="20" ht="21" customHeight="1" spans="1:24">
      <c r="A20" s="61">
        <v>46245</v>
      </c>
      <c r="B20" s="62" t="s">
        <v>21</v>
      </c>
      <c r="C20" s="63" t="s">
        <v>203</v>
      </c>
      <c r="D20" s="61">
        <v>46259</v>
      </c>
      <c r="E20" s="65">
        <v>201</v>
      </c>
      <c r="F20" s="65">
        <v>50</v>
      </c>
      <c r="G20" s="65">
        <v>351</v>
      </c>
      <c r="H20" s="65">
        <v>378</v>
      </c>
      <c r="I20" s="69">
        <f>IF(E20="","",MROUND(E20*Settings!$B$16,Settings!$B$19))</f>
        <v>351.8</v>
      </c>
      <c r="J20" s="69">
        <f>IF(H20="","",MROUND(H20*Settings!$B$17,Settings!$B$19))</f>
        <v>415.8</v>
      </c>
      <c r="K20" s="69">
        <f>IF(OR(I20="",J20=""),"",MROUND(MIN(I20,J20),Settings!$B$19))</f>
        <v>351.8</v>
      </c>
      <c r="L20" s="65"/>
      <c r="M20" s="69" t="str">
        <f>IF(OR(E20="",L20=""),"",MROUND(MIN(E20*Settings!$B$16,L20*Settings!$B$17),Settings!$B$19))</f>
        <v/>
      </c>
      <c r="N20" s="72" t="str">
        <f t="shared" si="4"/>
        <v>Gap Up Calculation</v>
      </c>
      <c r="O20" s="62" t="s">
        <v>200</v>
      </c>
      <c r="P20" s="69">
        <f t="shared" si="0"/>
        <v>50</v>
      </c>
      <c r="Q20" s="76">
        <f t="shared" si="5"/>
        <v>65</v>
      </c>
      <c r="R20" s="63">
        <v>1</v>
      </c>
      <c r="S20" s="69">
        <f t="shared" si="6"/>
        <v>65</v>
      </c>
      <c r="T20" s="65">
        <v>320000</v>
      </c>
      <c r="U20" s="69">
        <f t="shared" si="1"/>
        <v>9815</v>
      </c>
      <c r="V20" s="82">
        <f t="shared" si="2"/>
        <v>0.030671875</v>
      </c>
      <c r="W20" s="65"/>
      <c r="X20" s="72" t="str">
        <f t="shared" si="3"/>
        <v>OK</v>
      </c>
    </row>
    <row r="21" ht="21" customHeight="1" spans="1:24">
      <c r="A21" s="61">
        <v>46253</v>
      </c>
      <c r="B21" s="62" t="s">
        <v>21</v>
      </c>
      <c r="C21" s="63">
        <v>24100</v>
      </c>
      <c r="D21" s="61">
        <v>46266</v>
      </c>
      <c r="E21" s="65">
        <v>202.05</v>
      </c>
      <c r="F21" s="65">
        <v>50.5125</v>
      </c>
      <c r="G21" s="65">
        <v>353.5875</v>
      </c>
      <c r="H21" s="65">
        <v>312.95</v>
      </c>
      <c r="I21" s="69">
        <f>IF(E21="","",MROUND(E21*Settings!$B$16,Settings!$B$19))</f>
        <v>353.6</v>
      </c>
      <c r="J21" s="69">
        <f>IF(H21="","",MROUND(H21*Settings!$B$17,Settings!$B$19))</f>
        <v>344.2</v>
      </c>
      <c r="K21" s="69">
        <f>IF(OR(I21="",J21=""),"",MROUND(MIN(I21,J21),Settings!$B$19))</f>
        <v>344.2</v>
      </c>
      <c r="L21" s="65"/>
      <c r="M21" s="69" t="str">
        <f>IF(OR(E21="",L21=""),"",MROUND(MIN(E21*Settings!$B$16,L21*Settings!$B$17),Settings!$B$19))</f>
        <v/>
      </c>
      <c r="N21" s="72" t="str">
        <f t="shared" si="4"/>
        <v>Gap Up Calculation</v>
      </c>
      <c r="O21" s="62" t="s">
        <v>200</v>
      </c>
      <c r="P21" s="69">
        <f t="shared" si="0"/>
        <v>50.5125</v>
      </c>
      <c r="Q21" s="76">
        <f t="shared" si="5"/>
        <v>65</v>
      </c>
      <c r="R21" s="63">
        <v>1</v>
      </c>
      <c r="S21" s="69">
        <f t="shared" si="6"/>
        <v>65</v>
      </c>
      <c r="T21" s="65">
        <v>320000</v>
      </c>
      <c r="U21" s="69">
        <f t="shared" si="1"/>
        <v>9849.9375</v>
      </c>
      <c r="V21" s="82">
        <f t="shared" si="2"/>
        <v>0.0307810546875</v>
      </c>
      <c r="W21" s="65"/>
      <c r="X21" s="72" t="str">
        <f t="shared" si="3"/>
        <v>OK</v>
      </c>
    </row>
    <row r="22" ht="21" customHeight="1" spans="1:24">
      <c r="A22" s="61">
        <v>46254</v>
      </c>
      <c r="B22" s="62" t="s">
        <v>22</v>
      </c>
      <c r="C22" s="63">
        <v>24300</v>
      </c>
      <c r="D22" s="61">
        <v>46273</v>
      </c>
      <c r="E22" s="65">
        <v>188.145</v>
      </c>
      <c r="F22" s="65">
        <v>47.03625</v>
      </c>
      <c r="G22" s="65">
        <v>329.25375</v>
      </c>
      <c r="H22" s="65">
        <v>227</v>
      </c>
      <c r="I22" s="69">
        <f>IF(E22="","",MROUND(E22*Settings!$B$16,Settings!$B$19))</f>
        <v>329.3</v>
      </c>
      <c r="J22" s="69">
        <f>IF(H22="","",MROUND(H22*Settings!$B$17,Settings!$B$19))</f>
        <v>249.7</v>
      </c>
      <c r="K22" s="69">
        <f>IF(OR(I22="",J22=""),"",MROUND(MIN(I22,J22),Settings!$B$19))</f>
        <v>249.7</v>
      </c>
      <c r="L22" s="65">
        <v>282.2</v>
      </c>
      <c r="M22" s="69">
        <f>IF(OR(E22="",L22=""),"",MROUND(MIN(E22*Settings!$B$16,L22*Settings!$B$17),Settings!$B$19))</f>
        <v>310.4</v>
      </c>
      <c r="N22" s="72" t="str">
        <f t="shared" si="4"/>
        <v>Gap Down Calculation</v>
      </c>
      <c r="O22" s="62" t="s">
        <v>204</v>
      </c>
      <c r="P22" s="69">
        <f t="shared" si="0"/>
        <v>310.4</v>
      </c>
      <c r="Q22" s="76">
        <f t="shared" si="5"/>
        <v>65</v>
      </c>
      <c r="R22" s="63">
        <v>1</v>
      </c>
      <c r="S22" s="69">
        <f t="shared" si="6"/>
        <v>65</v>
      </c>
      <c r="T22" s="65">
        <v>320000</v>
      </c>
      <c r="U22" s="69">
        <f t="shared" si="1"/>
        <v>-7946.575</v>
      </c>
      <c r="V22" s="82">
        <f t="shared" si="2"/>
        <v>-0.024833046875</v>
      </c>
      <c r="W22" s="65"/>
      <c r="X22" s="72" t="str">
        <f t="shared" si="3"/>
        <v>OK</v>
      </c>
    </row>
    <row r="23" ht="21" customHeight="1" spans="1:24">
      <c r="A23" s="61">
        <v>46266</v>
      </c>
      <c r="B23" s="62" t="s">
        <v>21</v>
      </c>
      <c r="C23" s="63" t="s">
        <v>205</v>
      </c>
      <c r="D23" s="61">
        <v>46273</v>
      </c>
      <c r="E23" s="65">
        <v>206</v>
      </c>
      <c r="F23" s="65">
        <v>51</v>
      </c>
      <c r="G23" s="65">
        <v>360</v>
      </c>
      <c r="H23" s="65"/>
      <c r="I23" s="69">
        <f>IF(E23="","",MROUND(E23*Settings!$B$16,Settings!$B$19))</f>
        <v>360.5</v>
      </c>
      <c r="J23" s="69" t="str">
        <f>IF(H23="","",MROUND(H23*Settings!$B$17,Settings!$B$19))</f>
        <v/>
      </c>
      <c r="K23" s="69" t="str">
        <f>IF(OR(I23="",J23=""),"",MROUND(MIN(I23,J23),Settings!$B$19))</f>
        <v/>
      </c>
      <c r="L23" s="65">
        <v>512</v>
      </c>
      <c r="M23" s="69">
        <f>IF(OR(E23="",L23=""),"",MROUND(MIN(E23*Settings!$B$16,L23*Settings!$B$17),Settings!$B$19))</f>
        <v>360.5</v>
      </c>
      <c r="N23" s="72" t="str">
        <f t="shared" si="4"/>
        <v>Gap Up Calculation</v>
      </c>
      <c r="O23" s="62" t="s">
        <v>200</v>
      </c>
      <c r="P23" s="69">
        <f t="shared" si="0"/>
        <v>51</v>
      </c>
      <c r="Q23" s="76">
        <f t="shared" si="5"/>
        <v>65</v>
      </c>
      <c r="R23" s="63">
        <v>1</v>
      </c>
      <c r="S23" s="69">
        <f t="shared" si="6"/>
        <v>65</v>
      </c>
      <c r="T23" s="65">
        <v>320000</v>
      </c>
      <c r="U23" s="69">
        <f t="shared" si="1"/>
        <v>10075</v>
      </c>
      <c r="V23" s="82">
        <f t="shared" si="2"/>
        <v>0.031484375</v>
      </c>
      <c r="W23" s="65"/>
      <c r="X23" s="72" t="str">
        <f t="shared" si="3"/>
        <v>OK</v>
      </c>
    </row>
    <row r="24" ht="21" customHeight="1" spans="1:24">
      <c r="A24" s="61">
        <v>46273</v>
      </c>
      <c r="B24" s="62" t="s">
        <v>21</v>
      </c>
      <c r="C24" s="63" t="s">
        <v>206</v>
      </c>
      <c r="D24" s="61">
        <v>46280</v>
      </c>
      <c r="E24" s="65">
        <v>187</v>
      </c>
      <c r="F24" s="65">
        <v>47</v>
      </c>
      <c r="G24" s="65">
        <v>328</v>
      </c>
      <c r="H24" s="65"/>
      <c r="I24" s="69">
        <f>IF(E24="","",MROUND(E24*Settings!$B$16,Settings!$B$19))</f>
        <v>327.3</v>
      </c>
      <c r="J24" s="69" t="str">
        <f>IF(H24="","",MROUND(H24*Settings!$B$17,Settings!$B$19))</f>
        <v/>
      </c>
      <c r="K24" s="69" t="str">
        <f>IF(OR(I24="",J24=""),"",MROUND(MIN(I24,J24),Settings!$B$19))</f>
        <v/>
      </c>
      <c r="L24" s="65"/>
      <c r="M24" s="69" t="str">
        <f>IF(OR(E24="",L24=""),"",MROUND(MIN(E24*Settings!$B$16,L24*Settings!$B$17),Settings!$B$19))</f>
        <v/>
      </c>
      <c r="N24" s="72" t="str">
        <f t="shared" si="4"/>
        <v>Gap Up Calculation</v>
      </c>
      <c r="O24" s="62" t="s">
        <v>200</v>
      </c>
      <c r="P24" s="69">
        <f t="shared" si="0"/>
        <v>47</v>
      </c>
      <c r="Q24" s="76">
        <f t="shared" si="5"/>
        <v>65</v>
      </c>
      <c r="R24" s="63">
        <v>1</v>
      </c>
      <c r="S24" s="69">
        <f t="shared" si="6"/>
        <v>65</v>
      </c>
      <c r="T24" s="65">
        <v>320000</v>
      </c>
      <c r="U24" s="69">
        <f t="shared" si="1"/>
        <v>9100</v>
      </c>
      <c r="V24" s="82">
        <f t="shared" si="2"/>
        <v>0.0284375</v>
      </c>
      <c r="W24" s="65"/>
      <c r="X24" s="72" t="str">
        <f t="shared" si="3"/>
        <v>OK</v>
      </c>
    </row>
    <row r="25" ht="21" customHeight="1" spans="1:24">
      <c r="A25" s="61">
        <v>46280</v>
      </c>
      <c r="B25" s="62" t="s">
        <v>21</v>
      </c>
      <c r="C25" s="63" t="s">
        <v>207</v>
      </c>
      <c r="D25" s="61">
        <v>46287</v>
      </c>
      <c r="E25" s="65">
        <v>194.4</v>
      </c>
      <c r="F25" s="65">
        <v>48.6</v>
      </c>
      <c r="G25" s="65">
        <v>340.2</v>
      </c>
      <c r="H25" s="65">
        <v>381</v>
      </c>
      <c r="I25" s="69">
        <f>IF(E25="","",MROUND(E25*Settings!$B$16,Settings!$B$19))</f>
        <v>340.2</v>
      </c>
      <c r="J25" s="69">
        <f>IF(H25="","",MROUND(H25*Settings!$B$17,Settings!$B$19))</f>
        <v>419.1</v>
      </c>
      <c r="K25" s="69">
        <f>IF(OR(I25="",J25=""),"",MROUND(MIN(I25,J25),Settings!$B$19))</f>
        <v>340.2</v>
      </c>
      <c r="L25" s="65"/>
      <c r="M25" s="69" t="str">
        <f>IF(OR(E25="",L25=""),"",MROUND(MIN(E25*Settings!$B$16,L25*Settings!$B$17),Settings!$B$19))</f>
        <v/>
      </c>
      <c r="N25" s="72" t="str">
        <f t="shared" si="4"/>
        <v>Gap Up Calculation</v>
      </c>
      <c r="O25" s="62"/>
      <c r="P25" s="69" t="str">
        <f t="shared" si="0"/>
        <v/>
      </c>
      <c r="Q25" s="76">
        <f t="shared" ref="Q25:Q34" si="7">$B$7</f>
        <v>65</v>
      </c>
      <c r="R25" s="63">
        <v>1</v>
      </c>
      <c r="S25" s="69">
        <f t="shared" si="6"/>
        <v>65</v>
      </c>
      <c r="T25" s="65">
        <v>320000</v>
      </c>
      <c r="U25" s="69" t="str">
        <f t="shared" si="1"/>
        <v/>
      </c>
      <c r="V25" s="82" t="str">
        <f t="shared" si="2"/>
        <v/>
      </c>
      <c r="W25" s="65"/>
      <c r="X25" s="72" t="str">
        <f t="shared" si="3"/>
        <v/>
      </c>
    </row>
    <row r="26" ht="21" customHeight="1" spans="1:24">
      <c r="A26" s="61"/>
      <c r="B26" s="62"/>
      <c r="C26" s="63"/>
      <c r="D26" s="61"/>
      <c r="E26" s="65"/>
      <c r="F26" s="65"/>
      <c r="G26" s="65"/>
      <c r="H26" s="65"/>
      <c r="I26" s="69" t="str">
        <f>IF(E26="","",MROUND(E26*Settings!$B$16,Settings!$B$19))</f>
        <v/>
      </c>
      <c r="J26" s="69" t="str">
        <f>IF(H26="","",MROUND(H26*Settings!$B$17,Settings!$B$19))</f>
        <v/>
      </c>
      <c r="K26" s="69" t="str">
        <f>IF(OR(I26="",J26=""),"",MROUND(MIN(I26,J26),Settings!$B$19))</f>
        <v/>
      </c>
      <c r="L26" s="65"/>
      <c r="M26" s="69" t="str">
        <f>IF(OR(E26="",L26=""),"",MROUND(MIN(E26*Settings!$B$16,L26*Settings!$B$17),Settings!$B$19))</f>
        <v/>
      </c>
      <c r="N26" s="72" t="str">
        <f t="shared" si="4"/>
        <v/>
      </c>
      <c r="O26" s="62"/>
      <c r="P26" s="69" t="str">
        <f t="shared" si="0"/>
        <v/>
      </c>
      <c r="Q26" s="76">
        <f t="shared" si="7"/>
        <v>65</v>
      </c>
      <c r="R26" s="63"/>
      <c r="S26" s="69" t="str">
        <f t="shared" si="6"/>
        <v/>
      </c>
      <c r="T26" s="65"/>
      <c r="U26" s="69" t="str">
        <f t="shared" si="1"/>
        <v/>
      </c>
      <c r="V26" s="82" t="str">
        <f t="shared" si="2"/>
        <v/>
      </c>
      <c r="W26" s="65"/>
      <c r="X26" s="72" t="str">
        <f t="shared" si="3"/>
        <v/>
      </c>
    </row>
    <row r="27" ht="21" customHeight="1" spans="1:24">
      <c r="A27" s="61"/>
      <c r="B27" s="62"/>
      <c r="C27" s="63"/>
      <c r="D27" s="61"/>
      <c r="E27" s="65"/>
      <c r="F27" s="65"/>
      <c r="G27" s="65"/>
      <c r="H27" s="65"/>
      <c r="I27" s="69" t="str">
        <f>IF(E27="","",MROUND(E27*Settings!$B$16,Settings!$B$19))</f>
        <v/>
      </c>
      <c r="J27" s="69" t="str">
        <f>IF(H27="","",MROUND(H27*Settings!$B$17,Settings!$B$19))</f>
        <v/>
      </c>
      <c r="K27" s="69" t="str">
        <f>IF(OR(I27="",J27=""),"",MROUND(MIN(I27,J27),Settings!$B$19))</f>
        <v/>
      </c>
      <c r="L27" s="65"/>
      <c r="M27" s="69" t="str">
        <f>IF(OR(E27="",L27=""),"",MROUND(MIN(E27*Settings!$B$16,L27*Settings!$B$17),Settings!$B$19))</f>
        <v/>
      </c>
      <c r="N27" s="72" t="str">
        <f t="shared" si="4"/>
        <v/>
      </c>
      <c r="O27" s="62"/>
      <c r="P27" s="69" t="str">
        <f t="shared" si="0"/>
        <v/>
      </c>
      <c r="Q27" s="76">
        <f t="shared" si="7"/>
        <v>65</v>
      </c>
      <c r="R27" s="63"/>
      <c r="S27" s="69" t="str">
        <f t="shared" si="6"/>
        <v/>
      </c>
      <c r="T27" s="65"/>
      <c r="U27" s="69" t="str">
        <f t="shared" si="1"/>
        <v/>
      </c>
      <c r="V27" s="82" t="str">
        <f t="shared" si="2"/>
        <v/>
      </c>
      <c r="W27" s="65"/>
      <c r="X27" s="72" t="str">
        <f t="shared" si="3"/>
        <v/>
      </c>
    </row>
    <row r="28" ht="21" customHeight="1" spans="1:24">
      <c r="A28" s="61"/>
      <c r="B28" s="62"/>
      <c r="C28" s="63"/>
      <c r="D28" s="61"/>
      <c r="E28" s="65"/>
      <c r="F28" s="65"/>
      <c r="G28" s="65"/>
      <c r="H28" s="65"/>
      <c r="I28" s="69" t="str">
        <f>IF(E28="","",MROUND(E28*Settings!$B$16,Settings!$B$19))</f>
        <v/>
      </c>
      <c r="J28" s="69" t="str">
        <f>IF(H28="","",MROUND(H28*Settings!$B$17,Settings!$B$19))</f>
        <v/>
      </c>
      <c r="K28" s="69" t="str">
        <f>IF(OR(I28="",J28=""),"",MROUND(MIN(I28,J28),Settings!$B$19))</f>
        <v/>
      </c>
      <c r="L28" s="65"/>
      <c r="M28" s="69" t="str">
        <f>IF(OR(E28="",L28=""),"",MROUND(MIN(E28*Settings!$B$16,L28*Settings!$B$17),Settings!$B$19))</f>
        <v/>
      </c>
      <c r="N28" s="72" t="str">
        <f t="shared" si="4"/>
        <v/>
      </c>
      <c r="O28" s="62"/>
      <c r="P28" s="69" t="str">
        <f t="shared" si="0"/>
        <v/>
      </c>
      <c r="Q28" s="76">
        <f t="shared" si="7"/>
        <v>65</v>
      </c>
      <c r="R28" s="63"/>
      <c r="S28" s="69" t="str">
        <f t="shared" si="6"/>
        <v/>
      </c>
      <c r="T28" s="65"/>
      <c r="U28" s="69" t="str">
        <f t="shared" si="1"/>
        <v/>
      </c>
      <c r="V28" s="82" t="str">
        <f t="shared" si="2"/>
        <v/>
      </c>
      <c r="W28" s="65"/>
      <c r="X28" s="72" t="str">
        <f t="shared" si="3"/>
        <v/>
      </c>
    </row>
    <row r="29" ht="21" customHeight="1" spans="1:24">
      <c r="A29" s="61"/>
      <c r="B29" s="62"/>
      <c r="C29" s="63"/>
      <c r="D29" s="61"/>
      <c r="E29" s="65"/>
      <c r="F29" s="65"/>
      <c r="G29" s="65"/>
      <c r="H29" s="65"/>
      <c r="I29" s="69" t="str">
        <f>IF(E29="","",MROUND(E29*Settings!$B$16,Settings!$B$19))</f>
        <v/>
      </c>
      <c r="J29" s="69" t="str">
        <f>IF(H29="","",MROUND(H29*Settings!$B$17,Settings!$B$19))</f>
        <v/>
      </c>
      <c r="K29" s="69" t="str">
        <f>IF(OR(I29="",J29=""),"",MROUND(MIN(I29,J29),Settings!$B$19))</f>
        <v/>
      </c>
      <c r="L29" s="65"/>
      <c r="M29" s="69" t="str">
        <f>IF(OR(E29="",L29=""),"",MROUND(MIN(E29*Settings!$B$16,L29*Settings!$B$17),Settings!$B$19))</f>
        <v/>
      </c>
      <c r="N29" s="72" t="str">
        <f t="shared" si="4"/>
        <v/>
      </c>
      <c r="O29" s="62"/>
      <c r="P29" s="69" t="str">
        <f t="shared" si="0"/>
        <v/>
      </c>
      <c r="Q29" s="76">
        <f t="shared" si="7"/>
        <v>65</v>
      </c>
      <c r="R29" s="63"/>
      <c r="S29" s="69" t="str">
        <f t="shared" si="6"/>
        <v/>
      </c>
      <c r="T29" s="65"/>
      <c r="U29" s="69" t="str">
        <f t="shared" si="1"/>
        <v/>
      </c>
      <c r="V29" s="82" t="str">
        <f t="shared" si="2"/>
        <v/>
      </c>
      <c r="W29" s="65"/>
      <c r="X29" s="72" t="str">
        <f t="shared" si="3"/>
        <v/>
      </c>
    </row>
    <row r="30" ht="21" customHeight="1" spans="1:24">
      <c r="A30" s="61"/>
      <c r="B30" s="62"/>
      <c r="C30" s="63"/>
      <c r="D30" s="61"/>
      <c r="E30" s="65"/>
      <c r="F30" s="65"/>
      <c r="G30" s="65"/>
      <c r="H30" s="65"/>
      <c r="I30" s="69" t="str">
        <f>IF(E30="","",MROUND(E30*Settings!$B$16,Settings!$B$19))</f>
        <v/>
      </c>
      <c r="J30" s="69" t="str">
        <f>IF(H30="","",MROUND(H30*Settings!$B$17,Settings!$B$19))</f>
        <v/>
      </c>
      <c r="K30" s="69" t="str">
        <f>IF(OR(I30="",J30=""),"",MROUND(MIN(I30,J30),Settings!$B$19))</f>
        <v/>
      </c>
      <c r="L30" s="65"/>
      <c r="M30" s="69" t="str">
        <f>IF(OR(E30="",L30=""),"",MROUND(MIN(E30*Settings!$B$16,L30*Settings!$B$17),Settings!$B$19))</f>
        <v/>
      </c>
      <c r="N30" s="72" t="str">
        <f t="shared" si="4"/>
        <v/>
      </c>
      <c r="O30" s="62"/>
      <c r="P30" s="69" t="str">
        <f t="shared" si="0"/>
        <v/>
      </c>
      <c r="Q30" s="76">
        <f t="shared" si="7"/>
        <v>65</v>
      </c>
      <c r="R30" s="63"/>
      <c r="S30" s="69" t="str">
        <f t="shared" si="6"/>
        <v/>
      </c>
      <c r="T30" s="65"/>
      <c r="U30" s="69" t="str">
        <f t="shared" si="1"/>
        <v/>
      </c>
      <c r="V30" s="82" t="str">
        <f t="shared" si="2"/>
        <v/>
      </c>
      <c r="W30" s="65"/>
      <c r="X30" s="72" t="str">
        <f t="shared" si="3"/>
        <v/>
      </c>
    </row>
    <row r="31" ht="21" customHeight="1" spans="1:24">
      <c r="A31" s="61"/>
      <c r="B31" s="62"/>
      <c r="C31" s="63"/>
      <c r="D31" s="61"/>
      <c r="E31" s="65"/>
      <c r="F31" s="65"/>
      <c r="G31" s="65"/>
      <c r="H31" s="65"/>
      <c r="I31" s="69" t="str">
        <f>IF(E31="","",MROUND(E31*Settings!$B$16,Settings!$B$19))</f>
        <v/>
      </c>
      <c r="J31" s="69" t="str">
        <f>IF(H31="","",MROUND(H31*Settings!$B$17,Settings!$B$19))</f>
        <v/>
      </c>
      <c r="K31" s="69" t="str">
        <f>IF(OR(I31="",J31=""),"",MROUND(MIN(I31,J31),Settings!$B$19))</f>
        <v/>
      </c>
      <c r="L31" s="65"/>
      <c r="M31" s="69" t="str">
        <f>IF(OR(E31="",L31=""),"",MROUND(MIN(E31*Settings!$B$16,L31*Settings!$B$17),Settings!$B$19))</f>
        <v/>
      </c>
      <c r="N31" s="72" t="str">
        <f t="shared" si="4"/>
        <v/>
      </c>
      <c r="O31" s="62"/>
      <c r="P31" s="69" t="str">
        <f t="shared" si="0"/>
        <v/>
      </c>
      <c r="Q31" s="76">
        <f t="shared" si="7"/>
        <v>65</v>
      </c>
      <c r="R31" s="63"/>
      <c r="S31" s="69" t="str">
        <f t="shared" si="6"/>
        <v/>
      </c>
      <c r="T31" s="65"/>
      <c r="U31" s="69" t="str">
        <f t="shared" si="1"/>
        <v/>
      </c>
      <c r="V31" s="82" t="str">
        <f t="shared" si="2"/>
        <v/>
      </c>
      <c r="W31" s="65"/>
      <c r="X31" s="72" t="str">
        <f t="shared" si="3"/>
        <v/>
      </c>
    </row>
    <row r="32" ht="21" customHeight="1" spans="1:24">
      <c r="A32" s="61"/>
      <c r="B32" s="62"/>
      <c r="C32" s="63"/>
      <c r="D32" s="61"/>
      <c r="E32" s="65"/>
      <c r="F32" s="65"/>
      <c r="G32" s="65"/>
      <c r="H32" s="65"/>
      <c r="I32" s="69" t="str">
        <f>IF(E32="","",MROUND(E32*Settings!$B$16,Settings!$B$19))</f>
        <v/>
      </c>
      <c r="J32" s="69" t="str">
        <f>IF(H32="","",MROUND(H32*Settings!$B$17,Settings!$B$19))</f>
        <v/>
      </c>
      <c r="K32" s="69" t="str">
        <f>IF(OR(I32="",J32=""),"",MROUND(MIN(I32,J32),Settings!$B$19))</f>
        <v/>
      </c>
      <c r="L32" s="65"/>
      <c r="M32" s="69" t="str">
        <f>IF(OR(E32="",L32=""),"",MROUND(MIN(E32*Settings!$B$16,L32*Settings!$B$17),Settings!$B$19))</f>
        <v/>
      </c>
      <c r="N32" s="72" t="str">
        <f t="shared" si="4"/>
        <v/>
      </c>
      <c r="O32" s="62"/>
      <c r="P32" s="69" t="str">
        <f t="shared" si="0"/>
        <v/>
      </c>
      <c r="Q32" s="76">
        <f t="shared" si="7"/>
        <v>65</v>
      </c>
      <c r="R32" s="63"/>
      <c r="S32" s="69" t="str">
        <f t="shared" si="6"/>
        <v/>
      </c>
      <c r="T32" s="65"/>
      <c r="U32" s="69" t="str">
        <f t="shared" si="1"/>
        <v/>
      </c>
      <c r="V32" s="82" t="str">
        <f t="shared" si="2"/>
        <v/>
      </c>
      <c r="W32" s="65"/>
      <c r="X32" s="72" t="str">
        <f t="shared" si="3"/>
        <v/>
      </c>
    </row>
    <row r="33" ht="21" customHeight="1" spans="1:24">
      <c r="A33" s="61"/>
      <c r="B33" s="62"/>
      <c r="C33" s="63"/>
      <c r="D33" s="61"/>
      <c r="E33" s="65"/>
      <c r="F33" s="65"/>
      <c r="G33" s="65"/>
      <c r="H33" s="65"/>
      <c r="I33" s="69" t="str">
        <f>IF(E33="","",MROUND(E33*Settings!$B$16,Settings!$B$19))</f>
        <v/>
      </c>
      <c r="J33" s="69" t="str">
        <f>IF(H33="","",MROUND(H33*Settings!$B$17,Settings!$B$19))</f>
        <v/>
      </c>
      <c r="K33" s="69" t="str">
        <f>IF(OR(I33="",J33=""),"",MROUND(MIN(I33,J33),Settings!$B$19))</f>
        <v/>
      </c>
      <c r="L33" s="65"/>
      <c r="M33" s="69" t="str">
        <f>IF(OR(E33="",L33=""),"",MROUND(MIN(E33*Settings!$B$16,L33*Settings!$B$17),Settings!$B$19))</f>
        <v/>
      </c>
      <c r="N33" s="72" t="str">
        <f t="shared" si="4"/>
        <v/>
      </c>
      <c r="O33" s="62"/>
      <c r="P33" s="69" t="str">
        <f t="shared" si="0"/>
        <v/>
      </c>
      <c r="Q33" s="76">
        <f t="shared" si="7"/>
        <v>65</v>
      </c>
      <c r="R33" s="63"/>
      <c r="S33" s="69" t="str">
        <f t="shared" si="6"/>
        <v/>
      </c>
      <c r="T33" s="65"/>
      <c r="U33" s="69" t="str">
        <f t="shared" si="1"/>
        <v/>
      </c>
      <c r="V33" s="82" t="str">
        <f t="shared" si="2"/>
        <v/>
      </c>
      <c r="W33" s="65"/>
      <c r="X33" s="72" t="str">
        <f t="shared" si="3"/>
        <v/>
      </c>
    </row>
    <row r="34" ht="21" customHeight="1" spans="1:24">
      <c r="A34" s="61"/>
      <c r="B34" s="62"/>
      <c r="C34" s="63"/>
      <c r="D34" s="61"/>
      <c r="E34" s="65"/>
      <c r="F34" s="65"/>
      <c r="G34" s="65"/>
      <c r="H34" s="65"/>
      <c r="I34" s="69" t="str">
        <f>IF(E34="","",MROUND(E34*Settings!$B$16,Settings!$B$19))</f>
        <v/>
      </c>
      <c r="J34" s="69" t="str">
        <f>IF(H34="","",MROUND(H34*Settings!$B$17,Settings!$B$19))</f>
        <v/>
      </c>
      <c r="K34" s="69" t="str">
        <f>IF(OR(I34="",J34=""),"",MROUND(MIN(I34,J34),Settings!$B$19))</f>
        <v/>
      </c>
      <c r="L34" s="65"/>
      <c r="M34" s="69" t="str">
        <f>IF(OR(E34="",L34=""),"",MROUND(MIN(E34*Settings!$B$16,L34*Settings!$B$17),Settings!$B$19))</f>
        <v/>
      </c>
      <c r="N34" s="72" t="str">
        <f t="shared" si="4"/>
        <v/>
      </c>
      <c r="O34" s="62"/>
      <c r="P34" s="69" t="str">
        <f t="shared" si="0"/>
        <v/>
      </c>
      <c r="Q34" s="76">
        <f t="shared" si="7"/>
        <v>65</v>
      </c>
      <c r="R34" s="63"/>
      <c r="S34" s="69" t="str">
        <f t="shared" si="6"/>
        <v/>
      </c>
      <c r="T34" s="65"/>
      <c r="U34" s="69" t="str">
        <f t="shared" si="1"/>
        <v/>
      </c>
      <c r="V34" s="82" t="str">
        <f t="shared" si="2"/>
        <v/>
      </c>
      <c r="W34" s="65"/>
      <c r="X34" s="72" t="str">
        <f t="shared" si="3"/>
        <v/>
      </c>
    </row>
    <row r="35" ht="21" customHeight="1" spans="1:24">
      <c r="A35" s="61"/>
      <c r="B35" s="62"/>
      <c r="C35" s="63"/>
      <c r="D35" s="61"/>
      <c r="E35" s="65"/>
      <c r="F35" s="65"/>
      <c r="G35" s="65"/>
      <c r="H35" s="65"/>
      <c r="I35" s="69" t="str">
        <f>IF(E35="","",MROUND(E35*Settings!$B$16,Settings!$B$19))</f>
        <v/>
      </c>
      <c r="J35" s="69" t="str">
        <f>IF(H35="","",MROUND(H35*Settings!$B$17,Settings!$B$19))</f>
        <v/>
      </c>
      <c r="K35" s="69" t="str">
        <f>IF(OR(I35="",J35=""),"",MROUND(MIN(I35,J35),Settings!$B$19))</f>
        <v/>
      </c>
      <c r="L35" s="65"/>
      <c r="M35" s="69" t="str">
        <f>IF(OR(E35="",L35=""),"",MROUND(MIN(E35*Settings!$B$16,L35*Settings!$B$17),Settings!$B$19))</f>
        <v/>
      </c>
      <c r="N35" s="72" t="str">
        <f t="shared" si="4"/>
        <v/>
      </c>
      <c r="O35" s="62"/>
      <c r="P35" s="69" t="str">
        <f t="shared" si="0"/>
        <v/>
      </c>
      <c r="Q35" s="76">
        <f t="shared" ref="Q35:Q44" si="8">$B$7</f>
        <v>65</v>
      </c>
      <c r="R35" s="63"/>
      <c r="S35" s="69" t="str">
        <f t="shared" si="6"/>
        <v/>
      </c>
      <c r="T35" s="65"/>
      <c r="U35" s="69" t="str">
        <f t="shared" si="1"/>
        <v/>
      </c>
      <c r="V35" s="82" t="str">
        <f t="shared" si="2"/>
        <v/>
      </c>
      <c r="W35" s="65"/>
      <c r="X35" s="72" t="str">
        <f t="shared" si="3"/>
        <v/>
      </c>
    </row>
    <row r="36" ht="21" customHeight="1" spans="1:24">
      <c r="A36" s="61"/>
      <c r="B36" s="62"/>
      <c r="C36" s="63"/>
      <c r="D36" s="61"/>
      <c r="E36" s="65"/>
      <c r="F36" s="65"/>
      <c r="G36" s="65"/>
      <c r="H36" s="65"/>
      <c r="I36" s="69" t="str">
        <f>IF(E36="","",MROUND(E36*Settings!$B$16,Settings!$B$19))</f>
        <v/>
      </c>
      <c r="J36" s="69" t="str">
        <f>IF(H36="","",MROUND(H36*Settings!$B$17,Settings!$B$19))</f>
        <v/>
      </c>
      <c r="K36" s="69" t="str">
        <f>IF(OR(I36="",J36=""),"",MROUND(MIN(I36,J36),Settings!$B$19))</f>
        <v/>
      </c>
      <c r="L36" s="65"/>
      <c r="M36" s="69" t="str">
        <f>IF(OR(E36="",L36=""),"",MROUND(MIN(E36*Settings!$B$16,L36*Settings!$B$17),Settings!$B$19))</f>
        <v/>
      </c>
      <c r="N36" s="72" t="str">
        <f t="shared" si="4"/>
        <v/>
      </c>
      <c r="O36" s="62"/>
      <c r="P36" s="69" t="str">
        <f t="shared" si="0"/>
        <v/>
      </c>
      <c r="Q36" s="76">
        <f t="shared" si="8"/>
        <v>65</v>
      </c>
      <c r="R36" s="63"/>
      <c r="S36" s="69" t="str">
        <f t="shared" si="6"/>
        <v/>
      </c>
      <c r="T36" s="65"/>
      <c r="U36" s="69" t="str">
        <f t="shared" si="1"/>
        <v/>
      </c>
      <c r="V36" s="82" t="str">
        <f t="shared" si="2"/>
        <v/>
      </c>
      <c r="W36" s="65"/>
      <c r="X36" s="72" t="str">
        <f t="shared" si="3"/>
        <v/>
      </c>
    </row>
    <row r="37" ht="21" customHeight="1" spans="1:24">
      <c r="A37" s="61"/>
      <c r="B37" s="62"/>
      <c r="C37" s="63"/>
      <c r="D37" s="61"/>
      <c r="E37" s="65"/>
      <c r="F37" s="65"/>
      <c r="G37" s="65"/>
      <c r="H37" s="65"/>
      <c r="I37" s="69" t="str">
        <f>IF(E37="","",MROUND(E37*Settings!$B$16,Settings!$B$19))</f>
        <v/>
      </c>
      <c r="J37" s="69" t="str">
        <f>IF(H37="","",MROUND(H37*Settings!$B$17,Settings!$B$19))</f>
        <v/>
      </c>
      <c r="K37" s="69" t="str">
        <f>IF(OR(I37="",J37=""),"",MROUND(MIN(I37,J37),Settings!$B$19))</f>
        <v/>
      </c>
      <c r="L37" s="65"/>
      <c r="M37" s="69" t="str">
        <f>IF(OR(E37="",L37=""),"",MROUND(MIN(E37*Settings!$B$16,L37*Settings!$B$17),Settings!$B$19))</f>
        <v/>
      </c>
      <c r="N37" s="72" t="str">
        <f t="shared" si="4"/>
        <v/>
      </c>
      <c r="O37" s="62"/>
      <c r="P37" s="69" t="str">
        <f t="shared" si="0"/>
        <v/>
      </c>
      <c r="Q37" s="76">
        <f t="shared" si="8"/>
        <v>65</v>
      </c>
      <c r="R37" s="63"/>
      <c r="S37" s="69" t="str">
        <f t="shared" si="6"/>
        <v/>
      </c>
      <c r="T37" s="65"/>
      <c r="U37" s="69" t="str">
        <f t="shared" si="1"/>
        <v/>
      </c>
      <c r="V37" s="82" t="str">
        <f t="shared" si="2"/>
        <v/>
      </c>
      <c r="W37" s="65"/>
      <c r="X37" s="72" t="str">
        <f t="shared" si="3"/>
        <v/>
      </c>
    </row>
    <row r="38" ht="21" customHeight="1" spans="1:24">
      <c r="A38" s="61"/>
      <c r="B38" s="62"/>
      <c r="C38" s="63"/>
      <c r="D38" s="61"/>
      <c r="E38" s="65"/>
      <c r="F38" s="65"/>
      <c r="G38" s="65"/>
      <c r="H38" s="65"/>
      <c r="I38" s="69" t="str">
        <f>IF(E38="","",MROUND(E38*Settings!$B$16,Settings!$B$19))</f>
        <v/>
      </c>
      <c r="J38" s="69" t="str">
        <f>IF(H38="","",MROUND(H38*Settings!$B$17,Settings!$B$19))</f>
        <v/>
      </c>
      <c r="K38" s="69" t="str">
        <f>IF(OR(I38="",J38=""),"",MROUND(MIN(I38,J38),Settings!$B$19))</f>
        <v/>
      </c>
      <c r="L38" s="65"/>
      <c r="M38" s="69" t="str">
        <f>IF(OR(E38="",L38=""),"",MROUND(MIN(E38*Settings!$B$16,L38*Settings!$B$17),Settings!$B$19))</f>
        <v/>
      </c>
      <c r="N38" s="72" t="str">
        <f t="shared" si="4"/>
        <v/>
      </c>
      <c r="O38" s="62"/>
      <c r="P38" s="69" t="str">
        <f t="shared" si="0"/>
        <v/>
      </c>
      <c r="Q38" s="76">
        <f t="shared" si="8"/>
        <v>65</v>
      </c>
      <c r="R38" s="63"/>
      <c r="S38" s="69" t="str">
        <f t="shared" si="6"/>
        <v/>
      </c>
      <c r="T38" s="65"/>
      <c r="U38" s="69" t="str">
        <f t="shared" si="1"/>
        <v/>
      </c>
      <c r="V38" s="82" t="str">
        <f t="shared" si="2"/>
        <v/>
      </c>
      <c r="W38" s="65"/>
      <c r="X38" s="72" t="str">
        <f t="shared" si="3"/>
        <v/>
      </c>
    </row>
    <row r="39" ht="21" customHeight="1" spans="1:24">
      <c r="A39" s="61"/>
      <c r="B39" s="62"/>
      <c r="C39" s="63"/>
      <c r="D39" s="61"/>
      <c r="E39" s="65"/>
      <c r="F39" s="65"/>
      <c r="G39" s="65"/>
      <c r="H39" s="65"/>
      <c r="I39" s="69" t="str">
        <f>IF(E39="","",MROUND(E39*Settings!$B$16,Settings!$B$19))</f>
        <v/>
      </c>
      <c r="J39" s="69" t="str">
        <f>IF(H39="","",MROUND(H39*Settings!$B$17,Settings!$B$19))</f>
        <v/>
      </c>
      <c r="K39" s="69" t="str">
        <f>IF(OR(I39="",J39=""),"",MROUND(MIN(I39,J39),Settings!$B$19))</f>
        <v/>
      </c>
      <c r="L39" s="65"/>
      <c r="M39" s="69" t="str">
        <f>IF(OR(E39="",L39=""),"",MROUND(MIN(E39*Settings!$B$16,L39*Settings!$B$17),Settings!$B$19))</f>
        <v/>
      </c>
      <c r="N39" s="72" t="str">
        <f t="shared" si="4"/>
        <v/>
      </c>
      <c r="O39" s="62"/>
      <c r="P39" s="69" t="str">
        <f t="shared" si="0"/>
        <v/>
      </c>
      <c r="Q39" s="76">
        <f t="shared" si="8"/>
        <v>65</v>
      </c>
      <c r="R39" s="63"/>
      <c r="S39" s="69" t="str">
        <f t="shared" si="6"/>
        <v/>
      </c>
      <c r="T39" s="65"/>
      <c r="U39" s="69" t="str">
        <f t="shared" si="1"/>
        <v/>
      </c>
      <c r="V39" s="82" t="str">
        <f t="shared" si="2"/>
        <v/>
      </c>
      <c r="W39" s="65"/>
      <c r="X39" s="72" t="str">
        <f t="shared" si="3"/>
        <v/>
      </c>
    </row>
    <row r="40" ht="21" customHeight="1" spans="1:24">
      <c r="A40" s="61"/>
      <c r="B40" s="62"/>
      <c r="C40" s="63"/>
      <c r="D40" s="61"/>
      <c r="E40" s="65"/>
      <c r="F40" s="65"/>
      <c r="G40" s="65"/>
      <c r="H40" s="65"/>
      <c r="I40" s="69" t="str">
        <f>IF(E40="","",MROUND(E40*Settings!$B$16,Settings!$B$19))</f>
        <v/>
      </c>
      <c r="J40" s="69" t="str">
        <f>IF(H40="","",MROUND(H40*Settings!$B$17,Settings!$B$19))</f>
        <v/>
      </c>
      <c r="K40" s="69" t="str">
        <f>IF(OR(I40="",J40=""),"",MROUND(MIN(I40,J40),Settings!$B$19))</f>
        <v/>
      </c>
      <c r="L40" s="65"/>
      <c r="M40" s="69" t="str">
        <f>IF(OR(E40="",L40=""),"",MROUND(MIN(E40*Settings!$B$16,L40*Settings!$B$17),Settings!$B$19))</f>
        <v/>
      </c>
      <c r="N40" s="72" t="str">
        <f t="shared" si="4"/>
        <v/>
      </c>
      <c r="O40" s="62"/>
      <c r="P40" s="69" t="str">
        <f t="shared" si="0"/>
        <v/>
      </c>
      <c r="Q40" s="76">
        <f t="shared" si="8"/>
        <v>65</v>
      </c>
      <c r="R40" s="63"/>
      <c r="S40" s="69" t="str">
        <f t="shared" si="6"/>
        <v/>
      </c>
      <c r="T40" s="65"/>
      <c r="U40" s="69" t="str">
        <f t="shared" si="1"/>
        <v/>
      </c>
      <c r="V40" s="82" t="str">
        <f t="shared" si="2"/>
        <v/>
      </c>
      <c r="W40" s="65"/>
      <c r="X40" s="72" t="str">
        <f t="shared" si="3"/>
        <v/>
      </c>
    </row>
    <row r="41" ht="21" customHeight="1" spans="1:24">
      <c r="A41" s="61"/>
      <c r="B41" s="62"/>
      <c r="C41" s="63"/>
      <c r="D41" s="61"/>
      <c r="E41" s="65"/>
      <c r="F41" s="65"/>
      <c r="G41" s="65"/>
      <c r="H41" s="65"/>
      <c r="I41" s="69" t="str">
        <f>IF(E41="","",MROUND(E41*Settings!$B$16,Settings!$B$19))</f>
        <v/>
      </c>
      <c r="J41" s="69" t="str">
        <f>IF(H41="","",MROUND(H41*Settings!$B$17,Settings!$B$19))</f>
        <v/>
      </c>
      <c r="K41" s="69" t="str">
        <f>IF(OR(I41="",J41=""),"",MROUND(MIN(I41,J41),Settings!$B$19))</f>
        <v/>
      </c>
      <c r="L41" s="65"/>
      <c r="M41" s="69" t="str">
        <f>IF(OR(E41="",L41=""),"",MROUND(MIN(E41*Settings!$B$16,L41*Settings!$B$17),Settings!$B$19))</f>
        <v/>
      </c>
      <c r="N41" s="72" t="str">
        <f t="shared" si="4"/>
        <v/>
      </c>
      <c r="O41" s="62"/>
      <c r="P41" s="69" t="str">
        <f t="shared" si="0"/>
        <v/>
      </c>
      <c r="Q41" s="76">
        <f t="shared" si="8"/>
        <v>65</v>
      </c>
      <c r="R41" s="63"/>
      <c r="S41" s="69" t="str">
        <f t="shared" si="6"/>
        <v/>
      </c>
      <c r="T41" s="65"/>
      <c r="U41" s="69" t="str">
        <f t="shared" si="1"/>
        <v/>
      </c>
      <c r="V41" s="82" t="str">
        <f t="shared" si="2"/>
        <v/>
      </c>
      <c r="W41" s="65"/>
      <c r="X41" s="72" t="str">
        <f t="shared" si="3"/>
        <v/>
      </c>
    </row>
    <row r="42" ht="21" customHeight="1" spans="1:24">
      <c r="A42" s="61"/>
      <c r="B42" s="62"/>
      <c r="C42" s="63"/>
      <c r="D42" s="61"/>
      <c r="E42" s="65"/>
      <c r="F42" s="65"/>
      <c r="G42" s="65"/>
      <c r="H42" s="65"/>
      <c r="I42" s="69" t="str">
        <f>IF(E42="","",MROUND(E42*Settings!$B$16,Settings!$B$19))</f>
        <v/>
      </c>
      <c r="J42" s="69" t="str">
        <f>IF(H42="","",MROUND(H42*Settings!$B$17,Settings!$B$19))</f>
        <v/>
      </c>
      <c r="K42" s="69" t="str">
        <f>IF(OR(I42="",J42=""),"",MROUND(MIN(I42,J42),Settings!$B$19))</f>
        <v/>
      </c>
      <c r="L42" s="65"/>
      <c r="M42" s="69" t="str">
        <f>IF(OR(E42="",L42=""),"",MROUND(MIN(E42*Settings!$B$16,L42*Settings!$B$17),Settings!$B$19))</f>
        <v/>
      </c>
      <c r="N42" s="72" t="str">
        <f t="shared" si="4"/>
        <v/>
      </c>
      <c r="O42" s="62"/>
      <c r="P42" s="69" t="str">
        <f t="shared" si="0"/>
        <v/>
      </c>
      <c r="Q42" s="76">
        <f t="shared" si="8"/>
        <v>65</v>
      </c>
      <c r="R42" s="63"/>
      <c r="S42" s="69" t="str">
        <f t="shared" si="6"/>
        <v/>
      </c>
      <c r="T42" s="65"/>
      <c r="U42" s="69" t="str">
        <f t="shared" si="1"/>
        <v/>
      </c>
      <c r="V42" s="82" t="str">
        <f t="shared" si="2"/>
        <v/>
      </c>
      <c r="W42" s="65"/>
      <c r="X42" s="72" t="str">
        <f t="shared" si="3"/>
        <v/>
      </c>
    </row>
    <row r="43" ht="21" customHeight="1" spans="1:24">
      <c r="A43" s="61"/>
      <c r="B43" s="62"/>
      <c r="C43" s="63"/>
      <c r="D43" s="61"/>
      <c r="E43" s="65"/>
      <c r="F43" s="65"/>
      <c r="G43" s="65"/>
      <c r="H43" s="65"/>
      <c r="I43" s="69" t="str">
        <f>IF(E43="","",MROUND(E43*Settings!$B$16,Settings!$B$19))</f>
        <v/>
      </c>
      <c r="J43" s="69" t="str">
        <f>IF(H43="","",MROUND(H43*Settings!$B$17,Settings!$B$19))</f>
        <v/>
      </c>
      <c r="K43" s="69" t="str">
        <f>IF(OR(I43="",J43=""),"",MROUND(MIN(I43,J43),Settings!$B$19))</f>
        <v/>
      </c>
      <c r="L43" s="65"/>
      <c r="M43" s="69" t="str">
        <f>IF(OR(E43="",L43=""),"",MROUND(MIN(E43*Settings!$B$16,L43*Settings!$B$17),Settings!$B$19))</f>
        <v/>
      </c>
      <c r="N43" s="72" t="str">
        <f t="shared" si="4"/>
        <v/>
      </c>
      <c r="O43" s="62"/>
      <c r="P43" s="69" t="str">
        <f t="shared" si="0"/>
        <v/>
      </c>
      <c r="Q43" s="76">
        <f t="shared" si="8"/>
        <v>65</v>
      </c>
      <c r="R43" s="63"/>
      <c r="S43" s="69" t="str">
        <f t="shared" si="6"/>
        <v/>
      </c>
      <c r="T43" s="65"/>
      <c r="U43" s="69" t="str">
        <f t="shared" si="1"/>
        <v/>
      </c>
      <c r="V43" s="82" t="str">
        <f t="shared" si="2"/>
        <v/>
      </c>
      <c r="W43" s="65"/>
      <c r="X43" s="72" t="str">
        <f t="shared" si="3"/>
        <v/>
      </c>
    </row>
    <row r="44" ht="21" customHeight="1" spans="1:24">
      <c r="A44" s="61"/>
      <c r="B44" s="62"/>
      <c r="C44" s="63"/>
      <c r="D44" s="61"/>
      <c r="E44" s="65"/>
      <c r="F44" s="65"/>
      <c r="G44" s="65"/>
      <c r="H44" s="65"/>
      <c r="I44" s="69" t="str">
        <f>IF(E44="","",MROUND(E44*Settings!$B$16,Settings!$B$19))</f>
        <v/>
      </c>
      <c r="J44" s="69" t="str">
        <f>IF(H44="","",MROUND(H44*Settings!$B$17,Settings!$B$19))</f>
        <v/>
      </c>
      <c r="K44" s="69" t="str">
        <f>IF(OR(I44="",J44=""),"",MROUND(MIN(I44,J44),Settings!$B$19))</f>
        <v/>
      </c>
      <c r="L44" s="65"/>
      <c r="M44" s="69" t="str">
        <f>IF(OR(E44="",L44=""),"",MROUND(MIN(E44*Settings!$B$16,L44*Settings!$B$17),Settings!$B$19))</f>
        <v/>
      </c>
      <c r="N44" s="72" t="str">
        <f t="shared" si="4"/>
        <v/>
      </c>
      <c r="O44" s="62"/>
      <c r="P44" s="69" t="str">
        <f t="shared" si="0"/>
        <v/>
      </c>
      <c r="Q44" s="76">
        <f t="shared" si="8"/>
        <v>65</v>
      </c>
      <c r="R44" s="63"/>
      <c r="S44" s="69" t="str">
        <f t="shared" si="6"/>
        <v/>
      </c>
      <c r="T44" s="65"/>
      <c r="U44" s="69" t="str">
        <f t="shared" si="1"/>
        <v/>
      </c>
      <c r="V44" s="82" t="str">
        <f t="shared" si="2"/>
        <v/>
      </c>
      <c r="W44" s="65"/>
      <c r="X44" s="72" t="str">
        <f t="shared" si="3"/>
        <v/>
      </c>
    </row>
    <row r="45" ht="21" customHeight="1" spans="1:24">
      <c r="A45" s="61"/>
      <c r="B45" s="62"/>
      <c r="C45" s="63"/>
      <c r="D45" s="61"/>
      <c r="E45" s="65"/>
      <c r="F45" s="65"/>
      <c r="G45" s="65"/>
      <c r="H45" s="65"/>
      <c r="I45" s="69" t="str">
        <f>IF(E45="","",MROUND(E45*Settings!$B$16,Settings!$B$19))</f>
        <v/>
      </c>
      <c r="J45" s="69" t="str">
        <f>IF(H45="","",MROUND(H45*Settings!$B$17,Settings!$B$19))</f>
        <v/>
      </c>
      <c r="K45" s="69" t="str">
        <f>IF(OR(I45="",J45=""),"",MROUND(MIN(I45,J45),Settings!$B$19))</f>
        <v/>
      </c>
      <c r="L45" s="65"/>
      <c r="M45" s="69" t="str">
        <f>IF(OR(E45="",L45=""),"",MROUND(MIN(E45*Settings!$B$16,L45*Settings!$B$17),Settings!$B$19))</f>
        <v/>
      </c>
      <c r="N45" s="72" t="str">
        <f t="shared" si="4"/>
        <v/>
      </c>
      <c r="O45" s="62"/>
      <c r="P45" s="69" t="str">
        <f t="shared" si="0"/>
        <v/>
      </c>
      <c r="Q45" s="76">
        <f t="shared" ref="Q45:Q54" si="9">$B$7</f>
        <v>65</v>
      </c>
      <c r="R45" s="63"/>
      <c r="S45" s="69" t="str">
        <f t="shared" si="6"/>
        <v/>
      </c>
      <c r="T45" s="65"/>
      <c r="U45" s="69" t="str">
        <f t="shared" si="1"/>
        <v/>
      </c>
      <c r="V45" s="82" t="str">
        <f t="shared" si="2"/>
        <v/>
      </c>
      <c r="W45" s="65"/>
      <c r="X45" s="72" t="str">
        <f t="shared" si="3"/>
        <v/>
      </c>
    </row>
    <row r="46" ht="21" customHeight="1" spans="1:24">
      <c r="A46" s="61"/>
      <c r="B46" s="62"/>
      <c r="C46" s="63"/>
      <c r="D46" s="61"/>
      <c r="E46" s="65"/>
      <c r="F46" s="65"/>
      <c r="G46" s="65"/>
      <c r="H46" s="65"/>
      <c r="I46" s="69" t="str">
        <f>IF(E46="","",MROUND(E46*Settings!$B$16,Settings!$B$19))</f>
        <v/>
      </c>
      <c r="J46" s="69" t="str">
        <f>IF(H46="","",MROUND(H46*Settings!$B$17,Settings!$B$19))</f>
        <v/>
      </c>
      <c r="K46" s="69" t="str">
        <f>IF(OR(I46="",J46=""),"",MROUND(MIN(I46,J46),Settings!$B$19))</f>
        <v/>
      </c>
      <c r="L46" s="65"/>
      <c r="M46" s="69" t="str">
        <f>IF(OR(E46="",L46=""),"",MROUND(MIN(E46*Settings!$B$16,L46*Settings!$B$17),Settings!$B$19))</f>
        <v/>
      </c>
      <c r="N46" s="72" t="str">
        <f t="shared" si="4"/>
        <v/>
      </c>
      <c r="O46" s="62"/>
      <c r="P46" s="69" t="str">
        <f t="shared" si="0"/>
        <v/>
      </c>
      <c r="Q46" s="76">
        <f t="shared" si="9"/>
        <v>65</v>
      </c>
      <c r="R46" s="63"/>
      <c r="S46" s="69" t="str">
        <f t="shared" si="6"/>
        <v/>
      </c>
      <c r="T46" s="65"/>
      <c r="U46" s="69" t="str">
        <f t="shared" si="1"/>
        <v/>
      </c>
      <c r="V46" s="82" t="str">
        <f t="shared" si="2"/>
        <v/>
      </c>
      <c r="W46" s="65"/>
      <c r="X46" s="72" t="str">
        <f t="shared" si="3"/>
        <v/>
      </c>
    </row>
    <row r="47" ht="21" customHeight="1" spans="1:24">
      <c r="A47" s="61"/>
      <c r="B47" s="62"/>
      <c r="C47" s="63"/>
      <c r="D47" s="61"/>
      <c r="E47" s="65"/>
      <c r="F47" s="65"/>
      <c r="G47" s="65"/>
      <c r="H47" s="65"/>
      <c r="I47" s="69" t="str">
        <f>IF(E47="","",MROUND(E47*Settings!$B$16,Settings!$B$19))</f>
        <v/>
      </c>
      <c r="J47" s="69" t="str">
        <f>IF(H47="","",MROUND(H47*Settings!$B$17,Settings!$B$19))</f>
        <v/>
      </c>
      <c r="K47" s="69" t="str">
        <f>IF(OR(I47="",J47=""),"",MROUND(MIN(I47,J47),Settings!$B$19))</f>
        <v/>
      </c>
      <c r="L47" s="65"/>
      <c r="M47" s="69" t="str">
        <f>IF(OR(E47="",L47=""),"",MROUND(MIN(E47*Settings!$B$16,L47*Settings!$B$17),Settings!$B$19))</f>
        <v/>
      </c>
      <c r="N47" s="72" t="str">
        <f t="shared" ref="N47:N78" si="10">IF(B47="","",IF(B47="CALL Sell","Gap Up Calculation","Gap Down Calculation"))</f>
        <v/>
      </c>
      <c r="O47" s="62"/>
      <c r="P47" s="69" t="str">
        <f t="shared" si="0"/>
        <v/>
      </c>
      <c r="Q47" s="76">
        <f t="shared" si="9"/>
        <v>65</v>
      </c>
      <c r="R47" s="63"/>
      <c r="S47" s="69" t="str">
        <f t="shared" si="6"/>
        <v/>
      </c>
      <c r="T47" s="65"/>
      <c r="U47" s="69" t="str">
        <f t="shared" si="1"/>
        <v/>
      </c>
      <c r="V47" s="82" t="str">
        <f t="shared" si="2"/>
        <v/>
      </c>
      <c r="W47" s="65"/>
      <c r="X47" s="72" t="str">
        <f t="shared" si="3"/>
        <v/>
      </c>
    </row>
    <row r="48" ht="21" customHeight="1" spans="1:24">
      <c r="A48" s="61"/>
      <c r="B48" s="62"/>
      <c r="C48" s="63"/>
      <c r="D48" s="61"/>
      <c r="E48" s="65"/>
      <c r="F48" s="65"/>
      <c r="G48" s="65"/>
      <c r="H48" s="65"/>
      <c r="I48" s="69" t="str">
        <f>IF(E48="","",MROUND(E48*Settings!$B$16,Settings!$B$19))</f>
        <v/>
      </c>
      <c r="J48" s="69" t="str">
        <f>IF(H48="","",MROUND(H48*Settings!$B$17,Settings!$B$19))</f>
        <v/>
      </c>
      <c r="K48" s="69" t="str">
        <f>IF(OR(I48="",J48=""),"",MROUND(MIN(I48,J48),Settings!$B$19))</f>
        <v/>
      </c>
      <c r="L48" s="65"/>
      <c r="M48" s="69" t="str">
        <f>IF(OR(E48="",L48=""),"",MROUND(MIN(E48*Settings!$B$16,L48*Settings!$B$17),Settings!$B$19))</f>
        <v/>
      </c>
      <c r="N48" s="72" t="str">
        <f t="shared" si="10"/>
        <v/>
      </c>
      <c r="O48" s="62"/>
      <c r="P48" s="69" t="str">
        <f t="shared" si="0"/>
        <v/>
      </c>
      <c r="Q48" s="76">
        <f t="shared" si="9"/>
        <v>65</v>
      </c>
      <c r="R48" s="63"/>
      <c r="S48" s="69" t="str">
        <f t="shared" si="6"/>
        <v/>
      </c>
      <c r="T48" s="65"/>
      <c r="U48" s="69" t="str">
        <f t="shared" si="1"/>
        <v/>
      </c>
      <c r="V48" s="82" t="str">
        <f t="shared" si="2"/>
        <v/>
      </c>
      <c r="W48" s="65"/>
      <c r="X48" s="72" t="str">
        <f t="shared" si="3"/>
        <v/>
      </c>
    </row>
    <row r="49" ht="21" customHeight="1" spans="1:24">
      <c r="A49" s="61"/>
      <c r="B49" s="62"/>
      <c r="C49" s="63"/>
      <c r="D49" s="61"/>
      <c r="E49" s="65"/>
      <c r="F49" s="65"/>
      <c r="G49" s="65"/>
      <c r="H49" s="65"/>
      <c r="I49" s="69" t="str">
        <f>IF(E49="","",MROUND(E49*Settings!$B$16,Settings!$B$19))</f>
        <v/>
      </c>
      <c r="J49" s="69" t="str">
        <f>IF(H49="","",MROUND(H49*Settings!$B$17,Settings!$B$19))</f>
        <v/>
      </c>
      <c r="K49" s="69" t="str">
        <f>IF(OR(I49="",J49=""),"",MROUND(MIN(I49,J49),Settings!$B$19))</f>
        <v/>
      </c>
      <c r="L49" s="65"/>
      <c r="M49" s="69" t="str">
        <f>IF(OR(E49="",L49=""),"",MROUND(MIN(E49*Settings!$B$16,L49*Settings!$B$17),Settings!$B$19))</f>
        <v/>
      </c>
      <c r="N49" s="72" t="str">
        <f t="shared" si="10"/>
        <v/>
      </c>
      <c r="O49" s="62"/>
      <c r="P49" s="69" t="str">
        <f t="shared" si="0"/>
        <v/>
      </c>
      <c r="Q49" s="76">
        <f t="shared" si="9"/>
        <v>65</v>
      </c>
      <c r="R49" s="63"/>
      <c r="S49" s="69" t="str">
        <f t="shared" si="6"/>
        <v/>
      </c>
      <c r="T49" s="65"/>
      <c r="U49" s="69" t="str">
        <f t="shared" si="1"/>
        <v/>
      </c>
      <c r="V49" s="82" t="str">
        <f t="shared" si="2"/>
        <v/>
      </c>
      <c r="W49" s="65"/>
      <c r="X49" s="72" t="str">
        <f t="shared" si="3"/>
        <v/>
      </c>
    </row>
    <row r="50" ht="21" customHeight="1" spans="1:24">
      <c r="A50" s="61"/>
      <c r="B50" s="62"/>
      <c r="C50" s="63"/>
      <c r="D50" s="61"/>
      <c r="E50" s="65"/>
      <c r="F50" s="65"/>
      <c r="G50" s="65"/>
      <c r="H50" s="65"/>
      <c r="I50" s="69" t="str">
        <f>IF(E50="","",MROUND(E50*Settings!$B$16,Settings!$B$19))</f>
        <v/>
      </c>
      <c r="J50" s="69" t="str">
        <f>IF(H50="","",MROUND(H50*Settings!$B$17,Settings!$B$19))</f>
        <v/>
      </c>
      <c r="K50" s="69" t="str">
        <f>IF(OR(I50="",J50=""),"",MROUND(MIN(I50,J50),Settings!$B$19))</f>
        <v/>
      </c>
      <c r="L50" s="65"/>
      <c r="M50" s="69" t="str">
        <f>IF(OR(E50="",L50=""),"",MROUND(MIN(E50*Settings!$B$16,L50*Settings!$B$17),Settings!$B$19))</f>
        <v/>
      </c>
      <c r="N50" s="72" t="str">
        <f t="shared" si="10"/>
        <v/>
      </c>
      <c r="O50" s="62"/>
      <c r="P50" s="69" t="str">
        <f t="shared" si="0"/>
        <v/>
      </c>
      <c r="Q50" s="76">
        <f t="shared" si="9"/>
        <v>65</v>
      </c>
      <c r="R50" s="63"/>
      <c r="S50" s="69" t="str">
        <f t="shared" si="6"/>
        <v/>
      </c>
      <c r="T50" s="65"/>
      <c r="U50" s="69" t="str">
        <f t="shared" si="1"/>
        <v/>
      </c>
      <c r="V50" s="82" t="str">
        <f t="shared" si="2"/>
        <v/>
      </c>
      <c r="W50" s="65"/>
      <c r="X50" s="72" t="str">
        <f t="shared" si="3"/>
        <v/>
      </c>
    </row>
    <row r="51" ht="21" customHeight="1" spans="1:24">
      <c r="A51" s="61"/>
      <c r="B51" s="62"/>
      <c r="C51" s="63"/>
      <c r="D51" s="61"/>
      <c r="E51" s="65"/>
      <c r="F51" s="65"/>
      <c r="G51" s="65"/>
      <c r="H51" s="65"/>
      <c r="I51" s="69" t="str">
        <f>IF(E51="","",MROUND(E51*Settings!$B$16,Settings!$B$19))</f>
        <v/>
      </c>
      <c r="J51" s="69" t="str">
        <f>IF(H51="","",MROUND(H51*Settings!$B$17,Settings!$B$19))</f>
        <v/>
      </c>
      <c r="K51" s="69" t="str">
        <f>IF(OR(I51="",J51=""),"",MROUND(MIN(I51,J51),Settings!$B$19))</f>
        <v/>
      </c>
      <c r="L51" s="65"/>
      <c r="M51" s="69" t="str">
        <f>IF(OR(E51="",L51=""),"",MROUND(MIN(E51*Settings!$B$16,L51*Settings!$B$17),Settings!$B$19))</f>
        <v/>
      </c>
      <c r="N51" s="72" t="str">
        <f t="shared" si="10"/>
        <v/>
      </c>
      <c r="O51" s="62"/>
      <c r="P51" s="69" t="str">
        <f t="shared" si="0"/>
        <v/>
      </c>
      <c r="Q51" s="76">
        <f t="shared" si="9"/>
        <v>65</v>
      </c>
      <c r="R51" s="63"/>
      <c r="S51" s="69" t="str">
        <f t="shared" si="6"/>
        <v/>
      </c>
      <c r="T51" s="65"/>
      <c r="U51" s="69" t="str">
        <f t="shared" si="1"/>
        <v/>
      </c>
      <c r="V51" s="82" t="str">
        <f t="shared" si="2"/>
        <v/>
      </c>
      <c r="W51" s="65"/>
      <c r="X51" s="72" t="str">
        <f t="shared" si="3"/>
        <v/>
      </c>
    </row>
    <row r="52" ht="21" customHeight="1" spans="1:24">
      <c r="A52" s="61"/>
      <c r="B52" s="62"/>
      <c r="C52" s="63"/>
      <c r="D52" s="61"/>
      <c r="E52" s="65"/>
      <c r="F52" s="65"/>
      <c r="G52" s="65"/>
      <c r="H52" s="65"/>
      <c r="I52" s="69" t="str">
        <f>IF(E52="","",MROUND(E52*Settings!$B$16,Settings!$B$19))</f>
        <v/>
      </c>
      <c r="J52" s="69" t="str">
        <f>IF(H52="","",MROUND(H52*Settings!$B$17,Settings!$B$19))</f>
        <v/>
      </c>
      <c r="K52" s="69" t="str">
        <f>IF(OR(I52="",J52=""),"",MROUND(MIN(I52,J52),Settings!$B$19))</f>
        <v/>
      </c>
      <c r="L52" s="65"/>
      <c r="M52" s="69" t="str">
        <f>IF(OR(E52="",L52=""),"",MROUND(MIN(E52*Settings!$B$16,L52*Settings!$B$17),Settings!$B$19))</f>
        <v/>
      </c>
      <c r="N52" s="72" t="str">
        <f t="shared" si="10"/>
        <v/>
      </c>
      <c r="O52" s="62"/>
      <c r="P52" s="69" t="str">
        <f t="shared" si="0"/>
        <v/>
      </c>
      <c r="Q52" s="76">
        <f t="shared" si="9"/>
        <v>65</v>
      </c>
      <c r="R52" s="63"/>
      <c r="S52" s="69" t="str">
        <f t="shared" si="6"/>
        <v/>
      </c>
      <c r="T52" s="65"/>
      <c r="U52" s="69" t="str">
        <f t="shared" si="1"/>
        <v/>
      </c>
      <c r="V52" s="82" t="str">
        <f t="shared" si="2"/>
        <v/>
      </c>
      <c r="W52" s="65"/>
      <c r="X52" s="72" t="str">
        <f t="shared" si="3"/>
        <v/>
      </c>
    </row>
    <row r="53" ht="21" customHeight="1" spans="1:24">
      <c r="A53" s="61"/>
      <c r="B53" s="62"/>
      <c r="C53" s="63"/>
      <c r="D53" s="61"/>
      <c r="E53" s="65"/>
      <c r="F53" s="65"/>
      <c r="G53" s="65"/>
      <c r="H53" s="65"/>
      <c r="I53" s="69" t="str">
        <f>IF(E53="","",MROUND(E53*Settings!$B$16,Settings!$B$19))</f>
        <v/>
      </c>
      <c r="J53" s="69" t="str">
        <f>IF(H53="","",MROUND(H53*Settings!$B$17,Settings!$B$19))</f>
        <v/>
      </c>
      <c r="K53" s="69" t="str">
        <f>IF(OR(I53="",J53=""),"",MROUND(MIN(I53,J53),Settings!$B$19))</f>
        <v/>
      </c>
      <c r="L53" s="65"/>
      <c r="M53" s="69" t="str">
        <f>IF(OR(E53="",L53=""),"",MROUND(MIN(E53*Settings!$B$16,L53*Settings!$B$17),Settings!$B$19))</f>
        <v/>
      </c>
      <c r="N53" s="72" t="str">
        <f t="shared" si="10"/>
        <v/>
      </c>
      <c r="O53" s="62"/>
      <c r="P53" s="69" t="str">
        <f t="shared" si="0"/>
        <v/>
      </c>
      <c r="Q53" s="76">
        <f t="shared" si="9"/>
        <v>65</v>
      </c>
      <c r="R53" s="63"/>
      <c r="S53" s="69" t="str">
        <f t="shared" si="6"/>
        <v/>
      </c>
      <c r="T53" s="65"/>
      <c r="U53" s="69" t="str">
        <f t="shared" si="1"/>
        <v/>
      </c>
      <c r="V53" s="82" t="str">
        <f t="shared" si="2"/>
        <v/>
      </c>
      <c r="W53" s="65"/>
      <c r="X53" s="72" t="str">
        <f t="shared" si="3"/>
        <v/>
      </c>
    </row>
    <row r="54" ht="21" customHeight="1" spans="1:24">
      <c r="A54" s="61"/>
      <c r="B54" s="62"/>
      <c r="C54" s="63"/>
      <c r="D54" s="61"/>
      <c r="E54" s="65"/>
      <c r="F54" s="65"/>
      <c r="G54" s="65"/>
      <c r="H54" s="65"/>
      <c r="I54" s="69" t="str">
        <f>IF(E54="","",MROUND(E54*Settings!$B$16,Settings!$B$19))</f>
        <v/>
      </c>
      <c r="J54" s="69" t="str">
        <f>IF(H54="","",MROUND(H54*Settings!$B$17,Settings!$B$19))</f>
        <v/>
      </c>
      <c r="K54" s="69" t="str">
        <f>IF(OR(I54="",J54=""),"",MROUND(MIN(I54,J54),Settings!$B$19))</f>
        <v/>
      </c>
      <c r="L54" s="65"/>
      <c r="M54" s="69" t="str">
        <f>IF(OR(E54="",L54=""),"",MROUND(MIN(E54*Settings!$B$16,L54*Settings!$B$17),Settings!$B$19))</f>
        <v/>
      </c>
      <c r="N54" s="72" t="str">
        <f t="shared" si="10"/>
        <v/>
      </c>
      <c r="O54" s="62"/>
      <c r="P54" s="69" t="str">
        <f t="shared" si="0"/>
        <v/>
      </c>
      <c r="Q54" s="76">
        <f t="shared" si="9"/>
        <v>65</v>
      </c>
      <c r="R54" s="63"/>
      <c r="S54" s="69" t="str">
        <f t="shared" si="6"/>
        <v/>
      </c>
      <c r="T54" s="65"/>
      <c r="U54" s="69" t="str">
        <f t="shared" si="1"/>
        <v/>
      </c>
      <c r="V54" s="82" t="str">
        <f t="shared" si="2"/>
        <v/>
      </c>
      <c r="W54" s="65"/>
      <c r="X54" s="72" t="str">
        <f t="shared" si="3"/>
        <v/>
      </c>
    </row>
    <row r="55" ht="21" customHeight="1" spans="1:24">
      <c r="A55" s="61"/>
      <c r="B55" s="62"/>
      <c r="C55" s="63"/>
      <c r="D55" s="61"/>
      <c r="E55" s="65"/>
      <c r="F55" s="65"/>
      <c r="G55" s="65"/>
      <c r="H55" s="65"/>
      <c r="I55" s="69" t="str">
        <f>IF(E55="","",MROUND(E55*Settings!$B$16,Settings!$B$19))</f>
        <v/>
      </c>
      <c r="J55" s="69" t="str">
        <f>IF(H55="","",MROUND(H55*Settings!$B$17,Settings!$B$19))</f>
        <v/>
      </c>
      <c r="K55" s="69" t="str">
        <f>IF(OR(I55="",J55=""),"",MROUND(MIN(I55,J55),Settings!$B$19))</f>
        <v/>
      </c>
      <c r="L55" s="65"/>
      <c r="M55" s="69" t="str">
        <f>IF(OR(E55="",L55=""),"",MROUND(MIN(E55*Settings!$B$16,L55*Settings!$B$17),Settings!$B$19))</f>
        <v/>
      </c>
      <c r="N55" s="72" t="str">
        <f t="shared" si="10"/>
        <v/>
      </c>
      <c r="O55" s="62"/>
      <c r="P55" s="69" t="str">
        <f t="shared" si="0"/>
        <v/>
      </c>
      <c r="Q55" s="76">
        <f t="shared" ref="Q55:Q64" si="11">$B$7</f>
        <v>65</v>
      </c>
      <c r="R55" s="63"/>
      <c r="S55" s="69" t="str">
        <f t="shared" si="6"/>
        <v/>
      </c>
      <c r="T55" s="65"/>
      <c r="U55" s="69" t="str">
        <f t="shared" si="1"/>
        <v/>
      </c>
      <c r="V55" s="82" t="str">
        <f t="shared" si="2"/>
        <v/>
      </c>
      <c r="W55" s="65"/>
      <c r="X55" s="72" t="str">
        <f t="shared" si="3"/>
        <v/>
      </c>
    </row>
    <row r="56" ht="21" customHeight="1" spans="1:24">
      <c r="A56" s="61"/>
      <c r="B56" s="62"/>
      <c r="C56" s="63"/>
      <c r="D56" s="61"/>
      <c r="E56" s="65"/>
      <c r="F56" s="65"/>
      <c r="G56" s="65"/>
      <c r="H56" s="65"/>
      <c r="I56" s="69" t="str">
        <f>IF(E56="","",MROUND(E56*Settings!$B$16,Settings!$B$19))</f>
        <v/>
      </c>
      <c r="J56" s="69" t="str">
        <f>IF(H56="","",MROUND(H56*Settings!$B$17,Settings!$B$19))</f>
        <v/>
      </c>
      <c r="K56" s="69" t="str">
        <f>IF(OR(I56="",J56=""),"",MROUND(MIN(I56,J56),Settings!$B$19))</f>
        <v/>
      </c>
      <c r="L56" s="65"/>
      <c r="M56" s="69" t="str">
        <f>IF(OR(E56="",L56=""),"",MROUND(MIN(E56*Settings!$B$16,L56*Settings!$B$17),Settings!$B$19))</f>
        <v/>
      </c>
      <c r="N56" s="72" t="str">
        <f t="shared" si="10"/>
        <v/>
      </c>
      <c r="O56" s="62"/>
      <c r="P56" s="69" t="str">
        <f t="shared" si="0"/>
        <v/>
      </c>
      <c r="Q56" s="76">
        <f t="shared" si="11"/>
        <v>65</v>
      </c>
      <c r="R56" s="63"/>
      <c r="S56" s="69" t="str">
        <f t="shared" si="6"/>
        <v/>
      </c>
      <c r="T56" s="65"/>
      <c r="U56" s="69" t="str">
        <f t="shared" si="1"/>
        <v/>
      </c>
      <c r="V56" s="82" t="str">
        <f t="shared" si="2"/>
        <v/>
      </c>
      <c r="W56" s="65"/>
      <c r="X56" s="72" t="str">
        <f t="shared" si="3"/>
        <v/>
      </c>
    </row>
    <row r="57" ht="21" customHeight="1" spans="1:24">
      <c r="A57" s="61"/>
      <c r="B57" s="62"/>
      <c r="C57" s="63"/>
      <c r="D57" s="61"/>
      <c r="E57" s="65"/>
      <c r="F57" s="65"/>
      <c r="G57" s="65"/>
      <c r="H57" s="65"/>
      <c r="I57" s="69" t="str">
        <f>IF(E57="","",MROUND(E57*Settings!$B$16,Settings!$B$19))</f>
        <v/>
      </c>
      <c r="J57" s="69" t="str">
        <f>IF(H57="","",MROUND(H57*Settings!$B$17,Settings!$B$19))</f>
        <v/>
      </c>
      <c r="K57" s="69" t="str">
        <f>IF(OR(I57="",J57=""),"",MROUND(MIN(I57,J57),Settings!$B$19))</f>
        <v/>
      </c>
      <c r="L57" s="65"/>
      <c r="M57" s="69" t="str">
        <f>IF(OR(E57="",L57=""),"",MROUND(MIN(E57*Settings!$B$16,L57*Settings!$B$17),Settings!$B$19))</f>
        <v/>
      </c>
      <c r="N57" s="72" t="str">
        <f t="shared" si="10"/>
        <v/>
      </c>
      <c r="O57" s="62"/>
      <c r="P57" s="69" t="str">
        <f t="shared" si="0"/>
        <v/>
      </c>
      <c r="Q57" s="76">
        <f t="shared" si="11"/>
        <v>65</v>
      </c>
      <c r="R57" s="63"/>
      <c r="S57" s="69" t="str">
        <f t="shared" si="6"/>
        <v/>
      </c>
      <c r="T57" s="65"/>
      <c r="U57" s="69" t="str">
        <f t="shared" si="1"/>
        <v/>
      </c>
      <c r="V57" s="82" t="str">
        <f t="shared" si="2"/>
        <v/>
      </c>
      <c r="W57" s="65"/>
      <c r="X57" s="72" t="str">
        <f t="shared" si="3"/>
        <v/>
      </c>
    </row>
    <row r="58" ht="21" customHeight="1" spans="1:24">
      <c r="A58" s="61"/>
      <c r="B58" s="62"/>
      <c r="C58" s="63"/>
      <c r="D58" s="61"/>
      <c r="E58" s="65"/>
      <c r="F58" s="65"/>
      <c r="G58" s="65"/>
      <c r="H58" s="65"/>
      <c r="I58" s="69" t="str">
        <f>IF(E58="","",MROUND(E58*Settings!$B$16,Settings!$B$19))</f>
        <v/>
      </c>
      <c r="J58" s="69" t="str">
        <f>IF(H58="","",MROUND(H58*Settings!$B$17,Settings!$B$19))</f>
        <v/>
      </c>
      <c r="K58" s="69" t="str">
        <f>IF(OR(I58="",J58=""),"",MROUND(MIN(I58,J58),Settings!$B$19))</f>
        <v/>
      </c>
      <c r="L58" s="65"/>
      <c r="M58" s="69" t="str">
        <f>IF(OR(E58="",L58=""),"",MROUND(MIN(E58*Settings!$B$16,L58*Settings!$B$17),Settings!$B$19))</f>
        <v/>
      </c>
      <c r="N58" s="72" t="str">
        <f t="shared" si="10"/>
        <v/>
      </c>
      <c r="O58" s="62"/>
      <c r="P58" s="69" t="str">
        <f t="shared" si="0"/>
        <v/>
      </c>
      <c r="Q58" s="76">
        <f t="shared" si="11"/>
        <v>65</v>
      </c>
      <c r="R58" s="63"/>
      <c r="S58" s="69" t="str">
        <f t="shared" si="6"/>
        <v/>
      </c>
      <c r="T58" s="65"/>
      <c r="U58" s="69" t="str">
        <f t="shared" si="1"/>
        <v/>
      </c>
      <c r="V58" s="82" t="str">
        <f t="shared" si="2"/>
        <v/>
      </c>
      <c r="W58" s="65"/>
      <c r="X58" s="72" t="str">
        <f t="shared" si="3"/>
        <v/>
      </c>
    </row>
    <row r="59" ht="21" customHeight="1" spans="1:24">
      <c r="A59" s="61"/>
      <c r="B59" s="62"/>
      <c r="C59" s="63"/>
      <c r="D59" s="61"/>
      <c r="E59" s="65"/>
      <c r="F59" s="65"/>
      <c r="G59" s="65"/>
      <c r="H59" s="65"/>
      <c r="I59" s="69" t="str">
        <f>IF(E59="","",MROUND(E59*Settings!$B$16,Settings!$B$19))</f>
        <v/>
      </c>
      <c r="J59" s="69" t="str">
        <f>IF(H59="","",MROUND(H59*Settings!$B$17,Settings!$B$19))</f>
        <v/>
      </c>
      <c r="K59" s="69" t="str">
        <f>IF(OR(I59="",J59=""),"",MROUND(MIN(I59,J59),Settings!$B$19))</f>
        <v/>
      </c>
      <c r="L59" s="65"/>
      <c r="M59" s="69" t="str">
        <f>IF(OR(E59="",L59=""),"",MROUND(MIN(E59*Settings!$B$16,L59*Settings!$B$17),Settings!$B$19))</f>
        <v/>
      </c>
      <c r="N59" s="72" t="str">
        <f t="shared" si="10"/>
        <v/>
      </c>
      <c r="O59" s="62"/>
      <c r="P59" s="69" t="str">
        <f t="shared" si="0"/>
        <v/>
      </c>
      <c r="Q59" s="76">
        <f t="shared" si="11"/>
        <v>65</v>
      </c>
      <c r="R59" s="63"/>
      <c r="S59" s="69" t="str">
        <f t="shared" si="6"/>
        <v/>
      </c>
      <c r="T59" s="65"/>
      <c r="U59" s="69" t="str">
        <f t="shared" si="1"/>
        <v/>
      </c>
      <c r="V59" s="82" t="str">
        <f t="shared" si="2"/>
        <v/>
      </c>
      <c r="W59" s="65"/>
      <c r="X59" s="72" t="str">
        <f t="shared" si="3"/>
        <v/>
      </c>
    </row>
    <row r="60" ht="21" customHeight="1" spans="1:24">
      <c r="A60" s="61"/>
      <c r="B60" s="62"/>
      <c r="C60" s="63"/>
      <c r="D60" s="61"/>
      <c r="E60" s="65"/>
      <c r="F60" s="65"/>
      <c r="G60" s="65"/>
      <c r="H60" s="65"/>
      <c r="I60" s="69" t="str">
        <f>IF(E60="","",MROUND(E60*Settings!$B$16,Settings!$B$19))</f>
        <v/>
      </c>
      <c r="J60" s="69" t="str">
        <f>IF(H60="","",MROUND(H60*Settings!$B$17,Settings!$B$19))</f>
        <v/>
      </c>
      <c r="K60" s="69" t="str">
        <f>IF(OR(I60="",J60=""),"",MROUND(MIN(I60,J60),Settings!$B$19))</f>
        <v/>
      </c>
      <c r="L60" s="65"/>
      <c r="M60" s="69" t="str">
        <f>IF(OR(E60="",L60=""),"",MROUND(MIN(E60*Settings!$B$16,L60*Settings!$B$17),Settings!$B$19))</f>
        <v/>
      </c>
      <c r="N60" s="72" t="str">
        <f t="shared" si="10"/>
        <v/>
      </c>
      <c r="O60" s="62"/>
      <c r="P60" s="69" t="str">
        <f t="shared" si="0"/>
        <v/>
      </c>
      <c r="Q60" s="76">
        <f t="shared" si="11"/>
        <v>65</v>
      </c>
      <c r="R60" s="63"/>
      <c r="S60" s="69" t="str">
        <f t="shared" si="6"/>
        <v/>
      </c>
      <c r="T60" s="65"/>
      <c r="U60" s="69" t="str">
        <f t="shared" si="1"/>
        <v/>
      </c>
      <c r="V60" s="82" t="str">
        <f t="shared" si="2"/>
        <v/>
      </c>
      <c r="W60" s="65"/>
      <c r="X60" s="72" t="str">
        <f t="shared" si="3"/>
        <v/>
      </c>
    </row>
    <row r="61" ht="21" customHeight="1" spans="1:24">
      <c r="A61" s="61"/>
      <c r="B61" s="62"/>
      <c r="C61" s="63"/>
      <c r="D61" s="61"/>
      <c r="E61" s="65"/>
      <c r="F61" s="65"/>
      <c r="G61" s="65"/>
      <c r="H61" s="65"/>
      <c r="I61" s="69" t="str">
        <f>IF(E61="","",MROUND(E61*Settings!$B$16,Settings!$B$19))</f>
        <v/>
      </c>
      <c r="J61" s="69" t="str">
        <f>IF(H61="","",MROUND(H61*Settings!$B$17,Settings!$B$19))</f>
        <v/>
      </c>
      <c r="K61" s="69" t="str">
        <f>IF(OR(I61="",J61=""),"",MROUND(MIN(I61,J61),Settings!$B$19))</f>
        <v/>
      </c>
      <c r="L61" s="65"/>
      <c r="M61" s="69" t="str">
        <f>IF(OR(E61="",L61=""),"",MROUND(MIN(E61*Settings!$B$16,L61*Settings!$B$17),Settings!$B$19))</f>
        <v/>
      </c>
      <c r="N61" s="72" t="str">
        <f t="shared" si="10"/>
        <v/>
      </c>
      <c r="O61" s="62"/>
      <c r="P61" s="69" t="str">
        <f t="shared" si="0"/>
        <v/>
      </c>
      <c r="Q61" s="76">
        <f t="shared" si="11"/>
        <v>65</v>
      </c>
      <c r="R61" s="63"/>
      <c r="S61" s="69" t="str">
        <f t="shared" si="6"/>
        <v/>
      </c>
      <c r="T61" s="65"/>
      <c r="U61" s="69" t="str">
        <f t="shared" si="1"/>
        <v/>
      </c>
      <c r="V61" s="82" t="str">
        <f t="shared" si="2"/>
        <v/>
      </c>
      <c r="W61" s="65"/>
      <c r="X61" s="72" t="str">
        <f t="shared" si="3"/>
        <v/>
      </c>
    </row>
    <row r="62" ht="21" customHeight="1" spans="1:24">
      <c r="A62" s="61"/>
      <c r="B62" s="62"/>
      <c r="C62" s="63"/>
      <c r="D62" s="61"/>
      <c r="E62" s="65"/>
      <c r="F62" s="65"/>
      <c r="G62" s="65"/>
      <c r="H62" s="65"/>
      <c r="I62" s="69" t="str">
        <f>IF(E62="","",MROUND(E62*Settings!$B$16,Settings!$B$19))</f>
        <v/>
      </c>
      <c r="J62" s="69" t="str">
        <f>IF(H62="","",MROUND(H62*Settings!$B$17,Settings!$B$19))</f>
        <v/>
      </c>
      <c r="K62" s="69" t="str">
        <f>IF(OR(I62="",J62=""),"",MROUND(MIN(I62,J62),Settings!$B$19))</f>
        <v/>
      </c>
      <c r="L62" s="65"/>
      <c r="M62" s="69" t="str">
        <f>IF(OR(E62="",L62=""),"",MROUND(MIN(E62*Settings!$B$16,L62*Settings!$B$17),Settings!$B$19))</f>
        <v/>
      </c>
      <c r="N62" s="72" t="str">
        <f t="shared" si="10"/>
        <v/>
      </c>
      <c r="O62" s="62"/>
      <c r="P62" s="69" t="str">
        <f t="shared" si="0"/>
        <v/>
      </c>
      <c r="Q62" s="76">
        <f t="shared" si="11"/>
        <v>65</v>
      </c>
      <c r="R62" s="63"/>
      <c r="S62" s="69" t="str">
        <f t="shared" si="6"/>
        <v/>
      </c>
      <c r="T62" s="65"/>
      <c r="U62" s="69" t="str">
        <f t="shared" si="1"/>
        <v/>
      </c>
      <c r="V62" s="82" t="str">
        <f t="shared" si="2"/>
        <v/>
      </c>
      <c r="W62" s="65"/>
      <c r="X62" s="72" t="str">
        <f t="shared" si="3"/>
        <v/>
      </c>
    </row>
    <row r="63" ht="21" customHeight="1" spans="1:24">
      <c r="A63" s="61"/>
      <c r="B63" s="62"/>
      <c r="C63" s="63"/>
      <c r="D63" s="61"/>
      <c r="E63" s="65"/>
      <c r="F63" s="65"/>
      <c r="G63" s="65"/>
      <c r="H63" s="65"/>
      <c r="I63" s="69" t="str">
        <f>IF(E63="","",MROUND(E63*Settings!$B$16,Settings!$B$19))</f>
        <v/>
      </c>
      <c r="J63" s="69" t="str">
        <f>IF(H63="","",MROUND(H63*Settings!$B$17,Settings!$B$19))</f>
        <v/>
      </c>
      <c r="K63" s="69" t="str">
        <f>IF(OR(I63="",J63=""),"",MROUND(MIN(I63,J63),Settings!$B$19))</f>
        <v/>
      </c>
      <c r="L63" s="65"/>
      <c r="M63" s="69" t="str">
        <f>IF(OR(E63="",L63=""),"",MROUND(MIN(E63*Settings!$B$16,L63*Settings!$B$17),Settings!$B$19))</f>
        <v/>
      </c>
      <c r="N63" s="72" t="str">
        <f t="shared" si="10"/>
        <v/>
      </c>
      <c r="O63" s="62"/>
      <c r="P63" s="69" t="str">
        <f t="shared" si="0"/>
        <v/>
      </c>
      <c r="Q63" s="76">
        <f t="shared" si="11"/>
        <v>65</v>
      </c>
      <c r="R63" s="63"/>
      <c r="S63" s="69" t="str">
        <f t="shared" si="6"/>
        <v/>
      </c>
      <c r="T63" s="65"/>
      <c r="U63" s="69" t="str">
        <f t="shared" si="1"/>
        <v/>
      </c>
      <c r="V63" s="82" t="str">
        <f t="shared" si="2"/>
        <v/>
      </c>
      <c r="W63" s="65"/>
      <c r="X63" s="72" t="str">
        <f t="shared" si="3"/>
        <v/>
      </c>
    </row>
    <row r="64" ht="21" customHeight="1" spans="1:24">
      <c r="A64" s="61"/>
      <c r="B64" s="62"/>
      <c r="C64" s="63"/>
      <c r="D64" s="61"/>
      <c r="E64" s="65"/>
      <c r="F64" s="65"/>
      <c r="G64" s="65"/>
      <c r="H64" s="65"/>
      <c r="I64" s="69" t="str">
        <f>IF(E64="","",MROUND(E64*Settings!$B$16,Settings!$B$19))</f>
        <v/>
      </c>
      <c r="J64" s="69" t="str">
        <f>IF(H64="","",MROUND(H64*Settings!$B$17,Settings!$B$19))</f>
        <v/>
      </c>
      <c r="K64" s="69" t="str">
        <f>IF(OR(I64="",J64=""),"",MROUND(MIN(I64,J64),Settings!$B$19))</f>
        <v/>
      </c>
      <c r="L64" s="65"/>
      <c r="M64" s="69" t="str">
        <f>IF(OR(E64="",L64=""),"",MROUND(MIN(E64*Settings!$B$16,L64*Settings!$B$17),Settings!$B$19))</f>
        <v/>
      </c>
      <c r="N64" s="72" t="str">
        <f t="shared" si="10"/>
        <v/>
      </c>
      <c r="O64" s="62"/>
      <c r="P64" s="69" t="str">
        <f t="shared" si="0"/>
        <v/>
      </c>
      <c r="Q64" s="76">
        <f t="shared" si="11"/>
        <v>65</v>
      </c>
      <c r="R64" s="63"/>
      <c r="S64" s="69" t="str">
        <f t="shared" si="6"/>
        <v/>
      </c>
      <c r="T64" s="65"/>
      <c r="U64" s="69" t="str">
        <f t="shared" si="1"/>
        <v/>
      </c>
      <c r="V64" s="82" t="str">
        <f t="shared" si="2"/>
        <v/>
      </c>
      <c r="W64" s="65"/>
      <c r="X64" s="72" t="str">
        <f t="shared" si="3"/>
        <v/>
      </c>
    </row>
    <row r="65" ht="21" customHeight="1" spans="1:24">
      <c r="A65" s="61"/>
      <c r="B65" s="62"/>
      <c r="C65" s="63"/>
      <c r="D65" s="61"/>
      <c r="E65" s="65"/>
      <c r="F65" s="65"/>
      <c r="G65" s="65"/>
      <c r="H65" s="65"/>
      <c r="I65" s="69" t="str">
        <f>IF(E65="","",MROUND(E65*Settings!$B$16,Settings!$B$19))</f>
        <v/>
      </c>
      <c r="J65" s="69" t="str">
        <f>IF(H65="","",MROUND(H65*Settings!$B$17,Settings!$B$19))</f>
        <v/>
      </c>
      <c r="K65" s="69" t="str">
        <f>IF(OR(I65="",J65=""),"",MROUND(MIN(I65,J65),Settings!$B$19))</f>
        <v/>
      </c>
      <c r="L65" s="65"/>
      <c r="M65" s="69" t="str">
        <f>IF(OR(E65="",L65=""),"",MROUND(MIN(E65*Settings!$B$16,L65*Settings!$B$17),Settings!$B$19))</f>
        <v/>
      </c>
      <c r="N65" s="72" t="str">
        <f t="shared" si="10"/>
        <v/>
      </c>
      <c r="O65" s="62"/>
      <c r="P65" s="69" t="str">
        <f t="shared" si="0"/>
        <v/>
      </c>
      <c r="Q65" s="76">
        <f t="shared" ref="Q65:Q74" si="12">$B$7</f>
        <v>65</v>
      </c>
      <c r="R65" s="63"/>
      <c r="S65" s="69" t="str">
        <f t="shared" si="6"/>
        <v/>
      </c>
      <c r="T65" s="65"/>
      <c r="U65" s="69" t="str">
        <f t="shared" si="1"/>
        <v/>
      </c>
      <c r="V65" s="82" t="str">
        <f t="shared" si="2"/>
        <v/>
      </c>
      <c r="W65" s="65"/>
      <c r="X65" s="72" t="str">
        <f t="shared" si="3"/>
        <v/>
      </c>
    </row>
    <row r="66" ht="21" customHeight="1" spans="1:24">
      <c r="A66" s="61"/>
      <c r="B66" s="62"/>
      <c r="C66" s="63"/>
      <c r="D66" s="61"/>
      <c r="E66" s="65"/>
      <c r="F66" s="65"/>
      <c r="G66" s="65"/>
      <c r="H66" s="65"/>
      <c r="I66" s="69" t="str">
        <f>IF(E66="","",MROUND(E66*Settings!$B$16,Settings!$B$19))</f>
        <v/>
      </c>
      <c r="J66" s="69" t="str">
        <f>IF(H66="","",MROUND(H66*Settings!$B$17,Settings!$B$19))</f>
        <v/>
      </c>
      <c r="K66" s="69" t="str">
        <f>IF(OR(I66="",J66=""),"",MROUND(MIN(I66,J66),Settings!$B$19))</f>
        <v/>
      </c>
      <c r="L66" s="65"/>
      <c r="M66" s="69" t="str">
        <f>IF(OR(E66="",L66=""),"",MROUND(MIN(E66*Settings!$B$16,L66*Settings!$B$17),Settings!$B$19))</f>
        <v/>
      </c>
      <c r="N66" s="72" t="str">
        <f t="shared" si="10"/>
        <v/>
      </c>
      <c r="O66" s="62"/>
      <c r="P66" s="69" t="str">
        <f t="shared" si="0"/>
        <v/>
      </c>
      <c r="Q66" s="76">
        <f t="shared" si="12"/>
        <v>65</v>
      </c>
      <c r="R66" s="63"/>
      <c r="S66" s="69" t="str">
        <f t="shared" si="6"/>
        <v/>
      </c>
      <c r="T66" s="65"/>
      <c r="U66" s="69" t="str">
        <f t="shared" si="1"/>
        <v/>
      </c>
      <c r="V66" s="82" t="str">
        <f t="shared" si="2"/>
        <v/>
      </c>
      <c r="W66" s="65"/>
      <c r="X66" s="72" t="str">
        <f t="shared" si="3"/>
        <v/>
      </c>
    </row>
    <row r="67" ht="21" customHeight="1" spans="1:24">
      <c r="A67" s="61"/>
      <c r="B67" s="62"/>
      <c r="C67" s="63"/>
      <c r="D67" s="61"/>
      <c r="E67" s="65"/>
      <c r="F67" s="65"/>
      <c r="G67" s="65"/>
      <c r="H67" s="65"/>
      <c r="I67" s="69" t="str">
        <f>IF(E67="","",MROUND(E67*Settings!$B$16,Settings!$B$19))</f>
        <v/>
      </c>
      <c r="J67" s="69" t="str">
        <f>IF(H67="","",MROUND(H67*Settings!$B$17,Settings!$B$19))</f>
        <v/>
      </c>
      <c r="K67" s="69" t="str">
        <f>IF(OR(I67="",J67=""),"",MROUND(MIN(I67,J67),Settings!$B$19))</f>
        <v/>
      </c>
      <c r="L67" s="65"/>
      <c r="M67" s="69" t="str">
        <f>IF(OR(E67="",L67=""),"",MROUND(MIN(E67*Settings!$B$16,L67*Settings!$B$17),Settings!$B$19))</f>
        <v/>
      </c>
      <c r="N67" s="72" t="str">
        <f t="shared" si="10"/>
        <v/>
      </c>
      <c r="O67" s="62"/>
      <c r="P67" s="69" t="str">
        <f t="shared" si="0"/>
        <v/>
      </c>
      <c r="Q67" s="76">
        <f t="shared" si="12"/>
        <v>65</v>
      </c>
      <c r="R67" s="63"/>
      <c r="S67" s="69" t="str">
        <f t="shared" si="6"/>
        <v/>
      </c>
      <c r="T67" s="65"/>
      <c r="U67" s="69" t="str">
        <f t="shared" si="1"/>
        <v/>
      </c>
      <c r="V67" s="82" t="str">
        <f t="shared" si="2"/>
        <v/>
      </c>
      <c r="W67" s="65"/>
      <c r="X67" s="72" t="str">
        <f t="shared" si="3"/>
        <v/>
      </c>
    </row>
    <row r="68" ht="21" customHeight="1" spans="1:24">
      <c r="A68" s="61"/>
      <c r="B68" s="62"/>
      <c r="C68" s="63"/>
      <c r="D68" s="61"/>
      <c r="E68" s="65"/>
      <c r="F68" s="65"/>
      <c r="G68" s="65"/>
      <c r="H68" s="65"/>
      <c r="I68" s="69" t="str">
        <f>IF(E68="","",MROUND(E68*Settings!$B$16,Settings!$B$19))</f>
        <v/>
      </c>
      <c r="J68" s="69" t="str">
        <f>IF(H68="","",MROUND(H68*Settings!$B$17,Settings!$B$19))</f>
        <v/>
      </c>
      <c r="K68" s="69" t="str">
        <f>IF(OR(I68="",J68=""),"",MROUND(MIN(I68,J68),Settings!$B$19))</f>
        <v/>
      </c>
      <c r="L68" s="65"/>
      <c r="M68" s="69" t="str">
        <f>IF(OR(E68="",L68=""),"",MROUND(MIN(E68*Settings!$B$16,L68*Settings!$B$17),Settings!$B$19))</f>
        <v/>
      </c>
      <c r="N68" s="72" t="str">
        <f t="shared" si="10"/>
        <v/>
      </c>
      <c r="O68" s="62"/>
      <c r="P68" s="69" t="str">
        <f t="shared" si="0"/>
        <v/>
      </c>
      <c r="Q68" s="76">
        <f t="shared" si="12"/>
        <v>65</v>
      </c>
      <c r="R68" s="63"/>
      <c r="S68" s="69" t="str">
        <f t="shared" si="6"/>
        <v/>
      </c>
      <c r="T68" s="65"/>
      <c r="U68" s="69" t="str">
        <f t="shared" si="1"/>
        <v/>
      </c>
      <c r="V68" s="82" t="str">
        <f t="shared" si="2"/>
        <v/>
      </c>
      <c r="W68" s="65"/>
      <c r="X68" s="72" t="str">
        <f t="shared" si="3"/>
        <v/>
      </c>
    </row>
    <row r="69" ht="21" customHeight="1" spans="1:24">
      <c r="A69" s="61"/>
      <c r="B69" s="62"/>
      <c r="C69" s="63"/>
      <c r="D69" s="61"/>
      <c r="E69" s="65"/>
      <c r="F69" s="65"/>
      <c r="G69" s="65"/>
      <c r="H69" s="65"/>
      <c r="I69" s="69" t="str">
        <f>IF(E69="","",MROUND(E69*Settings!$B$16,Settings!$B$19))</f>
        <v/>
      </c>
      <c r="J69" s="69" t="str">
        <f>IF(H69="","",MROUND(H69*Settings!$B$17,Settings!$B$19))</f>
        <v/>
      </c>
      <c r="K69" s="69" t="str">
        <f>IF(OR(I69="",J69=""),"",MROUND(MIN(I69,J69),Settings!$B$19))</f>
        <v/>
      </c>
      <c r="L69" s="65"/>
      <c r="M69" s="69" t="str">
        <f>IF(OR(E69="",L69=""),"",MROUND(MIN(E69*Settings!$B$16,L69*Settings!$B$17),Settings!$B$19))</f>
        <v/>
      </c>
      <c r="N69" s="72" t="str">
        <f t="shared" si="10"/>
        <v/>
      </c>
      <c r="O69" s="62"/>
      <c r="P69" s="69" t="str">
        <f t="shared" si="0"/>
        <v/>
      </c>
      <c r="Q69" s="76">
        <f t="shared" si="12"/>
        <v>65</v>
      </c>
      <c r="R69" s="63"/>
      <c r="S69" s="69" t="str">
        <f t="shared" si="6"/>
        <v/>
      </c>
      <c r="T69" s="65"/>
      <c r="U69" s="69" t="str">
        <f t="shared" si="1"/>
        <v/>
      </c>
      <c r="V69" s="82" t="str">
        <f t="shared" si="2"/>
        <v/>
      </c>
      <c r="W69" s="65"/>
      <c r="X69" s="72" t="str">
        <f t="shared" si="3"/>
        <v/>
      </c>
    </row>
    <row r="70" ht="21" customHeight="1" spans="1:24">
      <c r="A70" s="61"/>
      <c r="B70" s="62"/>
      <c r="C70" s="63"/>
      <c r="D70" s="61"/>
      <c r="E70" s="65"/>
      <c r="F70" s="65"/>
      <c r="G70" s="65"/>
      <c r="H70" s="65"/>
      <c r="I70" s="69" t="str">
        <f>IF(E70="","",MROUND(E70*Settings!$B$16,Settings!$B$19))</f>
        <v/>
      </c>
      <c r="J70" s="69" t="str">
        <f>IF(H70="","",MROUND(H70*Settings!$B$17,Settings!$B$19))</f>
        <v/>
      </c>
      <c r="K70" s="69" t="str">
        <f>IF(OR(I70="",J70=""),"",MROUND(MIN(I70,J70),Settings!$B$19))</f>
        <v/>
      </c>
      <c r="L70" s="65"/>
      <c r="M70" s="69" t="str">
        <f>IF(OR(E70="",L70=""),"",MROUND(MIN(E70*Settings!$B$16,L70*Settings!$B$17),Settings!$B$19))</f>
        <v/>
      </c>
      <c r="N70" s="72" t="str">
        <f t="shared" si="10"/>
        <v/>
      </c>
      <c r="O70" s="62"/>
      <c r="P70" s="69" t="str">
        <f t="shared" si="0"/>
        <v/>
      </c>
      <c r="Q70" s="76">
        <f t="shared" si="12"/>
        <v>65</v>
      </c>
      <c r="R70" s="63"/>
      <c r="S70" s="69" t="str">
        <f t="shared" si="6"/>
        <v/>
      </c>
      <c r="T70" s="65"/>
      <c r="U70" s="69" t="str">
        <f t="shared" si="1"/>
        <v/>
      </c>
      <c r="V70" s="82" t="str">
        <f t="shared" si="2"/>
        <v/>
      </c>
      <c r="W70" s="65"/>
      <c r="X70" s="72" t="str">
        <f t="shared" si="3"/>
        <v/>
      </c>
    </row>
    <row r="71" ht="21" customHeight="1" spans="1:24">
      <c r="A71" s="61"/>
      <c r="B71" s="62"/>
      <c r="C71" s="63"/>
      <c r="D71" s="61"/>
      <c r="E71" s="65"/>
      <c r="F71" s="65"/>
      <c r="G71" s="65"/>
      <c r="H71" s="65"/>
      <c r="I71" s="69" t="str">
        <f>IF(E71="","",MROUND(E71*Settings!$B$16,Settings!$B$19))</f>
        <v/>
      </c>
      <c r="J71" s="69" t="str">
        <f>IF(H71="","",MROUND(H71*Settings!$B$17,Settings!$B$19))</f>
        <v/>
      </c>
      <c r="K71" s="69" t="str">
        <f>IF(OR(I71="",J71=""),"",MROUND(MIN(I71,J71),Settings!$B$19))</f>
        <v/>
      </c>
      <c r="L71" s="65"/>
      <c r="M71" s="69" t="str">
        <f>IF(OR(E71="",L71=""),"",MROUND(MIN(E71*Settings!$B$16,L71*Settings!$B$17),Settings!$B$19))</f>
        <v/>
      </c>
      <c r="N71" s="72" t="str">
        <f t="shared" si="10"/>
        <v/>
      </c>
      <c r="O71" s="62"/>
      <c r="P71" s="69" t="str">
        <f t="shared" si="0"/>
        <v/>
      </c>
      <c r="Q71" s="76">
        <f t="shared" si="12"/>
        <v>65</v>
      </c>
      <c r="R71" s="63"/>
      <c r="S71" s="69" t="str">
        <f t="shared" si="6"/>
        <v/>
      </c>
      <c r="T71" s="65"/>
      <c r="U71" s="69" t="str">
        <f t="shared" si="1"/>
        <v/>
      </c>
      <c r="V71" s="82" t="str">
        <f t="shared" si="2"/>
        <v/>
      </c>
      <c r="W71" s="65"/>
      <c r="X71" s="72" t="str">
        <f t="shared" si="3"/>
        <v/>
      </c>
    </row>
    <row r="72" ht="21" customHeight="1" spans="1:24">
      <c r="A72" s="61"/>
      <c r="B72" s="62"/>
      <c r="C72" s="63"/>
      <c r="D72" s="61"/>
      <c r="E72" s="65"/>
      <c r="F72" s="65"/>
      <c r="G72" s="65"/>
      <c r="H72" s="65"/>
      <c r="I72" s="69" t="str">
        <f>IF(E72="","",MROUND(E72*Settings!$B$16,Settings!$B$19))</f>
        <v/>
      </c>
      <c r="J72" s="69" t="str">
        <f>IF(H72="","",MROUND(H72*Settings!$B$17,Settings!$B$19))</f>
        <v/>
      </c>
      <c r="K72" s="69" t="str">
        <f>IF(OR(I72="",J72=""),"",MROUND(MIN(I72,J72),Settings!$B$19))</f>
        <v/>
      </c>
      <c r="L72" s="65"/>
      <c r="M72" s="69" t="str">
        <f>IF(OR(E72="",L72=""),"",MROUND(MIN(E72*Settings!$B$16,L72*Settings!$B$17),Settings!$B$19))</f>
        <v/>
      </c>
      <c r="N72" s="72" t="str">
        <f t="shared" si="10"/>
        <v/>
      </c>
      <c r="O72" s="62"/>
      <c r="P72" s="69" t="str">
        <f t="shared" si="0"/>
        <v/>
      </c>
      <c r="Q72" s="76">
        <f t="shared" si="12"/>
        <v>65</v>
      </c>
      <c r="R72" s="63"/>
      <c r="S72" s="69" t="str">
        <f t="shared" si="6"/>
        <v/>
      </c>
      <c r="T72" s="65"/>
      <c r="U72" s="69" t="str">
        <f t="shared" si="1"/>
        <v/>
      </c>
      <c r="V72" s="82" t="str">
        <f t="shared" si="2"/>
        <v/>
      </c>
      <c r="W72" s="65"/>
      <c r="X72" s="72" t="str">
        <f t="shared" si="3"/>
        <v/>
      </c>
    </row>
    <row r="73" ht="21" customHeight="1" spans="1:24">
      <c r="A73" s="61"/>
      <c r="B73" s="62"/>
      <c r="C73" s="63"/>
      <c r="D73" s="61"/>
      <c r="E73" s="65"/>
      <c r="F73" s="65"/>
      <c r="G73" s="65"/>
      <c r="H73" s="65"/>
      <c r="I73" s="69" t="str">
        <f>IF(E73="","",MROUND(E73*Settings!$B$16,Settings!$B$19))</f>
        <v/>
      </c>
      <c r="J73" s="69" t="str">
        <f>IF(H73="","",MROUND(H73*Settings!$B$17,Settings!$B$19))</f>
        <v/>
      </c>
      <c r="K73" s="69" t="str">
        <f>IF(OR(I73="",J73=""),"",MROUND(MIN(I73,J73),Settings!$B$19))</f>
        <v/>
      </c>
      <c r="L73" s="65"/>
      <c r="M73" s="69" t="str">
        <f>IF(OR(E73="",L73=""),"",MROUND(MIN(E73*Settings!$B$16,L73*Settings!$B$17),Settings!$B$19))</f>
        <v/>
      </c>
      <c r="N73" s="72" t="str">
        <f t="shared" si="10"/>
        <v/>
      </c>
      <c r="O73" s="62"/>
      <c r="P73" s="69" t="str">
        <f t="shared" si="0"/>
        <v/>
      </c>
      <c r="Q73" s="76">
        <f t="shared" si="12"/>
        <v>65</v>
      </c>
      <c r="R73" s="63"/>
      <c r="S73" s="69" t="str">
        <f t="shared" si="6"/>
        <v/>
      </c>
      <c r="T73" s="65"/>
      <c r="U73" s="69" t="str">
        <f t="shared" si="1"/>
        <v/>
      </c>
      <c r="V73" s="82" t="str">
        <f t="shared" si="2"/>
        <v/>
      </c>
      <c r="W73" s="65"/>
      <c r="X73" s="72" t="str">
        <f t="shared" si="3"/>
        <v/>
      </c>
    </row>
    <row r="74" ht="21" customHeight="1" spans="1:24">
      <c r="A74" s="61"/>
      <c r="B74" s="62"/>
      <c r="C74" s="63"/>
      <c r="D74" s="61"/>
      <c r="E74" s="65"/>
      <c r="F74" s="65"/>
      <c r="G74" s="65"/>
      <c r="H74" s="65"/>
      <c r="I74" s="69" t="str">
        <f>IF(E74="","",MROUND(E74*Settings!$B$16,Settings!$B$19))</f>
        <v/>
      </c>
      <c r="J74" s="69" t="str">
        <f>IF(H74="","",MROUND(H74*Settings!$B$17,Settings!$B$19))</f>
        <v/>
      </c>
      <c r="K74" s="69" t="str">
        <f>IF(OR(I74="",J74=""),"",MROUND(MIN(I74,J74),Settings!$B$19))</f>
        <v/>
      </c>
      <c r="L74" s="65"/>
      <c r="M74" s="69" t="str">
        <f>IF(OR(E74="",L74=""),"",MROUND(MIN(E74*Settings!$B$16,L74*Settings!$B$17),Settings!$B$19))</f>
        <v/>
      </c>
      <c r="N74" s="72" t="str">
        <f t="shared" si="10"/>
        <v/>
      </c>
      <c r="O74" s="62"/>
      <c r="P74" s="69" t="str">
        <f t="shared" si="0"/>
        <v/>
      </c>
      <c r="Q74" s="76">
        <f t="shared" si="12"/>
        <v>65</v>
      </c>
      <c r="R74" s="63"/>
      <c r="S74" s="69" t="str">
        <f t="shared" si="6"/>
        <v/>
      </c>
      <c r="T74" s="65"/>
      <c r="U74" s="69" t="str">
        <f t="shared" si="1"/>
        <v/>
      </c>
      <c r="V74" s="82" t="str">
        <f t="shared" si="2"/>
        <v/>
      </c>
      <c r="W74" s="65"/>
      <c r="X74" s="72" t="str">
        <f t="shared" si="3"/>
        <v/>
      </c>
    </row>
    <row r="75" ht="21" customHeight="1" spans="1:24">
      <c r="A75" s="61"/>
      <c r="B75" s="62"/>
      <c r="C75" s="63"/>
      <c r="D75" s="61"/>
      <c r="E75" s="65"/>
      <c r="F75" s="65"/>
      <c r="G75" s="65"/>
      <c r="H75" s="65"/>
      <c r="I75" s="69" t="str">
        <f>IF(E75="","",MROUND(E75*Settings!$B$16,Settings!$B$19))</f>
        <v/>
      </c>
      <c r="J75" s="69" t="str">
        <f>IF(H75="","",MROUND(H75*Settings!$B$17,Settings!$B$19))</f>
        <v/>
      </c>
      <c r="K75" s="69" t="str">
        <f>IF(OR(I75="",J75=""),"",MROUND(MIN(I75,J75),Settings!$B$19))</f>
        <v/>
      </c>
      <c r="L75" s="65"/>
      <c r="M75" s="69" t="str">
        <f>IF(OR(E75="",L75=""),"",MROUND(MIN(E75*Settings!$B$16,L75*Settings!$B$17),Settings!$B$19))</f>
        <v/>
      </c>
      <c r="N75" s="72" t="str">
        <f t="shared" si="10"/>
        <v/>
      </c>
      <c r="O75" s="62"/>
      <c r="P75" s="69" t="str">
        <f t="shared" si="0"/>
        <v/>
      </c>
      <c r="Q75" s="76">
        <f t="shared" ref="Q75:Q84" si="13">$B$7</f>
        <v>65</v>
      </c>
      <c r="R75" s="63"/>
      <c r="S75" s="69" t="str">
        <f t="shared" si="6"/>
        <v/>
      </c>
      <c r="T75" s="65"/>
      <c r="U75" s="69" t="str">
        <f t="shared" si="1"/>
        <v/>
      </c>
      <c r="V75" s="82" t="str">
        <f t="shared" si="2"/>
        <v/>
      </c>
      <c r="W75" s="65"/>
      <c r="X75" s="72" t="str">
        <f t="shared" si="3"/>
        <v/>
      </c>
    </row>
    <row r="76" ht="21" customHeight="1" spans="1:24">
      <c r="A76" s="61"/>
      <c r="B76" s="62"/>
      <c r="C76" s="63"/>
      <c r="D76" s="61"/>
      <c r="E76" s="65"/>
      <c r="F76" s="65"/>
      <c r="G76" s="65"/>
      <c r="H76" s="65"/>
      <c r="I76" s="69" t="str">
        <f>IF(E76="","",MROUND(E76*Settings!$B$16,Settings!$B$19))</f>
        <v/>
      </c>
      <c r="J76" s="69" t="str">
        <f>IF(H76="","",MROUND(H76*Settings!$B$17,Settings!$B$19))</f>
        <v/>
      </c>
      <c r="K76" s="69" t="str">
        <f>IF(OR(I76="",J76=""),"",MROUND(MIN(I76,J76),Settings!$B$19))</f>
        <v/>
      </c>
      <c r="L76" s="65"/>
      <c r="M76" s="69" t="str">
        <f>IF(OR(E76="",L76=""),"",MROUND(MIN(E76*Settings!$B$16,L76*Settings!$B$17),Settings!$B$19))</f>
        <v/>
      </c>
      <c r="N76" s="72" t="str">
        <f t="shared" si="10"/>
        <v/>
      </c>
      <c r="O76" s="62"/>
      <c r="P76" s="69" t="str">
        <f t="shared" si="0"/>
        <v/>
      </c>
      <c r="Q76" s="76">
        <f t="shared" si="13"/>
        <v>65</v>
      </c>
      <c r="R76" s="63"/>
      <c r="S76" s="69" t="str">
        <f t="shared" si="6"/>
        <v/>
      </c>
      <c r="T76" s="65"/>
      <c r="U76" s="69" t="str">
        <f t="shared" si="1"/>
        <v/>
      </c>
      <c r="V76" s="82" t="str">
        <f t="shared" si="2"/>
        <v/>
      </c>
      <c r="W76" s="65"/>
      <c r="X76" s="72" t="str">
        <f t="shared" si="3"/>
        <v/>
      </c>
    </row>
    <row r="77" ht="21" customHeight="1" spans="1:24">
      <c r="A77" s="61"/>
      <c r="B77" s="62"/>
      <c r="C77" s="63"/>
      <c r="D77" s="61"/>
      <c r="E77" s="65"/>
      <c r="F77" s="65"/>
      <c r="G77" s="65"/>
      <c r="H77" s="65"/>
      <c r="I77" s="69" t="str">
        <f>IF(E77="","",MROUND(E77*Settings!$B$16,Settings!$B$19))</f>
        <v/>
      </c>
      <c r="J77" s="69" t="str">
        <f>IF(H77="","",MROUND(H77*Settings!$B$17,Settings!$B$19))</f>
        <v/>
      </c>
      <c r="K77" s="69" t="str">
        <f>IF(OR(I77="",J77=""),"",MROUND(MIN(I77,J77),Settings!$B$19))</f>
        <v/>
      </c>
      <c r="L77" s="65"/>
      <c r="M77" s="69" t="str">
        <f>IF(OR(E77="",L77=""),"",MROUND(MIN(E77*Settings!$B$16,L77*Settings!$B$17),Settings!$B$19))</f>
        <v/>
      </c>
      <c r="N77" s="72" t="str">
        <f t="shared" si="10"/>
        <v/>
      </c>
      <c r="O77" s="62"/>
      <c r="P77" s="69" t="str">
        <f t="shared" si="0"/>
        <v/>
      </c>
      <c r="Q77" s="76">
        <f t="shared" si="13"/>
        <v>65</v>
      </c>
      <c r="R77" s="63"/>
      <c r="S77" s="69" t="str">
        <f t="shared" si="6"/>
        <v/>
      </c>
      <c r="T77" s="65"/>
      <c r="U77" s="69" t="str">
        <f t="shared" si="1"/>
        <v/>
      </c>
      <c r="V77" s="82" t="str">
        <f t="shared" si="2"/>
        <v/>
      </c>
      <c r="W77" s="65"/>
      <c r="X77" s="72" t="str">
        <f t="shared" si="3"/>
        <v/>
      </c>
    </row>
    <row r="78" ht="21" customHeight="1" spans="1:24">
      <c r="A78" s="61"/>
      <c r="B78" s="62"/>
      <c r="C78" s="63"/>
      <c r="D78" s="61"/>
      <c r="E78" s="65"/>
      <c r="F78" s="65"/>
      <c r="G78" s="65"/>
      <c r="H78" s="65"/>
      <c r="I78" s="69" t="str">
        <f>IF(E78="","",MROUND(E78*Settings!$B$16,Settings!$B$19))</f>
        <v/>
      </c>
      <c r="J78" s="69" t="str">
        <f>IF(H78="","",MROUND(H78*Settings!$B$17,Settings!$B$19))</f>
        <v/>
      </c>
      <c r="K78" s="69" t="str">
        <f>IF(OR(I78="",J78=""),"",MROUND(MIN(I78,J78),Settings!$B$19))</f>
        <v/>
      </c>
      <c r="L78" s="65"/>
      <c r="M78" s="69" t="str">
        <f>IF(OR(E78="",L78=""),"",MROUND(MIN(E78*Settings!$B$16,L78*Settings!$B$17),Settings!$B$19))</f>
        <v/>
      </c>
      <c r="N78" s="72" t="str">
        <f t="shared" si="10"/>
        <v/>
      </c>
      <c r="O78" s="62"/>
      <c r="P78" s="69" t="str">
        <f t="shared" ref="P78:P141" si="14">IF(O78="","",IF(O78="Target Hit",F78,IF(O78="Stoploss Hit",K78,IF(OR(O78="Gap Up Stoploss",O78="Gap Down Stoploss"),M78,IF(O78="Rollover",W78,"")))))</f>
        <v/>
      </c>
      <c r="Q78" s="76">
        <f t="shared" si="13"/>
        <v>65</v>
      </c>
      <c r="R78" s="63"/>
      <c r="S78" s="69" t="str">
        <f t="shared" ref="S78:S141" si="15">IF(OR(Q78="",R78=""),"",Q78*R78)</f>
        <v/>
      </c>
      <c r="T78" s="65"/>
      <c r="U78" s="69" t="str">
        <f t="shared" ref="U78:U141" si="16">IF(OR(E78="",P78="",S78=""),"",(E78-P78)*S78)</f>
        <v/>
      </c>
      <c r="V78" s="82" t="str">
        <f t="shared" ref="V78:V141" si="17">IF(OR(U78="",T78="",T78=0),"",U78/T78)</f>
        <v/>
      </c>
      <c r="W78" s="65"/>
      <c r="X78" s="72" t="str">
        <f t="shared" ref="X78:X141" si="18">IF(OR(B78="",O78=""),"",IF(AND(B78="CALL Sell",O78="Gap Up Stoploss"),"CHECK: CALL Sell uses Gap Down Stoploss",IF(AND(B78="PUT Sell",O78="Gap Down Stoploss"),"CHECK: PUT Sell uses Gap Up Stoploss",IF(AND(O78="Rollover",W78=""),"INPUT REQUIRED: Rollover exit price",IF(AND(O78="Target Hit",F78=""),"INPUT REQUIRED: Target",IF(AND(O78="Stoploss Hit",K78=""),"INPUT REQUIRED: New 3DHH",IF(AND(OR(O78="Gap Up Stoploss",O78="Gap Down Stoploss"),M78=""),"INPUT REQUIRED: Gap 3DHH","OK")))))))</f>
        <v/>
      </c>
    </row>
    <row r="79" ht="21" customHeight="1" spans="1:24">
      <c r="A79" s="61"/>
      <c r="B79" s="62"/>
      <c r="C79" s="63"/>
      <c r="D79" s="61"/>
      <c r="E79" s="65"/>
      <c r="F79" s="65"/>
      <c r="G79" s="65"/>
      <c r="H79" s="65"/>
      <c r="I79" s="69" t="str">
        <f>IF(E79="","",MROUND(E79*Settings!$B$16,Settings!$B$19))</f>
        <v/>
      </c>
      <c r="J79" s="69" t="str">
        <f>IF(H79="","",MROUND(H79*Settings!$B$17,Settings!$B$19))</f>
        <v/>
      </c>
      <c r="K79" s="69" t="str">
        <f>IF(OR(I79="",J79=""),"",MROUND(MIN(I79,J79),Settings!$B$19))</f>
        <v/>
      </c>
      <c r="L79" s="65"/>
      <c r="M79" s="69" t="str">
        <f>IF(OR(E79="",L79=""),"",MROUND(MIN(E79*Settings!$B$16,L79*Settings!$B$17),Settings!$B$19))</f>
        <v/>
      </c>
      <c r="N79" s="72" t="str">
        <f t="shared" ref="N79:N110" si="19">IF(B79="","",IF(B79="CALL Sell","Gap Up Calculation","Gap Down Calculation"))</f>
        <v/>
      </c>
      <c r="O79" s="62"/>
      <c r="P79" s="69" t="str">
        <f t="shared" si="14"/>
        <v/>
      </c>
      <c r="Q79" s="76">
        <f t="shared" si="13"/>
        <v>65</v>
      </c>
      <c r="R79" s="63"/>
      <c r="S79" s="69" t="str">
        <f t="shared" si="15"/>
        <v/>
      </c>
      <c r="T79" s="65"/>
      <c r="U79" s="69" t="str">
        <f t="shared" si="16"/>
        <v/>
      </c>
      <c r="V79" s="82" t="str">
        <f t="shared" si="17"/>
        <v/>
      </c>
      <c r="W79" s="65"/>
      <c r="X79" s="72" t="str">
        <f t="shared" si="18"/>
        <v/>
      </c>
    </row>
    <row r="80" ht="21" customHeight="1" spans="1:24">
      <c r="A80" s="61"/>
      <c r="B80" s="62"/>
      <c r="C80" s="63"/>
      <c r="D80" s="61"/>
      <c r="E80" s="65"/>
      <c r="F80" s="65"/>
      <c r="G80" s="65"/>
      <c r="H80" s="65"/>
      <c r="I80" s="69" t="str">
        <f>IF(E80="","",MROUND(E80*Settings!$B$16,Settings!$B$19))</f>
        <v/>
      </c>
      <c r="J80" s="69" t="str">
        <f>IF(H80="","",MROUND(H80*Settings!$B$17,Settings!$B$19))</f>
        <v/>
      </c>
      <c r="K80" s="69" t="str">
        <f>IF(OR(I80="",J80=""),"",MROUND(MIN(I80,J80),Settings!$B$19))</f>
        <v/>
      </c>
      <c r="L80" s="65"/>
      <c r="M80" s="69" t="str">
        <f>IF(OR(E80="",L80=""),"",MROUND(MIN(E80*Settings!$B$16,L80*Settings!$B$17),Settings!$B$19))</f>
        <v/>
      </c>
      <c r="N80" s="72" t="str">
        <f t="shared" si="19"/>
        <v/>
      </c>
      <c r="O80" s="62"/>
      <c r="P80" s="69" t="str">
        <f t="shared" si="14"/>
        <v/>
      </c>
      <c r="Q80" s="76">
        <f t="shared" si="13"/>
        <v>65</v>
      </c>
      <c r="R80" s="63"/>
      <c r="S80" s="69" t="str">
        <f t="shared" si="15"/>
        <v/>
      </c>
      <c r="T80" s="65"/>
      <c r="U80" s="69" t="str">
        <f t="shared" si="16"/>
        <v/>
      </c>
      <c r="V80" s="82" t="str">
        <f t="shared" si="17"/>
        <v/>
      </c>
      <c r="W80" s="65"/>
      <c r="X80" s="72" t="str">
        <f t="shared" si="18"/>
        <v/>
      </c>
    </row>
    <row r="81" ht="21" customHeight="1" spans="1:24">
      <c r="A81" s="61"/>
      <c r="B81" s="62"/>
      <c r="C81" s="63"/>
      <c r="D81" s="61"/>
      <c r="E81" s="65"/>
      <c r="F81" s="65"/>
      <c r="G81" s="65"/>
      <c r="H81" s="65"/>
      <c r="I81" s="69" t="str">
        <f>IF(E81="","",MROUND(E81*Settings!$B$16,Settings!$B$19))</f>
        <v/>
      </c>
      <c r="J81" s="69" t="str">
        <f>IF(H81="","",MROUND(H81*Settings!$B$17,Settings!$B$19))</f>
        <v/>
      </c>
      <c r="K81" s="69" t="str">
        <f>IF(OR(I81="",J81=""),"",MROUND(MIN(I81,J81),Settings!$B$19))</f>
        <v/>
      </c>
      <c r="L81" s="65"/>
      <c r="M81" s="69" t="str">
        <f>IF(OR(E81="",L81=""),"",MROUND(MIN(E81*Settings!$B$16,L81*Settings!$B$17),Settings!$B$19))</f>
        <v/>
      </c>
      <c r="N81" s="72" t="str">
        <f t="shared" si="19"/>
        <v/>
      </c>
      <c r="O81" s="62"/>
      <c r="P81" s="69" t="str">
        <f t="shared" si="14"/>
        <v/>
      </c>
      <c r="Q81" s="76">
        <f t="shared" si="13"/>
        <v>65</v>
      </c>
      <c r="R81" s="63"/>
      <c r="S81" s="69" t="str">
        <f t="shared" si="15"/>
        <v/>
      </c>
      <c r="T81" s="65"/>
      <c r="U81" s="69" t="str">
        <f t="shared" si="16"/>
        <v/>
      </c>
      <c r="V81" s="82" t="str">
        <f t="shared" si="17"/>
        <v/>
      </c>
      <c r="W81" s="65"/>
      <c r="X81" s="72" t="str">
        <f t="shared" si="18"/>
        <v/>
      </c>
    </row>
    <row r="82" ht="21" customHeight="1" spans="1:24">
      <c r="A82" s="61"/>
      <c r="B82" s="62"/>
      <c r="C82" s="63"/>
      <c r="D82" s="61"/>
      <c r="E82" s="65"/>
      <c r="F82" s="65"/>
      <c r="G82" s="65"/>
      <c r="H82" s="65"/>
      <c r="I82" s="69" t="str">
        <f>IF(E82="","",MROUND(E82*Settings!$B$16,Settings!$B$19))</f>
        <v/>
      </c>
      <c r="J82" s="69" t="str">
        <f>IF(H82="","",MROUND(H82*Settings!$B$17,Settings!$B$19))</f>
        <v/>
      </c>
      <c r="K82" s="69" t="str">
        <f>IF(OR(I82="",J82=""),"",MROUND(MIN(I82,J82),Settings!$B$19))</f>
        <v/>
      </c>
      <c r="L82" s="65"/>
      <c r="M82" s="69" t="str">
        <f>IF(OR(E82="",L82=""),"",MROUND(MIN(E82*Settings!$B$16,L82*Settings!$B$17),Settings!$B$19))</f>
        <v/>
      </c>
      <c r="N82" s="72" t="str">
        <f t="shared" si="19"/>
        <v/>
      </c>
      <c r="O82" s="62"/>
      <c r="P82" s="69" t="str">
        <f t="shared" si="14"/>
        <v/>
      </c>
      <c r="Q82" s="76">
        <f t="shared" si="13"/>
        <v>65</v>
      </c>
      <c r="R82" s="63"/>
      <c r="S82" s="69" t="str">
        <f t="shared" si="15"/>
        <v/>
      </c>
      <c r="T82" s="65"/>
      <c r="U82" s="69" t="str">
        <f t="shared" si="16"/>
        <v/>
      </c>
      <c r="V82" s="82" t="str">
        <f t="shared" si="17"/>
        <v/>
      </c>
      <c r="W82" s="65"/>
      <c r="X82" s="72" t="str">
        <f t="shared" si="18"/>
        <v/>
      </c>
    </row>
    <row r="83" ht="21" customHeight="1" spans="1:24">
      <c r="A83" s="61"/>
      <c r="B83" s="62"/>
      <c r="C83" s="63"/>
      <c r="D83" s="61"/>
      <c r="E83" s="65"/>
      <c r="F83" s="65"/>
      <c r="G83" s="65"/>
      <c r="H83" s="65"/>
      <c r="I83" s="69" t="str">
        <f>IF(E83="","",MROUND(E83*Settings!$B$16,Settings!$B$19))</f>
        <v/>
      </c>
      <c r="J83" s="69" t="str">
        <f>IF(H83="","",MROUND(H83*Settings!$B$17,Settings!$B$19))</f>
        <v/>
      </c>
      <c r="K83" s="69" t="str">
        <f>IF(OR(I83="",J83=""),"",MROUND(MIN(I83,J83),Settings!$B$19))</f>
        <v/>
      </c>
      <c r="L83" s="65"/>
      <c r="M83" s="69" t="str">
        <f>IF(OR(E83="",L83=""),"",MROUND(MIN(E83*Settings!$B$16,L83*Settings!$B$17),Settings!$B$19))</f>
        <v/>
      </c>
      <c r="N83" s="72" t="str">
        <f t="shared" si="19"/>
        <v/>
      </c>
      <c r="O83" s="62"/>
      <c r="P83" s="69" t="str">
        <f t="shared" si="14"/>
        <v/>
      </c>
      <c r="Q83" s="76">
        <f t="shared" si="13"/>
        <v>65</v>
      </c>
      <c r="R83" s="63"/>
      <c r="S83" s="69" t="str">
        <f t="shared" si="15"/>
        <v/>
      </c>
      <c r="T83" s="65"/>
      <c r="U83" s="69" t="str">
        <f t="shared" si="16"/>
        <v/>
      </c>
      <c r="V83" s="82" t="str">
        <f t="shared" si="17"/>
        <v/>
      </c>
      <c r="W83" s="65"/>
      <c r="X83" s="72" t="str">
        <f t="shared" si="18"/>
        <v/>
      </c>
    </row>
    <row r="84" ht="21" customHeight="1" spans="1:24">
      <c r="A84" s="61"/>
      <c r="B84" s="62"/>
      <c r="C84" s="63"/>
      <c r="D84" s="61"/>
      <c r="E84" s="65"/>
      <c r="F84" s="65"/>
      <c r="G84" s="65"/>
      <c r="H84" s="65"/>
      <c r="I84" s="69" t="str">
        <f>IF(E84="","",MROUND(E84*Settings!$B$16,Settings!$B$19))</f>
        <v/>
      </c>
      <c r="J84" s="69" t="str">
        <f>IF(H84="","",MROUND(H84*Settings!$B$17,Settings!$B$19))</f>
        <v/>
      </c>
      <c r="K84" s="69" t="str">
        <f>IF(OR(I84="",J84=""),"",MROUND(MIN(I84,J84),Settings!$B$19))</f>
        <v/>
      </c>
      <c r="L84" s="65"/>
      <c r="M84" s="69" t="str">
        <f>IF(OR(E84="",L84=""),"",MROUND(MIN(E84*Settings!$B$16,L84*Settings!$B$17),Settings!$B$19))</f>
        <v/>
      </c>
      <c r="N84" s="72" t="str">
        <f t="shared" si="19"/>
        <v/>
      </c>
      <c r="O84" s="62"/>
      <c r="P84" s="69" t="str">
        <f t="shared" si="14"/>
        <v/>
      </c>
      <c r="Q84" s="76">
        <f t="shared" si="13"/>
        <v>65</v>
      </c>
      <c r="R84" s="63"/>
      <c r="S84" s="69" t="str">
        <f t="shared" si="15"/>
        <v/>
      </c>
      <c r="T84" s="65"/>
      <c r="U84" s="69" t="str">
        <f t="shared" si="16"/>
        <v/>
      </c>
      <c r="V84" s="82" t="str">
        <f t="shared" si="17"/>
        <v/>
      </c>
      <c r="W84" s="65"/>
      <c r="X84" s="72" t="str">
        <f t="shared" si="18"/>
        <v/>
      </c>
    </row>
    <row r="85" ht="21" customHeight="1" spans="1:24">
      <c r="A85" s="61"/>
      <c r="B85" s="62"/>
      <c r="C85" s="63"/>
      <c r="D85" s="61"/>
      <c r="E85" s="65"/>
      <c r="F85" s="65"/>
      <c r="G85" s="65"/>
      <c r="H85" s="65"/>
      <c r="I85" s="69" t="str">
        <f>IF(E85="","",MROUND(E85*Settings!$B$16,Settings!$B$19))</f>
        <v/>
      </c>
      <c r="J85" s="69" t="str">
        <f>IF(H85="","",MROUND(H85*Settings!$B$17,Settings!$B$19))</f>
        <v/>
      </c>
      <c r="K85" s="69" t="str">
        <f>IF(OR(I85="",J85=""),"",MROUND(MIN(I85,J85),Settings!$B$19))</f>
        <v/>
      </c>
      <c r="L85" s="65"/>
      <c r="M85" s="69" t="str">
        <f>IF(OR(E85="",L85=""),"",MROUND(MIN(E85*Settings!$B$16,L85*Settings!$B$17),Settings!$B$19))</f>
        <v/>
      </c>
      <c r="N85" s="72" t="str">
        <f t="shared" si="19"/>
        <v/>
      </c>
      <c r="O85" s="62"/>
      <c r="P85" s="69" t="str">
        <f t="shared" si="14"/>
        <v/>
      </c>
      <c r="Q85" s="76">
        <f t="shared" ref="Q85:Q94" si="20">$B$7</f>
        <v>65</v>
      </c>
      <c r="R85" s="63"/>
      <c r="S85" s="69" t="str">
        <f t="shared" si="15"/>
        <v/>
      </c>
      <c r="T85" s="65"/>
      <c r="U85" s="69" t="str">
        <f t="shared" si="16"/>
        <v/>
      </c>
      <c r="V85" s="82" t="str">
        <f t="shared" si="17"/>
        <v/>
      </c>
      <c r="W85" s="65"/>
      <c r="X85" s="72" t="str">
        <f t="shared" si="18"/>
        <v/>
      </c>
    </row>
    <row r="86" ht="21" customHeight="1" spans="1:24">
      <c r="A86" s="61"/>
      <c r="B86" s="62"/>
      <c r="C86" s="63"/>
      <c r="D86" s="61"/>
      <c r="E86" s="65"/>
      <c r="F86" s="65"/>
      <c r="G86" s="65"/>
      <c r="H86" s="65"/>
      <c r="I86" s="69" t="str">
        <f>IF(E86="","",MROUND(E86*Settings!$B$16,Settings!$B$19))</f>
        <v/>
      </c>
      <c r="J86" s="69" t="str">
        <f>IF(H86="","",MROUND(H86*Settings!$B$17,Settings!$B$19))</f>
        <v/>
      </c>
      <c r="K86" s="69" t="str">
        <f>IF(OR(I86="",J86=""),"",MROUND(MIN(I86,J86),Settings!$B$19))</f>
        <v/>
      </c>
      <c r="L86" s="65"/>
      <c r="M86" s="69" t="str">
        <f>IF(OR(E86="",L86=""),"",MROUND(MIN(E86*Settings!$B$16,L86*Settings!$B$17),Settings!$B$19))</f>
        <v/>
      </c>
      <c r="N86" s="72" t="str">
        <f t="shared" si="19"/>
        <v/>
      </c>
      <c r="O86" s="62"/>
      <c r="P86" s="69" t="str">
        <f t="shared" si="14"/>
        <v/>
      </c>
      <c r="Q86" s="76">
        <f t="shared" si="20"/>
        <v>65</v>
      </c>
      <c r="R86" s="63"/>
      <c r="S86" s="69" t="str">
        <f t="shared" si="15"/>
        <v/>
      </c>
      <c r="T86" s="65"/>
      <c r="U86" s="69" t="str">
        <f t="shared" si="16"/>
        <v/>
      </c>
      <c r="V86" s="82" t="str">
        <f t="shared" si="17"/>
        <v/>
      </c>
      <c r="W86" s="65"/>
      <c r="X86" s="72" t="str">
        <f t="shared" si="18"/>
        <v/>
      </c>
    </row>
    <row r="87" ht="21" customHeight="1" spans="1:24">
      <c r="A87" s="61"/>
      <c r="B87" s="62"/>
      <c r="C87" s="63"/>
      <c r="D87" s="61"/>
      <c r="E87" s="65"/>
      <c r="F87" s="65"/>
      <c r="G87" s="65"/>
      <c r="H87" s="65"/>
      <c r="I87" s="69" t="str">
        <f>IF(E87="","",MROUND(E87*Settings!$B$16,Settings!$B$19))</f>
        <v/>
      </c>
      <c r="J87" s="69" t="str">
        <f>IF(H87="","",MROUND(H87*Settings!$B$17,Settings!$B$19))</f>
        <v/>
      </c>
      <c r="K87" s="69" t="str">
        <f>IF(OR(I87="",J87=""),"",MROUND(MIN(I87,J87),Settings!$B$19))</f>
        <v/>
      </c>
      <c r="L87" s="65"/>
      <c r="M87" s="69" t="str">
        <f>IF(OR(E87="",L87=""),"",MROUND(MIN(E87*Settings!$B$16,L87*Settings!$B$17),Settings!$B$19))</f>
        <v/>
      </c>
      <c r="N87" s="72" t="str">
        <f t="shared" si="19"/>
        <v/>
      </c>
      <c r="O87" s="62"/>
      <c r="P87" s="69" t="str">
        <f t="shared" si="14"/>
        <v/>
      </c>
      <c r="Q87" s="76">
        <f t="shared" si="20"/>
        <v>65</v>
      </c>
      <c r="R87" s="63"/>
      <c r="S87" s="69" t="str">
        <f t="shared" si="15"/>
        <v/>
      </c>
      <c r="T87" s="65"/>
      <c r="U87" s="69" t="str">
        <f t="shared" si="16"/>
        <v/>
      </c>
      <c r="V87" s="82" t="str">
        <f t="shared" si="17"/>
        <v/>
      </c>
      <c r="W87" s="65"/>
      <c r="X87" s="72" t="str">
        <f t="shared" si="18"/>
        <v/>
      </c>
    </row>
    <row r="88" ht="21" customHeight="1" spans="1:24">
      <c r="A88" s="61"/>
      <c r="B88" s="62"/>
      <c r="C88" s="63"/>
      <c r="D88" s="61"/>
      <c r="E88" s="65"/>
      <c r="F88" s="65"/>
      <c r="G88" s="65"/>
      <c r="H88" s="65"/>
      <c r="I88" s="69" t="str">
        <f>IF(E88="","",MROUND(E88*Settings!$B$16,Settings!$B$19))</f>
        <v/>
      </c>
      <c r="J88" s="69" t="str">
        <f>IF(H88="","",MROUND(H88*Settings!$B$17,Settings!$B$19))</f>
        <v/>
      </c>
      <c r="K88" s="69" t="str">
        <f>IF(OR(I88="",J88=""),"",MROUND(MIN(I88,J88),Settings!$B$19))</f>
        <v/>
      </c>
      <c r="L88" s="65"/>
      <c r="M88" s="69" t="str">
        <f>IF(OR(E88="",L88=""),"",MROUND(MIN(E88*Settings!$B$16,L88*Settings!$B$17),Settings!$B$19))</f>
        <v/>
      </c>
      <c r="N88" s="72" t="str">
        <f t="shared" si="19"/>
        <v/>
      </c>
      <c r="O88" s="62"/>
      <c r="P88" s="69" t="str">
        <f t="shared" si="14"/>
        <v/>
      </c>
      <c r="Q88" s="76">
        <f t="shared" si="20"/>
        <v>65</v>
      </c>
      <c r="R88" s="63"/>
      <c r="S88" s="69" t="str">
        <f t="shared" si="15"/>
        <v/>
      </c>
      <c r="T88" s="65"/>
      <c r="U88" s="69" t="str">
        <f t="shared" si="16"/>
        <v/>
      </c>
      <c r="V88" s="82" t="str">
        <f t="shared" si="17"/>
        <v/>
      </c>
      <c r="W88" s="65"/>
      <c r="X88" s="72" t="str">
        <f t="shared" si="18"/>
        <v/>
      </c>
    </row>
    <row r="89" ht="21" customHeight="1" spans="1:24">
      <c r="A89" s="61"/>
      <c r="B89" s="62"/>
      <c r="C89" s="63"/>
      <c r="D89" s="61"/>
      <c r="E89" s="65"/>
      <c r="F89" s="65"/>
      <c r="G89" s="65"/>
      <c r="H89" s="65"/>
      <c r="I89" s="69" t="str">
        <f>IF(E89="","",MROUND(E89*Settings!$B$16,Settings!$B$19))</f>
        <v/>
      </c>
      <c r="J89" s="69" t="str">
        <f>IF(H89="","",MROUND(H89*Settings!$B$17,Settings!$B$19))</f>
        <v/>
      </c>
      <c r="K89" s="69" t="str">
        <f>IF(OR(I89="",J89=""),"",MROUND(MIN(I89,J89),Settings!$B$19))</f>
        <v/>
      </c>
      <c r="L89" s="65"/>
      <c r="M89" s="69" t="str">
        <f>IF(OR(E89="",L89=""),"",MROUND(MIN(E89*Settings!$B$16,L89*Settings!$B$17),Settings!$B$19))</f>
        <v/>
      </c>
      <c r="N89" s="72" t="str">
        <f t="shared" si="19"/>
        <v/>
      </c>
      <c r="O89" s="62"/>
      <c r="P89" s="69" t="str">
        <f t="shared" si="14"/>
        <v/>
      </c>
      <c r="Q89" s="76">
        <f t="shared" si="20"/>
        <v>65</v>
      </c>
      <c r="R89" s="63"/>
      <c r="S89" s="69" t="str">
        <f t="shared" si="15"/>
        <v/>
      </c>
      <c r="T89" s="65"/>
      <c r="U89" s="69" t="str">
        <f t="shared" si="16"/>
        <v/>
      </c>
      <c r="V89" s="82" t="str">
        <f t="shared" si="17"/>
        <v/>
      </c>
      <c r="W89" s="65"/>
      <c r="X89" s="72" t="str">
        <f t="shared" si="18"/>
        <v/>
      </c>
    </row>
    <row r="90" ht="21" customHeight="1" spans="1:24">
      <c r="A90" s="61"/>
      <c r="B90" s="62"/>
      <c r="C90" s="63"/>
      <c r="D90" s="61"/>
      <c r="E90" s="65"/>
      <c r="F90" s="65"/>
      <c r="G90" s="65"/>
      <c r="H90" s="65"/>
      <c r="I90" s="69" t="str">
        <f>IF(E90="","",MROUND(E90*Settings!$B$16,Settings!$B$19))</f>
        <v/>
      </c>
      <c r="J90" s="69" t="str">
        <f>IF(H90="","",MROUND(H90*Settings!$B$17,Settings!$B$19))</f>
        <v/>
      </c>
      <c r="K90" s="69" t="str">
        <f>IF(OR(I90="",J90=""),"",MROUND(MIN(I90,J90),Settings!$B$19))</f>
        <v/>
      </c>
      <c r="L90" s="65"/>
      <c r="M90" s="69" t="str">
        <f>IF(OR(E90="",L90=""),"",MROUND(MIN(E90*Settings!$B$16,L90*Settings!$B$17),Settings!$B$19))</f>
        <v/>
      </c>
      <c r="N90" s="72" t="str">
        <f t="shared" si="19"/>
        <v/>
      </c>
      <c r="O90" s="62"/>
      <c r="P90" s="69" t="str">
        <f t="shared" si="14"/>
        <v/>
      </c>
      <c r="Q90" s="76">
        <f t="shared" si="20"/>
        <v>65</v>
      </c>
      <c r="R90" s="63"/>
      <c r="S90" s="69" t="str">
        <f t="shared" si="15"/>
        <v/>
      </c>
      <c r="T90" s="65"/>
      <c r="U90" s="69" t="str">
        <f t="shared" si="16"/>
        <v/>
      </c>
      <c r="V90" s="82" t="str">
        <f t="shared" si="17"/>
        <v/>
      </c>
      <c r="W90" s="65"/>
      <c r="X90" s="72" t="str">
        <f t="shared" si="18"/>
        <v/>
      </c>
    </row>
    <row r="91" ht="21" customHeight="1" spans="1:24">
      <c r="A91" s="61"/>
      <c r="B91" s="62"/>
      <c r="C91" s="63"/>
      <c r="D91" s="61"/>
      <c r="E91" s="65"/>
      <c r="F91" s="65"/>
      <c r="G91" s="65"/>
      <c r="H91" s="65"/>
      <c r="I91" s="69" t="str">
        <f>IF(E91="","",MROUND(E91*Settings!$B$16,Settings!$B$19))</f>
        <v/>
      </c>
      <c r="J91" s="69" t="str">
        <f>IF(H91="","",MROUND(H91*Settings!$B$17,Settings!$B$19))</f>
        <v/>
      </c>
      <c r="K91" s="69" t="str">
        <f>IF(OR(I91="",J91=""),"",MROUND(MIN(I91,J91),Settings!$B$19))</f>
        <v/>
      </c>
      <c r="L91" s="65"/>
      <c r="M91" s="69" t="str">
        <f>IF(OR(E91="",L91=""),"",MROUND(MIN(E91*Settings!$B$16,L91*Settings!$B$17),Settings!$B$19))</f>
        <v/>
      </c>
      <c r="N91" s="72" t="str">
        <f t="shared" si="19"/>
        <v/>
      </c>
      <c r="O91" s="62"/>
      <c r="P91" s="69" t="str">
        <f t="shared" si="14"/>
        <v/>
      </c>
      <c r="Q91" s="76">
        <f t="shared" si="20"/>
        <v>65</v>
      </c>
      <c r="R91" s="63"/>
      <c r="S91" s="69" t="str">
        <f t="shared" si="15"/>
        <v/>
      </c>
      <c r="T91" s="65"/>
      <c r="U91" s="69" t="str">
        <f t="shared" si="16"/>
        <v/>
      </c>
      <c r="V91" s="82" t="str">
        <f t="shared" si="17"/>
        <v/>
      </c>
      <c r="W91" s="65"/>
      <c r="X91" s="72" t="str">
        <f t="shared" si="18"/>
        <v/>
      </c>
    </row>
    <row r="92" ht="21" customHeight="1" spans="1:24">
      <c r="A92" s="61"/>
      <c r="B92" s="62"/>
      <c r="C92" s="63"/>
      <c r="D92" s="61"/>
      <c r="E92" s="65"/>
      <c r="F92" s="65"/>
      <c r="G92" s="65"/>
      <c r="H92" s="65"/>
      <c r="I92" s="69" t="str">
        <f>IF(E92="","",MROUND(E92*Settings!$B$16,Settings!$B$19))</f>
        <v/>
      </c>
      <c r="J92" s="69" t="str">
        <f>IF(H92="","",MROUND(H92*Settings!$B$17,Settings!$B$19))</f>
        <v/>
      </c>
      <c r="K92" s="69" t="str">
        <f>IF(OR(I92="",J92=""),"",MROUND(MIN(I92,J92),Settings!$B$19))</f>
        <v/>
      </c>
      <c r="L92" s="65"/>
      <c r="M92" s="69" t="str">
        <f>IF(OR(E92="",L92=""),"",MROUND(MIN(E92*Settings!$B$16,L92*Settings!$B$17),Settings!$B$19))</f>
        <v/>
      </c>
      <c r="N92" s="72" t="str">
        <f t="shared" si="19"/>
        <v/>
      </c>
      <c r="O92" s="62"/>
      <c r="P92" s="69" t="str">
        <f t="shared" si="14"/>
        <v/>
      </c>
      <c r="Q92" s="76">
        <f t="shared" si="20"/>
        <v>65</v>
      </c>
      <c r="R92" s="63"/>
      <c r="S92" s="69" t="str">
        <f t="shared" si="15"/>
        <v/>
      </c>
      <c r="T92" s="65"/>
      <c r="U92" s="69" t="str">
        <f t="shared" si="16"/>
        <v/>
      </c>
      <c r="V92" s="82" t="str">
        <f t="shared" si="17"/>
        <v/>
      </c>
      <c r="W92" s="65"/>
      <c r="X92" s="72" t="str">
        <f t="shared" si="18"/>
        <v/>
      </c>
    </row>
    <row r="93" ht="21" customHeight="1" spans="1:24">
      <c r="A93" s="61"/>
      <c r="B93" s="62"/>
      <c r="C93" s="63"/>
      <c r="D93" s="61"/>
      <c r="E93" s="65"/>
      <c r="F93" s="65"/>
      <c r="G93" s="65"/>
      <c r="H93" s="65"/>
      <c r="I93" s="69" t="str">
        <f>IF(E93="","",MROUND(E93*Settings!$B$16,Settings!$B$19))</f>
        <v/>
      </c>
      <c r="J93" s="69" t="str">
        <f>IF(H93="","",MROUND(H93*Settings!$B$17,Settings!$B$19))</f>
        <v/>
      </c>
      <c r="K93" s="69" t="str">
        <f>IF(OR(I93="",J93=""),"",MROUND(MIN(I93,J93),Settings!$B$19))</f>
        <v/>
      </c>
      <c r="L93" s="65"/>
      <c r="M93" s="69" t="str">
        <f>IF(OR(E93="",L93=""),"",MROUND(MIN(E93*Settings!$B$16,L93*Settings!$B$17),Settings!$B$19))</f>
        <v/>
      </c>
      <c r="N93" s="72" t="str">
        <f t="shared" si="19"/>
        <v/>
      </c>
      <c r="O93" s="62"/>
      <c r="P93" s="69" t="str">
        <f t="shared" si="14"/>
        <v/>
      </c>
      <c r="Q93" s="76">
        <f t="shared" si="20"/>
        <v>65</v>
      </c>
      <c r="R93" s="63"/>
      <c r="S93" s="69" t="str">
        <f t="shared" si="15"/>
        <v/>
      </c>
      <c r="T93" s="65"/>
      <c r="U93" s="69" t="str">
        <f t="shared" si="16"/>
        <v/>
      </c>
      <c r="V93" s="82" t="str">
        <f t="shared" si="17"/>
        <v/>
      </c>
      <c r="W93" s="65"/>
      <c r="X93" s="72" t="str">
        <f t="shared" si="18"/>
        <v/>
      </c>
    </row>
    <row r="94" ht="21" customHeight="1" spans="1:24">
      <c r="A94" s="61"/>
      <c r="B94" s="62"/>
      <c r="C94" s="63"/>
      <c r="D94" s="61"/>
      <c r="E94" s="65"/>
      <c r="F94" s="65"/>
      <c r="G94" s="65"/>
      <c r="H94" s="65"/>
      <c r="I94" s="69" t="str">
        <f>IF(E94="","",MROUND(E94*Settings!$B$16,Settings!$B$19))</f>
        <v/>
      </c>
      <c r="J94" s="69" t="str">
        <f>IF(H94="","",MROUND(H94*Settings!$B$17,Settings!$B$19))</f>
        <v/>
      </c>
      <c r="K94" s="69" t="str">
        <f>IF(OR(I94="",J94=""),"",MROUND(MIN(I94,J94),Settings!$B$19))</f>
        <v/>
      </c>
      <c r="L94" s="65"/>
      <c r="M94" s="69" t="str">
        <f>IF(OR(E94="",L94=""),"",MROUND(MIN(E94*Settings!$B$16,L94*Settings!$B$17),Settings!$B$19))</f>
        <v/>
      </c>
      <c r="N94" s="72" t="str">
        <f t="shared" si="19"/>
        <v/>
      </c>
      <c r="O94" s="62"/>
      <c r="P94" s="69" t="str">
        <f t="shared" si="14"/>
        <v/>
      </c>
      <c r="Q94" s="76">
        <f t="shared" si="20"/>
        <v>65</v>
      </c>
      <c r="R94" s="63"/>
      <c r="S94" s="69" t="str">
        <f t="shared" si="15"/>
        <v/>
      </c>
      <c r="T94" s="65"/>
      <c r="U94" s="69" t="str">
        <f t="shared" si="16"/>
        <v/>
      </c>
      <c r="V94" s="82" t="str">
        <f t="shared" si="17"/>
        <v/>
      </c>
      <c r="W94" s="65"/>
      <c r="X94" s="72" t="str">
        <f t="shared" si="18"/>
        <v/>
      </c>
    </row>
    <row r="95" ht="21" customHeight="1" spans="1:24">
      <c r="A95" s="61"/>
      <c r="B95" s="62"/>
      <c r="C95" s="63"/>
      <c r="D95" s="61"/>
      <c r="E95" s="65"/>
      <c r="F95" s="65"/>
      <c r="G95" s="65"/>
      <c r="H95" s="65"/>
      <c r="I95" s="69" t="str">
        <f>IF(E95="","",MROUND(E95*Settings!$B$16,Settings!$B$19))</f>
        <v/>
      </c>
      <c r="J95" s="69" t="str">
        <f>IF(H95="","",MROUND(H95*Settings!$B$17,Settings!$B$19))</f>
        <v/>
      </c>
      <c r="K95" s="69" t="str">
        <f>IF(OR(I95="",J95=""),"",MROUND(MIN(I95,J95),Settings!$B$19))</f>
        <v/>
      </c>
      <c r="L95" s="65"/>
      <c r="M95" s="69" t="str">
        <f>IF(OR(E95="",L95=""),"",MROUND(MIN(E95*Settings!$B$16,L95*Settings!$B$17),Settings!$B$19))</f>
        <v/>
      </c>
      <c r="N95" s="72" t="str">
        <f t="shared" si="19"/>
        <v/>
      </c>
      <c r="O95" s="62"/>
      <c r="P95" s="69" t="str">
        <f t="shared" si="14"/>
        <v/>
      </c>
      <c r="Q95" s="76">
        <f t="shared" ref="Q95:Q104" si="21">$B$7</f>
        <v>65</v>
      </c>
      <c r="R95" s="63"/>
      <c r="S95" s="69" t="str">
        <f t="shared" si="15"/>
        <v/>
      </c>
      <c r="T95" s="65"/>
      <c r="U95" s="69" t="str">
        <f t="shared" si="16"/>
        <v/>
      </c>
      <c r="V95" s="82" t="str">
        <f t="shared" si="17"/>
        <v/>
      </c>
      <c r="W95" s="65"/>
      <c r="X95" s="72" t="str">
        <f t="shared" si="18"/>
        <v/>
      </c>
    </row>
    <row r="96" ht="21" customHeight="1" spans="1:24">
      <c r="A96" s="61"/>
      <c r="B96" s="62"/>
      <c r="C96" s="63"/>
      <c r="D96" s="61"/>
      <c r="E96" s="65"/>
      <c r="F96" s="65"/>
      <c r="G96" s="65"/>
      <c r="H96" s="65"/>
      <c r="I96" s="69" t="str">
        <f>IF(E96="","",MROUND(E96*Settings!$B$16,Settings!$B$19))</f>
        <v/>
      </c>
      <c r="J96" s="69" t="str">
        <f>IF(H96="","",MROUND(H96*Settings!$B$17,Settings!$B$19))</f>
        <v/>
      </c>
      <c r="K96" s="69" t="str">
        <f>IF(OR(I96="",J96=""),"",MROUND(MIN(I96,J96),Settings!$B$19))</f>
        <v/>
      </c>
      <c r="L96" s="65"/>
      <c r="M96" s="69" t="str">
        <f>IF(OR(E96="",L96=""),"",MROUND(MIN(E96*Settings!$B$16,L96*Settings!$B$17),Settings!$B$19))</f>
        <v/>
      </c>
      <c r="N96" s="72" t="str">
        <f t="shared" si="19"/>
        <v/>
      </c>
      <c r="O96" s="62"/>
      <c r="P96" s="69" t="str">
        <f t="shared" si="14"/>
        <v/>
      </c>
      <c r="Q96" s="76">
        <f t="shared" si="21"/>
        <v>65</v>
      </c>
      <c r="R96" s="63"/>
      <c r="S96" s="69" t="str">
        <f t="shared" si="15"/>
        <v/>
      </c>
      <c r="T96" s="65"/>
      <c r="U96" s="69" t="str">
        <f t="shared" si="16"/>
        <v/>
      </c>
      <c r="V96" s="82" t="str">
        <f t="shared" si="17"/>
        <v/>
      </c>
      <c r="W96" s="65"/>
      <c r="X96" s="72" t="str">
        <f t="shared" si="18"/>
        <v/>
      </c>
    </row>
    <row r="97" ht="21" customHeight="1" spans="1:24">
      <c r="A97" s="61"/>
      <c r="B97" s="62"/>
      <c r="C97" s="63"/>
      <c r="D97" s="61"/>
      <c r="E97" s="65"/>
      <c r="F97" s="65"/>
      <c r="G97" s="65"/>
      <c r="H97" s="65"/>
      <c r="I97" s="69" t="str">
        <f>IF(E97="","",MROUND(E97*Settings!$B$16,Settings!$B$19))</f>
        <v/>
      </c>
      <c r="J97" s="69" t="str">
        <f>IF(H97="","",MROUND(H97*Settings!$B$17,Settings!$B$19))</f>
        <v/>
      </c>
      <c r="K97" s="69" t="str">
        <f>IF(OR(I97="",J97=""),"",MROUND(MIN(I97,J97),Settings!$B$19))</f>
        <v/>
      </c>
      <c r="L97" s="65"/>
      <c r="M97" s="69" t="str">
        <f>IF(OR(E97="",L97=""),"",MROUND(MIN(E97*Settings!$B$16,L97*Settings!$B$17),Settings!$B$19))</f>
        <v/>
      </c>
      <c r="N97" s="72" t="str">
        <f t="shared" si="19"/>
        <v/>
      </c>
      <c r="O97" s="62"/>
      <c r="P97" s="69" t="str">
        <f t="shared" si="14"/>
        <v/>
      </c>
      <c r="Q97" s="76">
        <f t="shared" si="21"/>
        <v>65</v>
      </c>
      <c r="R97" s="63"/>
      <c r="S97" s="69" t="str">
        <f t="shared" si="15"/>
        <v/>
      </c>
      <c r="T97" s="65"/>
      <c r="U97" s="69" t="str">
        <f t="shared" si="16"/>
        <v/>
      </c>
      <c r="V97" s="82" t="str">
        <f t="shared" si="17"/>
        <v/>
      </c>
      <c r="W97" s="65"/>
      <c r="X97" s="72" t="str">
        <f t="shared" si="18"/>
        <v/>
      </c>
    </row>
    <row r="98" ht="21" customHeight="1" spans="1:24">
      <c r="A98" s="61"/>
      <c r="B98" s="62"/>
      <c r="C98" s="63"/>
      <c r="D98" s="61"/>
      <c r="E98" s="65"/>
      <c r="F98" s="65"/>
      <c r="G98" s="65"/>
      <c r="H98" s="65"/>
      <c r="I98" s="69" t="str">
        <f>IF(E98="","",MROUND(E98*Settings!$B$16,Settings!$B$19))</f>
        <v/>
      </c>
      <c r="J98" s="69" t="str">
        <f>IF(H98="","",MROUND(H98*Settings!$B$17,Settings!$B$19))</f>
        <v/>
      </c>
      <c r="K98" s="69" t="str">
        <f>IF(OR(I98="",J98=""),"",MROUND(MIN(I98,J98),Settings!$B$19))</f>
        <v/>
      </c>
      <c r="L98" s="65"/>
      <c r="M98" s="69" t="str">
        <f>IF(OR(E98="",L98=""),"",MROUND(MIN(E98*Settings!$B$16,L98*Settings!$B$17),Settings!$B$19))</f>
        <v/>
      </c>
      <c r="N98" s="72" t="str">
        <f t="shared" si="19"/>
        <v/>
      </c>
      <c r="O98" s="62"/>
      <c r="P98" s="69" t="str">
        <f t="shared" si="14"/>
        <v/>
      </c>
      <c r="Q98" s="76">
        <f t="shared" si="21"/>
        <v>65</v>
      </c>
      <c r="R98" s="63"/>
      <c r="S98" s="69" t="str">
        <f t="shared" si="15"/>
        <v/>
      </c>
      <c r="T98" s="65"/>
      <c r="U98" s="69" t="str">
        <f t="shared" si="16"/>
        <v/>
      </c>
      <c r="V98" s="82" t="str">
        <f t="shared" si="17"/>
        <v/>
      </c>
      <c r="W98" s="65"/>
      <c r="X98" s="72" t="str">
        <f t="shared" si="18"/>
        <v/>
      </c>
    </row>
    <row r="99" ht="21" customHeight="1" spans="1:24">
      <c r="A99" s="61"/>
      <c r="B99" s="62"/>
      <c r="C99" s="63"/>
      <c r="D99" s="61"/>
      <c r="E99" s="65"/>
      <c r="F99" s="65"/>
      <c r="G99" s="65"/>
      <c r="H99" s="65"/>
      <c r="I99" s="69" t="str">
        <f>IF(E99="","",MROUND(E99*Settings!$B$16,Settings!$B$19))</f>
        <v/>
      </c>
      <c r="J99" s="69" t="str">
        <f>IF(H99="","",MROUND(H99*Settings!$B$17,Settings!$B$19))</f>
        <v/>
      </c>
      <c r="K99" s="69" t="str">
        <f>IF(OR(I99="",J99=""),"",MROUND(MIN(I99,J99),Settings!$B$19))</f>
        <v/>
      </c>
      <c r="L99" s="65"/>
      <c r="M99" s="69" t="str">
        <f>IF(OR(E99="",L99=""),"",MROUND(MIN(E99*Settings!$B$16,L99*Settings!$B$17),Settings!$B$19))</f>
        <v/>
      </c>
      <c r="N99" s="72" t="str">
        <f t="shared" si="19"/>
        <v/>
      </c>
      <c r="O99" s="62"/>
      <c r="P99" s="69" t="str">
        <f t="shared" si="14"/>
        <v/>
      </c>
      <c r="Q99" s="76">
        <f t="shared" si="21"/>
        <v>65</v>
      </c>
      <c r="R99" s="63"/>
      <c r="S99" s="69" t="str">
        <f t="shared" si="15"/>
        <v/>
      </c>
      <c r="T99" s="65"/>
      <c r="U99" s="69" t="str">
        <f t="shared" si="16"/>
        <v/>
      </c>
      <c r="V99" s="82" t="str">
        <f t="shared" si="17"/>
        <v/>
      </c>
      <c r="W99" s="65"/>
      <c r="X99" s="72" t="str">
        <f t="shared" si="18"/>
        <v/>
      </c>
    </row>
    <row r="100" ht="21" customHeight="1" spans="1:24">
      <c r="A100" s="61"/>
      <c r="B100" s="62"/>
      <c r="C100" s="63"/>
      <c r="D100" s="61"/>
      <c r="E100" s="65"/>
      <c r="F100" s="65"/>
      <c r="G100" s="65"/>
      <c r="H100" s="65"/>
      <c r="I100" s="69" t="str">
        <f>IF(E100="","",MROUND(E100*Settings!$B$16,Settings!$B$19))</f>
        <v/>
      </c>
      <c r="J100" s="69" t="str">
        <f>IF(H100="","",MROUND(H100*Settings!$B$17,Settings!$B$19))</f>
        <v/>
      </c>
      <c r="K100" s="69" t="str">
        <f>IF(OR(I100="",J100=""),"",MROUND(MIN(I100,J100),Settings!$B$19))</f>
        <v/>
      </c>
      <c r="L100" s="65"/>
      <c r="M100" s="69" t="str">
        <f>IF(OR(E100="",L100=""),"",MROUND(MIN(E100*Settings!$B$16,L100*Settings!$B$17),Settings!$B$19))</f>
        <v/>
      </c>
      <c r="N100" s="72" t="str">
        <f t="shared" si="19"/>
        <v/>
      </c>
      <c r="O100" s="62"/>
      <c r="P100" s="69" t="str">
        <f t="shared" si="14"/>
        <v/>
      </c>
      <c r="Q100" s="76">
        <f t="shared" si="21"/>
        <v>65</v>
      </c>
      <c r="R100" s="63"/>
      <c r="S100" s="69" t="str">
        <f t="shared" si="15"/>
        <v/>
      </c>
      <c r="T100" s="65"/>
      <c r="U100" s="69" t="str">
        <f t="shared" si="16"/>
        <v/>
      </c>
      <c r="V100" s="82" t="str">
        <f t="shared" si="17"/>
        <v/>
      </c>
      <c r="W100" s="65"/>
      <c r="X100" s="72" t="str">
        <f t="shared" si="18"/>
        <v/>
      </c>
    </row>
    <row r="101" ht="21" customHeight="1" spans="1:24">
      <c r="A101" s="61"/>
      <c r="B101" s="62"/>
      <c r="C101" s="63"/>
      <c r="D101" s="61"/>
      <c r="E101" s="65"/>
      <c r="F101" s="65"/>
      <c r="G101" s="65"/>
      <c r="H101" s="65"/>
      <c r="I101" s="69" t="str">
        <f>IF(E101="","",MROUND(E101*Settings!$B$16,Settings!$B$19))</f>
        <v/>
      </c>
      <c r="J101" s="69" t="str">
        <f>IF(H101="","",MROUND(H101*Settings!$B$17,Settings!$B$19))</f>
        <v/>
      </c>
      <c r="K101" s="69" t="str">
        <f>IF(OR(I101="",J101=""),"",MROUND(MIN(I101,J101),Settings!$B$19))</f>
        <v/>
      </c>
      <c r="L101" s="65"/>
      <c r="M101" s="69" t="str">
        <f>IF(OR(E101="",L101=""),"",MROUND(MIN(E101*Settings!$B$16,L101*Settings!$B$17),Settings!$B$19))</f>
        <v/>
      </c>
      <c r="N101" s="72" t="str">
        <f t="shared" si="19"/>
        <v/>
      </c>
      <c r="O101" s="62"/>
      <c r="P101" s="69" t="str">
        <f t="shared" si="14"/>
        <v/>
      </c>
      <c r="Q101" s="76">
        <f t="shared" si="21"/>
        <v>65</v>
      </c>
      <c r="R101" s="63"/>
      <c r="S101" s="69" t="str">
        <f t="shared" si="15"/>
        <v/>
      </c>
      <c r="T101" s="65"/>
      <c r="U101" s="69" t="str">
        <f t="shared" si="16"/>
        <v/>
      </c>
      <c r="V101" s="82" t="str">
        <f t="shared" si="17"/>
        <v/>
      </c>
      <c r="W101" s="65"/>
      <c r="X101" s="72" t="str">
        <f t="shared" si="18"/>
        <v/>
      </c>
    </row>
    <row r="102" ht="21" customHeight="1" spans="1:24">
      <c r="A102" s="61"/>
      <c r="B102" s="62"/>
      <c r="C102" s="63"/>
      <c r="D102" s="61"/>
      <c r="E102" s="65"/>
      <c r="F102" s="65"/>
      <c r="G102" s="65"/>
      <c r="H102" s="65"/>
      <c r="I102" s="69" t="str">
        <f>IF(E102="","",MROUND(E102*Settings!$B$16,Settings!$B$19))</f>
        <v/>
      </c>
      <c r="J102" s="69" t="str">
        <f>IF(H102="","",MROUND(H102*Settings!$B$17,Settings!$B$19))</f>
        <v/>
      </c>
      <c r="K102" s="69" t="str">
        <f>IF(OR(I102="",J102=""),"",MROUND(MIN(I102,J102),Settings!$B$19))</f>
        <v/>
      </c>
      <c r="L102" s="65"/>
      <c r="M102" s="69" t="str">
        <f>IF(OR(E102="",L102=""),"",MROUND(MIN(E102*Settings!$B$16,L102*Settings!$B$17),Settings!$B$19))</f>
        <v/>
      </c>
      <c r="N102" s="72" t="str">
        <f t="shared" si="19"/>
        <v/>
      </c>
      <c r="O102" s="62"/>
      <c r="P102" s="69" t="str">
        <f t="shared" si="14"/>
        <v/>
      </c>
      <c r="Q102" s="76">
        <f t="shared" si="21"/>
        <v>65</v>
      </c>
      <c r="R102" s="63"/>
      <c r="S102" s="69" t="str">
        <f t="shared" si="15"/>
        <v/>
      </c>
      <c r="T102" s="65"/>
      <c r="U102" s="69" t="str">
        <f t="shared" si="16"/>
        <v/>
      </c>
      <c r="V102" s="82" t="str">
        <f t="shared" si="17"/>
        <v/>
      </c>
      <c r="W102" s="65"/>
      <c r="X102" s="72" t="str">
        <f t="shared" si="18"/>
        <v/>
      </c>
    </row>
    <row r="103" ht="21" customHeight="1" spans="1:24">
      <c r="A103" s="61"/>
      <c r="B103" s="62"/>
      <c r="C103" s="63"/>
      <c r="D103" s="61"/>
      <c r="E103" s="65"/>
      <c r="F103" s="65"/>
      <c r="G103" s="65"/>
      <c r="H103" s="65"/>
      <c r="I103" s="69" t="str">
        <f>IF(E103="","",MROUND(E103*Settings!$B$16,Settings!$B$19))</f>
        <v/>
      </c>
      <c r="J103" s="69" t="str">
        <f>IF(H103="","",MROUND(H103*Settings!$B$17,Settings!$B$19))</f>
        <v/>
      </c>
      <c r="K103" s="69" t="str">
        <f>IF(OR(I103="",J103=""),"",MROUND(MIN(I103,J103),Settings!$B$19))</f>
        <v/>
      </c>
      <c r="L103" s="65"/>
      <c r="M103" s="69" t="str">
        <f>IF(OR(E103="",L103=""),"",MROUND(MIN(E103*Settings!$B$16,L103*Settings!$B$17),Settings!$B$19))</f>
        <v/>
      </c>
      <c r="N103" s="72" t="str">
        <f t="shared" si="19"/>
        <v/>
      </c>
      <c r="O103" s="62"/>
      <c r="P103" s="69" t="str">
        <f t="shared" si="14"/>
        <v/>
      </c>
      <c r="Q103" s="76">
        <f t="shared" si="21"/>
        <v>65</v>
      </c>
      <c r="R103" s="63"/>
      <c r="S103" s="69" t="str">
        <f t="shared" si="15"/>
        <v/>
      </c>
      <c r="T103" s="65"/>
      <c r="U103" s="69" t="str">
        <f t="shared" si="16"/>
        <v/>
      </c>
      <c r="V103" s="82" t="str">
        <f t="shared" si="17"/>
        <v/>
      </c>
      <c r="W103" s="65"/>
      <c r="X103" s="72" t="str">
        <f t="shared" si="18"/>
        <v/>
      </c>
    </row>
    <row r="104" ht="21" customHeight="1" spans="1:24">
      <c r="A104" s="61"/>
      <c r="B104" s="62"/>
      <c r="C104" s="63"/>
      <c r="D104" s="61"/>
      <c r="E104" s="65"/>
      <c r="F104" s="65"/>
      <c r="G104" s="65"/>
      <c r="H104" s="65"/>
      <c r="I104" s="69" t="str">
        <f>IF(E104="","",MROUND(E104*Settings!$B$16,Settings!$B$19))</f>
        <v/>
      </c>
      <c r="J104" s="69" t="str">
        <f>IF(H104="","",MROUND(H104*Settings!$B$17,Settings!$B$19))</f>
        <v/>
      </c>
      <c r="K104" s="69" t="str">
        <f>IF(OR(I104="",J104=""),"",MROUND(MIN(I104,J104),Settings!$B$19))</f>
        <v/>
      </c>
      <c r="L104" s="65"/>
      <c r="M104" s="69" t="str">
        <f>IF(OR(E104="",L104=""),"",MROUND(MIN(E104*Settings!$B$16,L104*Settings!$B$17),Settings!$B$19))</f>
        <v/>
      </c>
      <c r="N104" s="72" t="str">
        <f t="shared" si="19"/>
        <v/>
      </c>
      <c r="O104" s="62"/>
      <c r="P104" s="69" t="str">
        <f t="shared" si="14"/>
        <v/>
      </c>
      <c r="Q104" s="76">
        <f t="shared" si="21"/>
        <v>65</v>
      </c>
      <c r="R104" s="63"/>
      <c r="S104" s="69" t="str">
        <f t="shared" si="15"/>
        <v/>
      </c>
      <c r="T104" s="65"/>
      <c r="U104" s="69" t="str">
        <f t="shared" si="16"/>
        <v/>
      </c>
      <c r="V104" s="82" t="str">
        <f t="shared" si="17"/>
        <v/>
      </c>
      <c r="W104" s="65"/>
      <c r="X104" s="72" t="str">
        <f t="shared" si="18"/>
        <v/>
      </c>
    </row>
    <row r="105" ht="21" customHeight="1" spans="1:24">
      <c r="A105" s="61"/>
      <c r="B105" s="62"/>
      <c r="C105" s="63"/>
      <c r="D105" s="61"/>
      <c r="E105" s="65"/>
      <c r="F105" s="65"/>
      <c r="G105" s="65"/>
      <c r="H105" s="65"/>
      <c r="I105" s="69" t="str">
        <f>IF(E105="","",MROUND(E105*Settings!$B$16,Settings!$B$19))</f>
        <v/>
      </c>
      <c r="J105" s="69" t="str">
        <f>IF(H105="","",MROUND(H105*Settings!$B$17,Settings!$B$19))</f>
        <v/>
      </c>
      <c r="K105" s="69" t="str">
        <f>IF(OR(I105="",J105=""),"",MROUND(MIN(I105,J105),Settings!$B$19))</f>
        <v/>
      </c>
      <c r="L105" s="65"/>
      <c r="M105" s="69" t="str">
        <f>IF(OR(E105="",L105=""),"",MROUND(MIN(E105*Settings!$B$16,L105*Settings!$B$17),Settings!$B$19))</f>
        <v/>
      </c>
      <c r="N105" s="72" t="str">
        <f t="shared" si="19"/>
        <v/>
      </c>
      <c r="O105" s="62"/>
      <c r="P105" s="69" t="str">
        <f t="shared" si="14"/>
        <v/>
      </c>
      <c r="Q105" s="76">
        <f t="shared" ref="Q105:Q114" si="22">$B$7</f>
        <v>65</v>
      </c>
      <c r="R105" s="63"/>
      <c r="S105" s="69" t="str">
        <f t="shared" si="15"/>
        <v/>
      </c>
      <c r="T105" s="65"/>
      <c r="U105" s="69" t="str">
        <f t="shared" si="16"/>
        <v/>
      </c>
      <c r="V105" s="82" t="str">
        <f t="shared" si="17"/>
        <v/>
      </c>
      <c r="W105" s="65"/>
      <c r="X105" s="72" t="str">
        <f t="shared" si="18"/>
        <v/>
      </c>
    </row>
    <row r="106" ht="21" customHeight="1" spans="1:24">
      <c r="A106" s="61"/>
      <c r="B106" s="62"/>
      <c r="C106" s="63"/>
      <c r="D106" s="61"/>
      <c r="E106" s="65"/>
      <c r="F106" s="65"/>
      <c r="G106" s="65"/>
      <c r="H106" s="65"/>
      <c r="I106" s="69" t="str">
        <f>IF(E106="","",MROUND(E106*Settings!$B$16,Settings!$B$19))</f>
        <v/>
      </c>
      <c r="J106" s="69" t="str">
        <f>IF(H106="","",MROUND(H106*Settings!$B$17,Settings!$B$19))</f>
        <v/>
      </c>
      <c r="K106" s="69" t="str">
        <f>IF(OR(I106="",J106=""),"",MROUND(MIN(I106,J106),Settings!$B$19))</f>
        <v/>
      </c>
      <c r="L106" s="65"/>
      <c r="M106" s="69" t="str">
        <f>IF(OR(E106="",L106=""),"",MROUND(MIN(E106*Settings!$B$16,L106*Settings!$B$17),Settings!$B$19))</f>
        <v/>
      </c>
      <c r="N106" s="72" t="str">
        <f t="shared" si="19"/>
        <v/>
      </c>
      <c r="O106" s="62"/>
      <c r="P106" s="69" t="str">
        <f t="shared" si="14"/>
        <v/>
      </c>
      <c r="Q106" s="76">
        <f t="shared" si="22"/>
        <v>65</v>
      </c>
      <c r="R106" s="63"/>
      <c r="S106" s="69" t="str">
        <f t="shared" si="15"/>
        <v/>
      </c>
      <c r="T106" s="65"/>
      <c r="U106" s="69" t="str">
        <f t="shared" si="16"/>
        <v/>
      </c>
      <c r="V106" s="82" t="str">
        <f t="shared" si="17"/>
        <v/>
      </c>
      <c r="W106" s="65"/>
      <c r="X106" s="72" t="str">
        <f t="shared" si="18"/>
        <v/>
      </c>
    </row>
    <row r="107" ht="21" customHeight="1" spans="1:24">
      <c r="A107" s="61"/>
      <c r="B107" s="62"/>
      <c r="C107" s="63"/>
      <c r="D107" s="61"/>
      <c r="E107" s="65"/>
      <c r="F107" s="65"/>
      <c r="G107" s="65"/>
      <c r="H107" s="65"/>
      <c r="I107" s="69" t="str">
        <f>IF(E107="","",MROUND(E107*Settings!$B$16,Settings!$B$19))</f>
        <v/>
      </c>
      <c r="J107" s="69" t="str">
        <f>IF(H107="","",MROUND(H107*Settings!$B$17,Settings!$B$19))</f>
        <v/>
      </c>
      <c r="K107" s="69" t="str">
        <f>IF(OR(I107="",J107=""),"",MROUND(MIN(I107,J107),Settings!$B$19))</f>
        <v/>
      </c>
      <c r="L107" s="65"/>
      <c r="M107" s="69" t="str">
        <f>IF(OR(E107="",L107=""),"",MROUND(MIN(E107*Settings!$B$16,L107*Settings!$B$17),Settings!$B$19))</f>
        <v/>
      </c>
      <c r="N107" s="72" t="str">
        <f t="shared" si="19"/>
        <v/>
      </c>
      <c r="O107" s="62"/>
      <c r="P107" s="69" t="str">
        <f t="shared" si="14"/>
        <v/>
      </c>
      <c r="Q107" s="76">
        <f t="shared" si="22"/>
        <v>65</v>
      </c>
      <c r="R107" s="63"/>
      <c r="S107" s="69" t="str">
        <f t="shared" si="15"/>
        <v/>
      </c>
      <c r="T107" s="65"/>
      <c r="U107" s="69" t="str">
        <f t="shared" si="16"/>
        <v/>
      </c>
      <c r="V107" s="82" t="str">
        <f t="shared" si="17"/>
        <v/>
      </c>
      <c r="W107" s="65"/>
      <c r="X107" s="72" t="str">
        <f t="shared" si="18"/>
        <v/>
      </c>
    </row>
    <row r="108" ht="21" customHeight="1" spans="1:24">
      <c r="A108" s="61"/>
      <c r="B108" s="62"/>
      <c r="C108" s="63"/>
      <c r="D108" s="61"/>
      <c r="E108" s="65"/>
      <c r="F108" s="65"/>
      <c r="G108" s="65"/>
      <c r="H108" s="65"/>
      <c r="I108" s="69" t="str">
        <f>IF(E108="","",MROUND(E108*Settings!$B$16,Settings!$B$19))</f>
        <v/>
      </c>
      <c r="J108" s="69" t="str">
        <f>IF(H108="","",MROUND(H108*Settings!$B$17,Settings!$B$19))</f>
        <v/>
      </c>
      <c r="K108" s="69" t="str">
        <f>IF(OR(I108="",J108=""),"",MROUND(MIN(I108,J108),Settings!$B$19))</f>
        <v/>
      </c>
      <c r="L108" s="65"/>
      <c r="M108" s="69" t="str">
        <f>IF(OR(E108="",L108=""),"",MROUND(MIN(E108*Settings!$B$16,L108*Settings!$B$17),Settings!$B$19))</f>
        <v/>
      </c>
      <c r="N108" s="72" t="str">
        <f t="shared" si="19"/>
        <v/>
      </c>
      <c r="O108" s="62"/>
      <c r="P108" s="69" t="str">
        <f t="shared" si="14"/>
        <v/>
      </c>
      <c r="Q108" s="76">
        <f t="shared" si="22"/>
        <v>65</v>
      </c>
      <c r="R108" s="63"/>
      <c r="S108" s="69" t="str">
        <f t="shared" si="15"/>
        <v/>
      </c>
      <c r="T108" s="65"/>
      <c r="U108" s="69" t="str">
        <f t="shared" si="16"/>
        <v/>
      </c>
      <c r="V108" s="82" t="str">
        <f t="shared" si="17"/>
        <v/>
      </c>
      <c r="W108" s="65"/>
      <c r="X108" s="72" t="str">
        <f t="shared" si="18"/>
        <v/>
      </c>
    </row>
    <row r="109" ht="21" customHeight="1" spans="1:24">
      <c r="A109" s="61"/>
      <c r="B109" s="62"/>
      <c r="C109" s="63"/>
      <c r="D109" s="61"/>
      <c r="E109" s="65"/>
      <c r="F109" s="65"/>
      <c r="G109" s="65"/>
      <c r="H109" s="65"/>
      <c r="I109" s="69" t="str">
        <f>IF(E109="","",MROUND(E109*Settings!$B$16,Settings!$B$19))</f>
        <v/>
      </c>
      <c r="J109" s="69" t="str">
        <f>IF(H109="","",MROUND(H109*Settings!$B$17,Settings!$B$19))</f>
        <v/>
      </c>
      <c r="K109" s="69" t="str">
        <f>IF(OR(I109="",J109=""),"",MROUND(MIN(I109,J109),Settings!$B$19))</f>
        <v/>
      </c>
      <c r="L109" s="65"/>
      <c r="M109" s="69" t="str">
        <f>IF(OR(E109="",L109=""),"",MROUND(MIN(E109*Settings!$B$16,L109*Settings!$B$17),Settings!$B$19))</f>
        <v/>
      </c>
      <c r="N109" s="72" t="str">
        <f t="shared" si="19"/>
        <v/>
      </c>
      <c r="O109" s="62"/>
      <c r="P109" s="69" t="str">
        <f t="shared" si="14"/>
        <v/>
      </c>
      <c r="Q109" s="76">
        <f t="shared" si="22"/>
        <v>65</v>
      </c>
      <c r="R109" s="63"/>
      <c r="S109" s="69" t="str">
        <f t="shared" si="15"/>
        <v/>
      </c>
      <c r="T109" s="65"/>
      <c r="U109" s="69" t="str">
        <f t="shared" si="16"/>
        <v/>
      </c>
      <c r="V109" s="82" t="str">
        <f t="shared" si="17"/>
        <v/>
      </c>
      <c r="W109" s="65"/>
      <c r="X109" s="72" t="str">
        <f t="shared" si="18"/>
        <v/>
      </c>
    </row>
    <row r="110" ht="21" customHeight="1" spans="1:24">
      <c r="A110" s="61"/>
      <c r="B110" s="62"/>
      <c r="C110" s="63"/>
      <c r="D110" s="61"/>
      <c r="E110" s="65"/>
      <c r="F110" s="65"/>
      <c r="G110" s="65"/>
      <c r="H110" s="65"/>
      <c r="I110" s="69" t="str">
        <f>IF(E110="","",MROUND(E110*Settings!$B$16,Settings!$B$19))</f>
        <v/>
      </c>
      <c r="J110" s="69" t="str">
        <f>IF(H110="","",MROUND(H110*Settings!$B$17,Settings!$B$19))</f>
        <v/>
      </c>
      <c r="K110" s="69" t="str">
        <f>IF(OR(I110="",J110=""),"",MROUND(MIN(I110,J110),Settings!$B$19))</f>
        <v/>
      </c>
      <c r="L110" s="65"/>
      <c r="M110" s="69" t="str">
        <f>IF(OR(E110="",L110=""),"",MROUND(MIN(E110*Settings!$B$16,L110*Settings!$B$17),Settings!$B$19))</f>
        <v/>
      </c>
      <c r="N110" s="72" t="str">
        <f t="shared" si="19"/>
        <v/>
      </c>
      <c r="O110" s="62"/>
      <c r="P110" s="69" t="str">
        <f t="shared" si="14"/>
        <v/>
      </c>
      <c r="Q110" s="76">
        <f t="shared" si="22"/>
        <v>65</v>
      </c>
      <c r="R110" s="63"/>
      <c r="S110" s="69" t="str">
        <f t="shared" si="15"/>
        <v/>
      </c>
      <c r="T110" s="65"/>
      <c r="U110" s="69" t="str">
        <f t="shared" si="16"/>
        <v/>
      </c>
      <c r="V110" s="82" t="str">
        <f t="shared" si="17"/>
        <v/>
      </c>
      <c r="W110" s="65"/>
      <c r="X110" s="72" t="str">
        <f t="shared" si="18"/>
        <v/>
      </c>
    </row>
    <row r="111" ht="21" customHeight="1" spans="1:24">
      <c r="A111" s="61"/>
      <c r="B111" s="62"/>
      <c r="C111" s="63"/>
      <c r="D111" s="61"/>
      <c r="E111" s="65"/>
      <c r="F111" s="65"/>
      <c r="G111" s="65"/>
      <c r="H111" s="65"/>
      <c r="I111" s="69" t="str">
        <f>IF(E111="","",MROUND(E111*Settings!$B$16,Settings!$B$19))</f>
        <v/>
      </c>
      <c r="J111" s="69" t="str">
        <f>IF(H111="","",MROUND(H111*Settings!$B$17,Settings!$B$19))</f>
        <v/>
      </c>
      <c r="K111" s="69" t="str">
        <f>IF(OR(I111="",J111=""),"",MROUND(MIN(I111,J111),Settings!$B$19))</f>
        <v/>
      </c>
      <c r="L111" s="65"/>
      <c r="M111" s="69" t="str">
        <f>IF(OR(E111="",L111=""),"",MROUND(MIN(E111*Settings!$B$16,L111*Settings!$B$17),Settings!$B$19))</f>
        <v/>
      </c>
      <c r="N111" s="72" t="str">
        <f t="shared" ref="N111:N142" si="23">IF(B111="","",IF(B111="CALL Sell","Gap Up Calculation","Gap Down Calculation"))</f>
        <v/>
      </c>
      <c r="O111" s="62"/>
      <c r="P111" s="69" t="str">
        <f t="shared" si="14"/>
        <v/>
      </c>
      <c r="Q111" s="76">
        <f t="shared" si="22"/>
        <v>65</v>
      </c>
      <c r="R111" s="63"/>
      <c r="S111" s="69" t="str">
        <f t="shared" si="15"/>
        <v/>
      </c>
      <c r="T111" s="65"/>
      <c r="U111" s="69" t="str">
        <f t="shared" si="16"/>
        <v/>
      </c>
      <c r="V111" s="82" t="str">
        <f t="shared" si="17"/>
        <v/>
      </c>
      <c r="W111" s="65"/>
      <c r="X111" s="72" t="str">
        <f t="shared" si="18"/>
        <v/>
      </c>
    </row>
    <row r="112" ht="21" customHeight="1" spans="1:24">
      <c r="A112" s="61"/>
      <c r="B112" s="62"/>
      <c r="C112" s="63"/>
      <c r="D112" s="61"/>
      <c r="E112" s="65"/>
      <c r="F112" s="65"/>
      <c r="G112" s="65"/>
      <c r="H112" s="65"/>
      <c r="I112" s="69" t="str">
        <f>IF(E112="","",MROUND(E112*Settings!$B$16,Settings!$B$19))</f>
        <v/>
      </c>
      <c r="J112" s="69" t="str">
        <f>IF(H112="","",MROUND(H112*Settings!$B$17,Settings!$B$19))</f>
        <v/>
      </c>
      <c r="K112" s="69" t="str">
        <f>IF(OR(I112="",J112=""),"",MROUND(MIN(I112,J112),Settings!$B$19))</f>
        <v/>
      </c>
      <c r="L112" s="65"/>
      <c r="M112" s="69" t="str">
        <f>IF(OR(E112="",L112=""),"",MROUND(MIN(E112*Settings!$B$16,L112*Settings!$B$17),Settings!$B$19))</f>
        <v/>
      </c>
      <c r="N112" s="72" t="str">
        <f t="shared" si="23"/>
        <v/>
      </c>
      <c r="O112" s="62"/>
      <c r="P112" s="69" t="str">
        <f t="shared" si="14"/>
        <v/>
      </c>
      <c r="Q112" s="76">
        <f t="shared" si="22"/>
        <v>65</v>
      </c>
      <c r="R112" s="63"/>
      <c r="S112" s="69" t="str">
        <f t="shared" si="15"/>
        <v/>
      </c>
      <c r="T112" s="65"/>
      <c r="U112" s="69" t="str">
        <f t="shared" si="16"/>
        <v/>
      </c>
      <c r="V112" s="82" t="str">
        <f t="shared" si="17"/>
        <v/>
      </c>
      <c r="W112" s="65"/>
      <c r="X112" s="72" t="str">
        <f t="shared" si="18"/>
        <v/>
      </c>
    </row>
    <row r="113" ht="21" customHeight="1" spans="1:24">
      <c r="A113" s="61"/>
      <c r="B113" s="62"/>
      <c r="C113" s="63"/>
      <c r="D113" s="61"/>
      <c r="E113" s="65"/>
      <c r="F113" s="65"/>
      <c r="G113" s="65"/>
      <c r="H113" s="65"/>
      <c r="I113" s="69" t="str">
        <f>IF(E113="","",MROUND(E113*Settings!$B$16,Settings!$B$19))</f>
        <v/>
      </c>
      <c r="J113" s="69" t="str">
        <f>IF(H113="","",MROUND(H113*Settings!$B$17,Settings!$B$19))</f>
        <v/>
      </c>
      <c r="K113" s="69" t="str">
        <f>IF(OR(I113="",J113=""),"",MROUND(MIN(I113,J113),Settings!$B$19))</f>
        <v/>
      </c>
      <c r="L113" s="65"/>
      <c r="M113" s="69" t="str">
        <f>IF(OR(E113="",L113=""),"",MROUND(MIN(E113*Settings!$B$16,L113*Settings!$B$17),Settings!$B$19))</f>
        <v/>
      </c>
      <c r="N113" s="72" t="str">
        <f t="shared" si="23"/>
        <v/>
      </c>
      <c r="O113" s="62"/>
      <c r="P113" s="69" t="str">
        <f t="shared" si="14"/>
        <v/>
      </c>
      <c r="Q113" s="76">
        <f t="shared" si="22"/>
        <v>65</v>
      </c>
      <c r="R113" s="63"/>
      <c r="S113" s="69" t="str">
        <f t="shared" si="15"/>
        <v/>
      </c>
      <c r="T113" s="65"/>
      <c r="U113" s="69" t="str">
        <f t="shared" si="16"/>
        <v/>
      </c>
      <c r="V113" s="82" t="str">
        <f t="shared" si="17"/>
        <v/>
      </c>
      <c r="W113" s="65"/>
      <c r="X113" s="72" t="str">
        <f t="shared" si="18"/>
        <v/>
      </c>
    </row>
    <row r="114" ht="21" customHeight="1" spans="1:24">
      <c r="A114" s="61"/>
      <c r="B114" s="62"/>
      <c r="C114" s="63"/>
      <c r="D114" s="61"/>
      <c r="E114" s="65"/>
      <c r="F114" s="65"/>
      <c r="G114" s="65"/>
      <c r="H114" s="65"/>
      <c r="I114" s="69" t="str">
        <f>IF(E114="","",MROUND(E114*Settings!$B$16,Settings!$B$19))</f>
        <v/>
      </c>
      <c r="J114" s="69" t="str">
        <f>IF(H114="","",MROUND(H114*Settings!$B$17,Settings!$B$19))</f>
        <v/>
      </c>
      <c r="K114" s="69" t="str">
        <f>IF(OR(I114="",J114=""),"",MROUND(MIN(I114,J114),Settings!$B$19))</f>
        <v/>
      </c>
      <c r="L114" s="65"/>
      <c r="M114" s="69" t="str">
        <f>IF(OR(E114="",L114=""),"",MROUND(MIN(E114*Settings!$B$16,L114*Settings!$B$17),Settings!$B$19))</f>
        <v/>
      </c>
      <c r="N114" s="72" t="str">
        <f t="shared" si="23"/>
        <v/>
      </c>
      <c r="O114" s="62"/>
      <c r="P114" s="69" t="str">
        <f t="shared" si="14"/>
        <v/>
      </c>
      <c r="Q114" s="76">
        <f t="shared" si="22"/>
        <v>65</v>
      </c>
      <c r="R114" s="63"/>
      <c r="S114" s="69" t="str">
        <f t="shared" si="15"/>
        <v/>
      </c>
      <c r="T114" s="65"/>
      <c r="U114" s="69" t="str">
        <f t="shared" si="16"/>
        <v/>
      </c>
      <c r="V114" s="82" t="str">
        <f t="shared" si="17"/>
        <v/>
      </c>
      <c r="W114" s="65"/>
      <c r="X114" s="72" t="str">
        <f t="shared" si="18"/>
        <v/>
      </c>
    </row>
    <row r="115" ht="21" customHeight="1" spans="1:24">
      <c r="A115" s="61"/>
      <c r="B115" s="62"/>
      <c r="C115" s="63"/>
      <c r="D115" s="61"/>
      <c r="E115" s="65"/>
      <c r="F115" s="65"/>
      <c r="G115" s="65"/>
      <c r="H115" s="65"/>
      <c r="I115" s="69" t="str">
        <f>IF(E115="","",MROUND(E115*Settings!$B$16,Settings!$B$19))</f>
        <v/>
      </c>
      <c r="J115" s="69" t="str">
        <f>IF(H115="","",MROUND(H115*Settings!$B$17,Settings!$B$19))</f>
        <v/>
      </c>
      <c r="K115" s="69" t="str">
        <f>IF(OR(I115="",J115=""),"",MROUND(MIN(I115,J115),Settings!$B$19))</f>
        <v/>
      </c>
      <c r="L115" s="65"/>
      <c r="M115" s="69" t="str">
        <f>IF(OR(E115="",L115=""),"",MROUND(MIN(E115*Settings!$B$16,L115*Settings!$B$17),Settings!$B$19))</f>
        <v/>
      </c>
      <c r="N115" s="72" t="str">
        <f t="shared" si="23"/>
        <v/>
      </c>
      <c r="O115" s="62"/>
      <c r="P115" s="69" t="str">
        <f t="shared" si="14"/>
        <v/>
      </c>
      <c r="Q115" s="76">
        <f t="shared" ref="Q115:Q124" si="24">$B$7</f>
        <v>65</v>
      </c>
      <c r="R115" s="63"/>
      <c r="S115" s="69" t="str">
        <f t="shared" si="15"/>
        <v/>
      </c>
      <c r="T115" s="65"/>
      <c r="U115" s="69" t="str">
        <f t="shared" si="16"/>
        <v/>
      </c>
      <c r="V115" s="82" t="str">
        <f t="shared" si="17"/>
        <v/>
      </c>
      <c r="W115" s="65"/>
      <c r="X115" s="72" t="str">
        <f t="shared" si="18"/>
        <v/>
      </c>
    </row>
    <row r="116" ht="21" customHeight="1" spans="1:24">
      <c r="A116" s="61"/>
      <c r="B116" s="62"/>
      <c r="C116" s="63"/>
      <c r="D116" s="61"/>
      <c r="E116" s="65"/>
      <c r="F116" s="65"/>
      <c r="G116" s="65"/>
      <c r="H116" s="65"/>
      <c r="I116" s="69" t="str">
        <f>IF(E116="","",MROUND(E116*Settings!$B$16,Settings!$B$19))</f>
        <v/>
      </c>
      <c r="J116" s="69" t="str">
        <f>IF(H116="","",MROUND(H116*Settings!$B$17,Settings!$B$19))</f>
        <v/>
      </c>
      <c r="K116" s="69" t="str">
        <f>IF(OR(I116="",J116=""),"",MROUND(MIN(I116,J116),Settings!$B$19))</f>
        <v/>
      </c>
      <c r="L116" s="65"/>
      <c r="M116" s="69" t="str">
        <f>IF(OR(E116="",L116=""),"",MROUND(MIN(E116*Settings!$B$16,L116*Settings!$B$17),Settings!$B$19))</f>
        <v/>
      </c>
      <c r="N116" s="72" t="str">
        <f t="shared" si="23"/>
        <v/>
      </c>
      <c r="O116" s="62"/>
      <c r="P116" s="69" t="str">
        <f t="shared" si="14"/>
        <v/>
      </c>
      <c r="Q116" s="76">
        <f t="shared" si="24"/>
        <v>65</v>
      </c>
      <c r="R116" s="63"/>
      <c r="S116" s="69" t="str">
        <f t="shared" si="15"/>
        <v/>
      </c>
      <c r="T116" s="65"/>
      <c r="U116" s="69" t="str">
        <f t="shared" si="16"/>
        <v/>
      </c>
      <c r="V116" s="82" t="str">
        <f t="shared" si="17"/>
        <v/>
      </c>
      <c r="W116" s="65"/>
      <c r="X116" s="72" t="str">
        <f t="shared" si="18"/>
        <v/>
      </c>
    </row>
    <row r="117" ht="21" customHeight="1" spans="1:24">
      <c r="A117" s="61"/>
      <c r="B117" s="62"/>
      <c r="C117" s="63"/>
      <c r="D117" s="61"/>
      <c r="E117" s="65"/>
      <c r="F117" s="65"/>
      <c r="G117" s="65"/>
      <c r="H117" s="65"/>
      <c r="I117" s="69" t="str">
        <f>IF(E117="","",MROUND(E117*Settings!$B$16,Settings!$B$19))</f>
        <v/>
      </c>
      <c r="J117" s="69" t="str">
        <f>IF(H117="","",MROUND(H117*Settings!$B$17,Settings!$B$19))</f>
        <v/>
      </c>
      <c r="K117" s="69" t="str">
        <f>IF(OR(I117="",J117=""),"",MROUND(MIN(I117,J117),Settings!$B$19))</f>
        <v/>
      </c>
      <c r="L117" s="65"/>
      <c r="M117" s="69" t="str">
        <f>IF(OR(E117="",L117=""),"",MROUND(MIN(E117*Settings!$B$16,L117*Settings!$B$17),Settings!$B$19))</f>
        <v/>
      </c>
      <c r="N117" s="72" t="str">
        <f t="shared" si="23"/>
        <v/>
      </c>
      <c r="O117" s="62"/>
      <c r="P117" s="69" t="str">
        <f t="shared" si="14"/>
        <v/>
      </c>
      <c r="Q117" s="76">
        <f t="shared" si="24"/>
        <v>65</v>
      </c>
      <c r="R117" s="63"/>
      <c r="S117" s="69" t="str">
        <f t="shared" si="15"/>
        <v/>
      </c>
      <c r="T117" s="65"/>
      <c r="U117" s="69" t="str">
        <f t="shared" si="16"/>
        <v/>
      </c>
      <c r="V117" s="82" t="str">
        <f t="shared" si="17"/>
        <v/>
      </c>
      <c r="W117" s="65"/>
      <c r="X117" s="72" t="str">
        <f t="shared" si="18"/>
        <v/>
      </c>
    </row>
    <row r="118" ht="21" customHeight="1" spans="1:24">
      <c r="A118" s="61"/>
      <c r="B118" s="62"/>
      <c r="C118" s="63"/>
      <c r="D118" s="61"/>
      <c r="E118" s="65"/>
      <c r="F118" s="65"/>
      <c r="G118" s="65"/>
      <c r="H118" s="65"/>
      <c r="I118" s="69" t="str">
        <f>IF(E118="","",MROUND(E118*Settings!$B$16,Settings!$B$19))</f>
        <v/>
      </c>
      <c r="J118" s="69" t="str">
        <f>IF(H118="","",MROUND(H118*Settings!$B$17,Settings!$B$19))</f>
        <v/>
      </c>
      <c r="K118" s="69" t="str">
        <f>IF(OR(I118="",J118=""),"",MROUND(MIN(I118,J118),Settings!$B$19))</f>
        <v/>
      </c>
      <c r="L118" s="65"/>
      <c r="M118" s="69" t="str">
        <f>IF(OR(E118="",L118=""),"",MROUND(MIN(E118*Settings!$B$16,L118*Settings!$B$17),Settings!$B$19))</f>
        <v/>
      </c>
      <c r="N118" s="72" t="str">
        <f t="shared" si="23"/>
        <v/>
      </c>
      <c r="O118" s="62"/>
      <c r="P118" s="69" t="str">
        <f t="shared" si="14"/>
        <v/>
      </c>
      <c r="Q118" s="76">
        <f t="shared" si="24"/>
        <v>65</v>
      </c>
      <c r="R118" s="63"/>
      <c r="S118" s="69" t="str">
        <f t="shared" si="15"/>
        <v/>
      </c>
      <c r="T118" s="65"/>
      <c r="U118" s="69" t="str">
        <f t="shared" si="16"/>
        <v/>
      </c>
      <c r="V118" s="82" t="str">
        <f t="shared" si="17"/>
        <v/>
      </c>
      <c r="W118" s="65"/>
      <c r="X118" s="72" t="str">
        <f t="shared" si="18"/>
        <v/>
      </c>
    </row>
    <row r="119" ht="21" customHeight="1" spans="1:24">
      <c r="A119" s="61"/>
      <c r="B119" s="62"/>
      <c r="C119" s="63"/>
      <c r="D119" s="61"/>
      <c r="E119" s="65"/>
      <c r="F119" s="65"/>
      <c r="G119" s="65"/>
      <c r="H119" s="65"/>
      <c r="I119" s="69" t="str">
        <f>IF(E119="","",MROUND(E119*Settings!$B$16,Settings!$B$19))</f>
        <v/>
      </c>
      <c r="J119" s="69" t="str">
        <f>IF(H119="","",MROUND(H119*Settings!$B$17,Settings!$B$19))</f>
        <v/>
      </c>
      <c r="K119" s="69" t="str">
        <f>IF(OR(I119="",J119=""),"",MROUND(MIN(I119,J119),Settings!$B$19))</f>
        <v/>
      </c>
      <c r="L119" s="65"/>
      <c r="M119" s="69" t="str">
        <f>IF(OR(E119="",L119=""),"",MROUND(MIN(E119*Settings!$B$16,L119*Settings!$B$17),Settings!$B$19))</f>
        <v/>
      </c>
      <c r="N119" s="72" t="str">
        <f t="shared" si="23"/>
        <v/>
      </c>
      <c r="O119" s="62"/>
      <c r="P119" s="69" t="str">
        <f t="shared" si="14"/>
        <v/>
      </c>
      <c r="Q119" s="76">
        <f t="shared" si="24"/>
        <v>65</v>
      </c>
      <c r="R119" s="63"/>
      <c r="S119" s="69" t="str">
        <f t="shared" si="15"/>
        <v/>
      </c>
      <c r="T119" s="65"/>
      <c r="U119" s="69" t="str">
        <f t="shared" si="16"/>
        <v/>
      </c>
      <c r="V119" s="82" t="str">
        <f t="shared" si="17"/>
        <v/>
      </c>
      <c r="W119" s="65"/>
      <c r="X119" s="72" t="str">
        <f t="shared" si="18"/>
        <v/>
      </c>
    </row>
    <row r="120" ht="21" customHeight="1" spans="1:24">
      <c r="A120" s="61"/>
      <c r="B120" s="62"/>
      <c r="C120" s="63"/>
      <c r="D120" s="61"/>
      <c r="E120" s="65"/>
      <c r="F120" s="65"/>
      <c r="G120" s="65"/>
      <c r="H120" s="65"/>
      <c r="I120" s="69" t="str">
        <f>IF(E120="","",MROUND(E120*Settings!$B$16,Settings!$B$19))</f>
        <v/>
      </c>
      <c r="J120" s="69" t="str">
        <f>IF(H120="","",MROUND(H120*Settings!$B$17,Settings!$B$19))</f>
        <v/>
      </c>
      <c r="K120" s="69" t="str">
        <f>IF(OR(I120="",J120=""),"",MROUND(MIN(I120,J120),Settings!$B$19))</f>
        <v/>
      </c>
      <c r="L120" s="65"/>
      <c r="M120" s="69" t="str">
        <f>IF(OR(E120="",L120=""),"",MROUND(MIN(E120*Settings!$B$16,L120*Settings!$B$17),Settings!$B$19))</f>
        <v/>
      </c>
      <c r="N120" s="72" t="str">
        <f t="shared" si="23"/>
        <v/>
      </c>
      <c r="O120" s="62"/>
      <c r="P120" s="69" t="str">
        <f t="shared" si="14"/>
        <v/>
      </c>
      <c r="Q120" s="76">
        <f t="shared" si="24"/>
        <v>65</v>
      </c>
      <c r="R120" s="63"/>
      <c r="S120" s="69" t="str">
        <f t="shared" si="15"/>
        <v/>
      </c>
      <c r="T120" s="65"/>
      <c r="U120" s="69" t="str">
        <f t="shared" si="16"/>
        <v/>
      </c>
      <c r="V120" s="82" t="str">
        <f t="shared" si="17"/>
        <v/>
      </c>
      <c r="W120" s="65"/>
      <c r="X120" s="72" t="str">
        <f t="shared" si="18"/>
        <v/>
      </c>
    </row>
    <row r="121" ht="21" customHeight="1" spans="1:24">
      <c r="A121" s="61"/>
      <c r="B121" s="62"/>
      <c r="C121" s="63"/>
      <c r="D121" s="61"/>
      <c r="E121" s="65"/>
      <c r="F121" s="65"/>
      <c r="G121" s="65"/>
      <c r="H121" s="65"/>
      <c r="I121" s="69" t="str">
        <f>IF(E121="","",MROUND(E121*Settings!$B$16,Settings!$B$19))</f>
        <v/>
      </c>
      <c r="J121" s="69" t="str">
        <f>IF(H121="","",MROUND(H121*Settings!$B$17,Settings!$B$19))</f>
        <v/>
      </c>
      <c r="K121" s="69" t="str">
        <f>IF(OR(I121="",J121=""),"",MROUND(MIN(I121,J121),Settings!$B$19))</f>
        <v/>
      </c>
      <c r="L121" s="65"/>
      <c r="M121" s="69" t="str">
        <f>IF(OR(E121="",L121=""),"",MROUND(MIN(E121*Settings!$B$16,L121*Settings!$B$17),Settings!$B$19))</f>
        <v/>
      </c>
      <c r="N121" s="72" t="str">
        <f t="shared" si="23"/>
        <v/>
      </c>
      <c r="O121" s="62"/>
      <c r="P121" s="69" t="str">
        <f t="shared" si="14"/>
        <v/>
      </c>
      <c r="Q121" s="76">
        <f t="shared" si="24"/>
        <v>65</v>
      </c>
      <c r="R121" s="63"/>
      <c r="S121" s="69" t="str">
        <f t="shared" si="15"/>
        <v/>
      </c>
      <c r="T121" s="65"/>
      <c r="U121" s="69" t="str">
        <f t="shared" si="16"/>
        <v/>
      </c>
      <c r="V121" s="82" t="str">
        <f t="shared" si="17"/>
        <v/>
      </c>
      <c r="W121" s="65"/>
      <c r="X121" s="72" t="str">
        <f t="shared" si="18"/>
        <v/>
      </c>
    </row>
    <row r="122" ht="21" customHeight="1" spans="1:24">
      <c r="A122" s="61"/>
      <c r="B122" s="62"/>
      <c r="C122" s="63"/>
      <c r="D122" s="61"/>
      <c r="E122" s="65"/>
      <c r="F122" s="65"/>
      <c r="G122" s="65"/>
      <c r="H122" s="65"/>
      <c r="I122" s="69" t="str">
        <f>IF(E122="","",MROUND(E122*Settings!$B$16,Settings!$B$19))</f>
        <v/>
      </c>
      <c r="J122" s="69" t="str">
        <f>IF(H122="","",MROUND(H122*Settings!$B$17,Settings!$B$19))</f>
        <v/>
      </c>
      <c r="K122" s="69" t="str">
        <f>IF(OR(I122="",J122=""),"",MROUND(MIN(I122,J122),Settings!$B$19))</f>
        <v/>
      </c>
      <c r="L122" s="65"/>
      <c r="M122" s="69" t="str">
        <f>IF(OR(E122="",L122=""),"",MROUND(MIN(E122*Settings!$B$16,L122*Settings!$B$17),Settings!$B$19))</f>
        <v/>
      </c>
      <c r="N122" s="72" t="str">
        <f t="shared" si="23"/>
        <v/>
      </c>
      <c r="O122" s="62"/>
      <c r="P122" s="69" t="str">
        <f t="shared" si="14"/>
        <v/>
      </c>
      <c r="Q122" s="76">
        <f t="shared" si="24"/>
        <v>65</v>
      </c>
      <c r="R122" s="63"/>
      <c r="S122" s="69" t="str">
        <f t="shared" si="15"/>
        <v/>
      </c>
      <c r="T122" s="65"/>
      <c r="U122" s="69" t="str">
        <f t="shared" si="16"/>
        <v/>
      </c>
      <c r="V122" s="82" t="str">
        <f t="shared" si="17"/>
        <v/>
      </c>
      <c r="W122" s="65"/>
      <c r="X122" s="72" t="str">
        <f t="shared" si="18"/>
        <v/>
      </c>
    </row>
    <row r="123" ht="21" customHeight="1" spans="1:24">
      <c r="A123" s="61"/>
      <c r="B123" s="62"/>
      <c r="C123" s="63"/>
      <c r="D123" s="61"/>
      <c r="E123" s="65"/>
      <c r="F123" s="65"/>
      <c r="G123" s="65"/>
      <c r="H123" s="65"/>
      <c r="I123" s="69" t="str">
        <f>IF(E123="","",MROUND(E123*Settings!$B$16,Settings!$B$19))</f>
        <v/>
      </c>
      <c r="J123" s="69" t="str">
        <f>IF(H123="","",MROUND(H123*Settings!$B$17,Settings!$B$19))</f>
        <v/>
      </c>
      <c r="K123" s="69" t="str">
        <f>IF(OR(I123="",J123=""),"",MROUND(MIN(I123,J123),Settings!$B$19))</f>
        <v/>
      </c>
      <c r="L123" s="65"/>
      <c r="M123" s="69" t="str">
        <f>IF(OR(E123="",L123=""),"",MROUND(MIN(E123*Settings!$B$16,L123*Settings!$B$17),Settings!$B$19))</f>
        <v/>
      </c>
      <c r="N123" s="72" t="str">
        <f t="shared" si="23"/>
        <v/>
      </c>
      <c r="O123" s="62"/>
      <c r="P123" s="69" t="str">
        <f t="shared" si="14"/>
        <v/>
      </c>
      <c r="Q123" s="76">
        <f t="shared" si="24"/>
        <v>65</v>
      </c>
      <c r="R123" s="63"/>
      <c r="S123" s="69" t="str">
        <f t="shared" si="15"/>
        <v/>
      </c>
      <c r="T123" s="65"/>
      <c r="U123" s="69" t="str">
        <f t="shared" si="16"/>
        <v/>
      </c>
      <c r="V123" s="82" t="str">
        <f t="shared" si="17"/>
        <v/>
      </c>
      <c r="W123" s="65"/>
      <c r="X123" s="72" t="str">
        <f t="shared" si="18"/>
        <v/>
      </c>
    </row>
    <row r="124" ht="21" customHeight="1" spans="1:24">
      <c r="A124" s="61"/>
      <c r="B124" s="62"/>
      <c r="C124" s="63"/>
      <c r="D124" s="61"/>
      <c r="E124" s="65"/>
      <c r="F124" s="65"/>
      <c r="G124" s="65"/>
      <c r="H124" s="65"/>
      <c r="I124" s="69" t="str">
        <f>IF(E124="","",MROUND(E124*Settings!$B$16,Settings!$B$19))</f>
        <v/>
      </c>
      <c r="J124" s="69" t="str">
        <f>IF(H124="","",MROUND(H124*Settings!$B$17,Settings!$B$19))</f>
        <v/>
      </c>
      <c r="K124" s="69" t="str">
        <f>IF(OR(I124="",J124=""),"",MROUND(MIN(I124,J124),Settings!$B$19))</f>
        <v/>
      </c>
      <c r="L124" s="65"/>
      <c r="M124" s="69" t="str">
        <f>IF(OR(E124="",L124=""),"",MROUND(MIN(E124*Settings!$B$16,L124*Settings!$B$17),Settings!$B$19))</f>
        <v/>
      </c>
      <c r="N124" s="72" t="str">
        <f t="shared" si="23"/>
        <v/>
      </c>
      <c r="O124" s="62"/>
      <c r="P124" s="69" t="str">
        <f t="shared" si="14"/>
        <v/>
      </c>
      <c r="Q124" s="76">
        <f t="shared" si="24"/>
        <v>65</v>
      </c>
      <c r="R124" s="63"/>
      <c r="S124" s="69" t="str">
        <f t="shared" si="15"/>
        <v/>
      </c>
      <c r="T124" s="65"/>
      <c r="U124" s="69" t="str">
        <f t="shared" si="16"/>
        <v/>
      </c>
      <c r="V124" s="82" t="str">
        <f t="shared" si="17"/>
        <v/>
      </c>
      <c r="W124" s="65"/>
      <c r="X124" s="72" t="str">
        <f t="shared" si="18"/>
        <v/>
      </c>
    </row>
    <row r="125" ht="21" customHeight="1" spans="1:24">
      <c r="A125" s="61"/>
      <c r="B125" s="62"/>
      <c r="C125" s="63"/>
      <c r="D125" s="61"/>
      <c r="E125" s="65"/>
      <c r="F125" s="65"/>
      <c r="G125" s="65"/>
      <c r="H125" s="65"/>
      <c r="I125" s="69" t="str">
        <f>IF(E125="","",MROUND(E125*Settings!$B$16,Settings!$B$19))</f>
        <v/>
      </c>
      <c r="J125" s="69" t="str">
        <f>IF(H125="","",MROUND(H125*Settings!$B$17,Settings!$B$19))</f>
        <v/>
      </c>
      <c r="K125" s="69" t="str">
        <f>IF(OR(I125="",J125=""),"",MROUND(MIN(I125,J125),Settings!$B$19))</f>
        <v/>
      </c>
      <c r="L125" s="65"/>
      <c r="M125" s="69" t="str">
        <f>IF(OR(E125="",L125=""),"",MROUND(MIN(E125*Settings!$B$16,L125*Settings!$B$17),Settings!$B$19))</f>
        <v/>
      </c>
      <c r="N125" s="72" t="str">
        <f t="shared" si="23"/>
        <v/>
      </c>
      <c r="O125" s="62"/>
      <c r="P125" s="69" t="str">
        <f t="shared" si="14"/>
        <v/>
      </c>
      <c r="Q125" s="76">
        <f t="shared" ref="Q125:Q134" si="25">$B$7</f>
        <v>65</v>
      </c>
      <c r="R125" s="63"/>
      <c r="S125" s="69" t="str">
        <f t="shared" si="15"/>
        <v/>
      </c>
      <c r="T125" s="65"/>
      <c r="U125" s="69" t="str">
        <f t="shared" si="16"/>
        <v/>
      </c>
      <c r="V125" s="82" t="str">
        <f t="shared" si="17"/>
        <v/>
      </c>
      <c r="W125" s="65"/>
      <c r="X125" s="72" t="str">
        <f t="shared" si="18"/>
        <v/>
      </c>
    </row>
    <row r="126" ht="21" customHeight="1" spans="1:24">
      <c r="A126" s="61"/>
      <c r="B126" s="62"/>
      <c r="C126" s="63"/>
      <c r="D126" s="61"/>
      <c r="E126" s="65"/>
      <c r="F126" s="65"/>
      <c r="G126" s="65"/>
      <c r="H126" s="65"/>
      <c r="I126" s="69" t="str">
        <f>IF(E126="","",MROUND(E126*Settings!$B$16,Settings!$B$19))</f>
        <v/>
      </c>
      <c r="J126" s="69" t="str">
        <f>IF(H126="","",MROUND(H126*Settings!$B$17,Settings!$B$19))</f>
        <v/>
      </c>
      <c r="K126" s="69" t="str">
        <f>IF(OR(I126="",J126=""),"",MROUND(MIN(I126,J126),Settings!$B$19))</f>
        <v/>
      </c>
      <c r="L126" s="65"/>
      <c r="M126" s="69" t="str">
        <f>IF(OR(E126="",L126=""),"",MROUND(MIN(E126*Settings!$B$16,L126*Settings!$B$17),Settings!$B$19))</f>
        <v/>
      </c>
      <c r="N126" s="72" t="str">
        <f t="shared" si="23"/>
        <v/>
      </c>
      <c r="O126" s="62"/>
      <c r="P126" s="69" t="str">
        <f t="shared" si="14"/>
        <v/>
      </c>
      <c r="Q126" s="76">
        <f t="shared" si="25"/>
        <v>65</v>
      </c>
      <c r="R126" s="63"/>
      <c r="S126" s="69" t="str">
        <f t="shared" si="15"/>
        <v/>
      </c>
      <c r="T126" s="65"/>
      <c r="U126" s="69" t="str">
        <f t="shared" si="16"/>
        <v/>
      </c>
      <c r="V126" s="82" t="str">
        <f t="shared" si="17"/>
        <v/>
      </c>
      <c r="W126" s="65"/>
      <c r="X126" s="72" t="str">
        <f t="shared" si="18"/>
        <v/>
      </c>
    </row>
    <row r="127" ht="21" customHeight="1" spans="1:24">
      <c r="A127" s="61"/>
      <c r="B127" s="62"/>
      <c r="C127" s="63"/>
      <c r="D127" s="61"/>
      <c r="E127" s="65"/>
      <c r="F127" s="65"/>
      <c r="G127" s="65"/>
      <c r="H127" s="65"/>
      <c r="I127" s="69" t="str">
        <f>IF(E127="","",MROUND(E127*Settings!$B$16,Settings!$B$19))</f>
        <v/>
      </c>
      <c r="J127" s="69" t="str">
        <f>IF(H127="","",MROUND(H127*Settings!$B$17,Settings!$B$19))</f>
        <v/>
      </c>
      <c r="K127" s="69" t="str">
        <f>IF(OR(I127="",J127=""),"",MROUND(MIN(I127,J127),Settings!$B$19))</f>
        <v/>
      </c>
      <c r="L127" s="65"/>
      <c r="M127" s="69" t="str">
        <f>IF(OR(E127="",L127=""),"",MROUND(MIN(E127*Settings!$B$16,L127*Settings!$B$17),Settings!$B$19))</f>
        <v/>
      </c>
      <c r="N127" s="72" t="str">
        <f t="shared" si="23"/>
        <v/>
      </c>
      <c r="O127" s="62"/>
      <c r="P127" s="69" t="str">
        <f t="shared" si="14"/>
        <v/>
      </c>
      <c r="Q127" s="76">
        <f t="shared" si="25"/>
        <v>65</v>
      </c>
      <c r="R127" s="63"/>
      <c r="S127" s="69" t="str">
        <f t="shared" si="15"/>
        <v/>
      </c>
      <c r="T127" s="65"/>
      <c r="U127" s="69" t="str">
        <f t="shared" si="16"/>
        <v/>
      </c>
      <c r="V127" s="82" t="str">
        <f t="shared" si="17"/>
        <v/>
      </c>
      <c r="W127" s="65"/>
      <c r="X127" s="72" t="str">
        <f t="shared" si="18"/>
        <v/>
      </c>
    </row>
    <row r="128" ht="21" customHeight="1" spans="1:24">
      <c r="A128" s="61"/>
      <c r="B128" s="62"/>
      <c r="C128" s="63"/>
      <c r="D128" s="61"/>
      <c r="E128" s="65"/>
      <c r="F128" s="65"/>
      <c r="G128" s="65"/>
      <c r="H128" s="65"/>
      <c r="I128" s="69" t="str">
        <f>IF(E128="","",MROUND(E128*Settings!$B$16,Settings!$B$19))</f>
        <v/>
      </c>
      <c r="J128" s="69" t="str">
        <f>IF(H128="","",MROUND(H128*Settings!$B$17,Settings!$B$19))</f>
        <v/>
      </c>
      <c r="K128" s="69" t="str">
        <f>IF(OR(I128="",J128=""),"",MROUND(MIN(I128,J128),Settings!$B$19))</f>
        <v/>
      </c>
      <c r="L128" s="65"/>
      <c r="M128" s="69" t="str">
        <f>IF(OR(E128="",L128=""),"",MROUND(MIN(E128*Settings!$B$16,L128*Settings!$B$17),Settings!$B$19))</f>
        <v/>
      </c>
      <c r="N128" s="72" t="str">
        <f t="shared" si="23"/>
        <v/>
      </c>
      <c r="O128" s="62"/>
      <c r="P128" s="69" t="str">
        <f t="shared" si="14"/>
        <v/>
      </c>
      <c r="Q128" s="76">
        <f t="shared" si="25"/>
        <v>65</v>
      </c>
      <c r="R128" s="63"/>
      <c r="S128" s="69" t="str">
        <f t="shared" si="15"/>
        <v/>
      </c>
      <c r="T128" s="65"/>
      <c r="U128" s="69" t="str">
        <f t="shared" si="16"/>
        <v/>
      </c>
      <c r="V128" s="82" t="str">
        <f t="shared" si="17"/>
        <v/>
      </c>
      <c r="W128" s="65"/>
      <c r="X128" s="72" t="str">
        <f t="shared" si="18"/>
        <v/>
      </c>
    </row>
    <row r="129" ht="21" customHeight="1" spans="1:24">
      <c r="A129" s="61"/>
      <c r="B129" s="62"/>
      <c r="C129" s="63"/>
      <c r="D129" s="61"/>
      <c r="E129" s="65"/>
      <c r="F129" s="65"/>
      <c r="G129" s="65"/>
      <c r="H129" s="65"/>
      <c r="I129" s="69" t="str">
        <f>IF(E129="","",MROUND(E129*Settings!$B$16,Settings!$B$19))</f>
        <v/>
      </c>
      <c r="J129" s="69" t="str">
        <f>IF(H129="","",MROUND(H129*Settings!$B$17,Settings!$B$19))</f>
        <v/>
      </c>
      <c r="K129" s="69" t="str">
        <f>IF(OR(I129="",J129=""),"",MROUND(MIN(I129,J129),Settings!$B$19))</f>
        <v/>
      </c>
      <c r="L129" s="65"/>
      <c r="M129" s="69" t="str">
        <f>IF(OR(E129="",L129=""),"",MROUND(MIN(E129*Settings!$B$16,L129*Settings!$B$17),Settings!$B$19))</f>
        <v/>
      </c>
      <c r="N129" s="72" t="str">
        <f t="shared" si="23"/>
        <v/>
      </c>
      <c r="O129" s="62"/>
      <c r="P129" s="69" t="str">
        <f t="shared" si="14"/>
        <v/>
      </c>
      <c r="Q129" s="76">
        <f t="shared" si="25"/>
        <v>65</v>
      </c>
      <c r="R129" s="63"/>
      <c r="S129" s="69" t="str">
        <f t="shared" si="15"/>
        <v/>
      </c>
      <c r="T129" s="65"/>
      <c r="U129" s="69" t="str">
        <f t="shared" si="16"/>
        <v/>
      </c>
      <c r="V129" s="82" t="str">
        <f t="shared" si="17"/>
        <v/>
      </c>
      <c r="W129" s="65"/>
      <c r="X129" s="72" t="str">
        <f t="shared" si="18"/>
        <v/>
      </c>
    </row>
    <row r="130" ht="21" customHeight="1" spans="1:24">
      <c r="A130" s="61"/>
      <c r="B130" s="62"/>
      <c r="C130" s="63"/>
      <c r="D130" s="61"/>
      <c r="E130" s="65"/>
      <c r="F130" s="65"/>
      <c r="G130" s="65"/>
      <c r="H130" s="65"/>
      <c r="I130" s="69" t="str">
        <f>IF(E130="","",MROUND(E130*Settings!$B$16,Settings!$B$19))</f>
        <v/>
      </c>
      <c r="J130" s="69" t="str">
        <f>IF(H130="","",MROUND(H130*Settings!$B$17,Settings!$B$19))</f>
        <v/>
      </c>
      <c r="K130" s="69" t="str">
        <f>IF(OR(I130="",J130=""),"",MROUND(MIN(I130,J130),Settings!$B$19))</f>
        <v/>
      </c>
      <c r="L130" s="65"/>
      <c r="M130" s="69" t="str">
        <f>IF(OR(E130="",L130=""),"",MROUND(MIN(E130*Settings!$B$16,L130*Settings!$B$17),Settings!$B$19))</f>
        <v/>
      </c>
      <c r="N130" s="72" t="str">
        <f t="shared" si="23"/>
        <v/>
      </c>
      <c r="O130" s="62"/>
      <c r="P130" s="69" t="str">
        <f t="shared" si="14"/>
        <v/>
      </c>
      <c r="Q130" s="76">
        <f t="shared" si="25"/>
        <v>65</v>
      </c>
      <c r="R130" s="63"/>
      <c r="S130" s="69" t="str">
        <f t="shared" si="15"/>
        <v/>
      </c>
      <c r="T130" s="65"/>
      <c r="U130" s="69" t="str">
        <f t="shared" si="16"/>
        <v/>
      </c>
      <c r="V130" s="82" t="str">
        <f t="shared" si="17"/>
        <v/>
      </c>
      <c r="W130" s="65"/>
      <c r="X130" s="72" t="str">
        <f t="shared" si="18"/>
        <v/>
      </c>
    </row>
    <row r="131" ht="21" customHeight="1" spans="1:24">
      <c r="A131" s="61"/>
      <c r="B131" s="62"/>
      <c r="C131" s="63"/>
      <c r="D131" s="61"/>
      <c r="E131" s="65"/>
      <c r="F131" s="65"/>
      <c r="G131" s="65"/>
      <c r="H131" s="65"/>
      <c r="I131" s="69" t="str">
        <f>IF(E131="","",MROUND(E131*Settings!$B$16,Settings!$B$19))</f>
        <v/>
      </c>
      <c r="J131" s="69" t="str">
        <f>IF(H131="","",MROUND(H131*Settings!$B$17,Settings!$B$19))</f>
        <v/>
      </c>
      <c r="K131" s="69" t="str">
        <f>IF(OR(I131="",J131=""),"",MROUND(MIN(I131,J131),Settings!$B$19))</f>
        <v/>
      </c>
      <c r="L131" s="65"/>
      <c r="M131" s="69" t="str">
        <f>IF(OR(E131="",L131=""),"",MROUND(MIN(E131*Settings!$B$16,L131*Settings!$B$17),Settings!$B$19))</f>
        <v/>
      </c>
      <c r="N131" s="72" t="str">
        <f t="shared" si="23"/>
        <v/>
      </c>
      <c r="O131" s="62"/>
      <c r="P131" s="69" t="str">
        <f t="shared" si="14"/>
        <v/>
      </c>
      <c r="Q131" s="76">
        <f t="shared" si="25"/>
        <v>65</v>
      </c>
      <c r="R131" s="63"/>
      <c r="S131" s="69" t="str">
        <f t="shared" si="15"/>
        <v/>
      </c>
      <c r="T131" s="65"/>
      <c r="U131" s="69" t="str">
        <f t="shared" si="16"/>
        <v/>
      </c>
      <c r="V131" s="82" t="str">
        <f t="shared" si="17"/>
        <v/>
      </c>
      <c r="W131" s="65"/>
      <c r="X131" s="72" t="str">
        <f t="shared" si="18"/>
        <v/>
      </c>
    </row>
    <row r="132" ht="21" customHeight="1" spans="1:24">
      <c r="A132" s="61"/>
      <c r="B132" s="62"/>
      <c r="C132" s="63"/>
      <c r="D132" s="61"/>
      <c r="E132" s="65"/>
      <c r="F132" s="65"/>
      <c r="G132" s="65"/>
      <c r="H132" s="65"/>
      <c r="I132" s="69" t="str">
        <f>IF(E132="","",MROUND(E132*Settings!$B$16,Settings!$B$19))</f>
        <v/>
      </c>
      <c r="J132" s="69" t="str">
        <f>IF(H132="","",MROUND(H132*Settings!$B$17,Settings!$B$19))</f>
        <v/>
      </c>
      <c r="K132" s="69" t="str">
        <f>IF(OR(I132="",J132=""),"",MROUND(MIN(I132,J132),Settings!$B$19))</f>
        <v/>
      </c>
      <c r="L132" s="65"/>
      <c r="M132" s="69" t="str">
        <f>IF(OR(E132="",L132=""),"",MROUND(MIN(E132*Settings!$B$16,L132*Settings!$B$17),Settings!$B$19))</f>
        <v/>
      </c>
      <c r="N132" s="72" t="str">
        <f t="shared" si="23"/>
        <v/>
      </c>
      <c r="O132" s="62"/>
      <c r="P132" s="69" t="str">
        <f t="shared" si="14"/>
        <v/>
      </c>
      <c r="Q132" s="76">
        <f t="shared" si="25"/>
        <v>65</v>
      </c>
      <c r="R132" s="63"/>
      <c r="S132" s="69" t="str">
        <f t="shared" si="15"/>
        <v/>
      </c>
      <c r="T132" s="65"/>
      <c r="U132" s="69" t="str">
        <f t="shared" si="16"/>
        <v/>
      </c>
      <c r="V132" s="82" t="str">
        <f t="shared" si="17"/>
        <v/>
      </c>
      <c r="W132" s="65"/>
      <c r="X132" s="72" t="str">
        <f t="shared" si="18"/>
        <v/>
      </c>
    </row>
    <row r="133" ht="21" customHeight="1" spans="1:24">
      <c r="A133" s="61"/>
      <c r="B133" s="62"/>
      <c r="C133" s="63"/>
      <c r="D133" s="61"/>
      <c r="E133" s="65"/>
      <c r="F133" s="65"/>
      <c r="G133" s="65"/>
      <c r="H133" s="65"/>
      <c r="I133" s="69" t="str">
        <f>IF(E133="","",MROUND(E133*Settings!$B$16,Settings!$B$19))</f>
        <v/>
      </c>
      <c r="J133" s="69" t="str">
        <f>IF(H133="","",MROUND(H133*Settings!$B$17,Settings!$B$19))</f>
        <v/>
      </c>
      <c r="K133" s="69" t="str">
        <f>IF(OR(I133="",J133=""),"",MROUND(MIN(I133,J133),Settings!$B$19))</f>
        <v/>
      </c>
      <c r="L133" s="65"/>
      <c r="M133" s="69" t="str">
        <f>IF(OR(E133="",L133=""),"",MROUND(MIN(E133*Settings!$B$16,L133*Settings!$B$17),Settings!$B$19))</f>
        <v/>
      </c>
      <c r="N133" s="72" t="str">
        <f t="shared" si="23"/>
        <v/>
      </c>
      <c r="O133" s="62"/>
      <c r="P133" s="69" t="str">
        <f t="shared" si="14"/>
        <v/>
      </c>
      <c r="Q133" s="76">
        <f t="shared" si="25"/>
        <v>65</v>
      </c>
      <c r="R133" s="63"/>
      <c r="S133" s="69" t="str">
        <f t="shared" si="15"/>
        <v/>
      </c>
      <c r="T133" s="65"/>
      <c r="U133" s="69" t="str">
        <f t="shared" si="16"/>
        <v/>
      </c>
      <c r="V133" s="82" t="str">
        <f t="shared" si="17"/>
        <v/>
      </c>
      <c r="W133" s="65"/>
      <c r="X133" s="72" t="str">
        <f t="shared" si="18"/>
        <v/>
      </c>
    </row>
    <row r="134" ht="21" customHeight="1" spans="1:24">
      <c r="A134" s="61"/>
      <c r="B134" s="62"/>
      <c r="C134" s="63"/>
      <c r="D134" s="61"/>
      <c r="E134" s="65"/>
      <c r="F134" s="65"/>
      <c r="G134" s="65"/>
      <c r="H134" s="65"/>
      <c r="I134" s="69" t="str">
        <f>IF(E134="","",MROUND(E134*Settings!$B$16,Settings!$B$19))</f>
        <v/>
      </c>
      <c r="J134" s="69" t="str">
        <f>IF(H134="","",MROUND(H134*Settings!$B$17,Settings!$B$19))</f>
        <v/>
      </c>
      <c r="K134" s="69" t="str">
        <f>IF(OR(I134="",J134=""),"",MROUND(MIN(I134,J134),Settings!$B$19))</f>
        <v/>
      </c>
      <c r="L134" s="65"/>
      <c r="M134" s="69" t="str">
        <f>IF(OR(E134="",L134=""),"",MROUND(MIN(E134*Settings!$B$16,L134*Settings!$B$17),Settings!$B$19))</f>
        <v/>
      </c>
      <c r="N134" s="72" t="str">
        <f t="shared" si="23"/>
        <v/>
      </c>
      <c r="O134" s="62"/>
      <c r="P134" s="69" t="str">
        <f t="shared" si="14"/>
        <v/>
      </c>
      <c r="Q134" s="76">
        <f t="shared" si="25"/>
        <v>65</v>
      </c>
      <c r="R134" s="63"/>
      <c r="S134" s="69" t="str">
        <f t="shared" si="15"/>
        <v/>
      </c>
      <c r="T134" s="65"/>
      <c r="U134" s="69" t="str">
        <f t="shared" si="16"/>
        <v/>
      </c>
      <c r="V134" s="82" t="str">
        <f t="shared" si="17"/>
        <v/>
      </c>
      <c r="W134" s="65"/>
      <c r="X134" s="72" t="str">
        <f t="shared" si="18"/>
        <v/>
      </c>
    </row>
    <row r="135" ht="21" customHeight="1" spans="1:24">
      <c r="A135" s="61"/>
      <c r="B135" s="62"/>
      <c r="C135" s="63"/>
      <c r="D135" s="61"/>
      <c r="E135" s="65"/>
      <c r="F135" s="65"/>
      <c r="G135" s="65"/>
      <c r="H135" s="65"/>
      <c r="I135" s="69" t="str">
        <f>IF(E135="","",MROUND(E135*Settings!$B$16,Settings!$B$19))</f>
        <v/>
      </c>
      <c r="J135" s="69" t="str">
        <f>IF(H135="","",MROUND(H135*Settings!$B$17,Settings!$B$19))</f>
        <v/>
      </c>
      <c r="K135" s="69" t="str">
        <f>IF(OR(I135="",J135=""),"",MROUND(MIN(I135,J135),Settings!$B$19))</f>
        <v/>
      </c>
      <c r="L135" s="65"/>
      <c r="M135" s="69" t="str">
        <f>IF(OR(E135="",L135=""),"",MROUND(MIN(E135*Settings!$B$16,L135*Settings!$B$17),Settings!$B$19))</f>
        <v/>
      </c>
      <c r="N135" s="72" t="str">
        <f t="shared" si="23"/>
        <v/>
      </c>
      <c r="O135" s="62"/>
      <c r="P135" s="69" t="str">
        <f t="shared" si="14"/>
        <v/>
      </c>
      <c r="Q135" s="76">
        <f t="shared" ref="Q135:Q144" si="26">$B$7</f>
        <v>65</v>
      </c>
      <c r="R135" s="63"/>
      <c r="S135" s="69" t="str">
        <f t="shared" si="15"/>
        <v/>
      </c>
      <c r="T135" s="65"/>
      <c r="U135" s="69" t="str">
        <f t="shared" si="16"/>
        <v/>
      </c>
      <c r="V135" s="82" t="str">
        <f t="shared" si="17"/>
        <v/>
      </c>
      <c r="W135" s="65"/>
      <c r="X135" s="72" t="str">
        <f t="shared" si="18"/>
        <v/>
      </c>
    </row>
    <row r="136" ht="21" customHeight="1" spans="1:24">
      <c r="A136" s="61"/>
      <c r="B136" s="62"/>
      <c r="C136" s="63"/>
      <c r="D136" s="61"/>
      <c r="E136" s="65"/>
      <c r="F136" s="65"/>
      <c r="G136" s="65"/>
      <c r="H136" s="65"/>
      <c r="I136" s="69" t="str">
        <f>IF(E136="","",MROUND(E136*Settings!$B$16,Settings!$B$19))</f>
        <v/>
      </c>
      <c r="J136" s="69" t="str">
        <f>IF(H136="","",MROUND(H136*Settings!$B$17,Settings!$B$19))</f>
        <v/>
      </c>
      <c r="K136" s="69" t="str">
        <f>IF(OR(I136="",J136=""),"",MROUND(MIN(I136,J136),Settings!$B$19))</f>
        <v/>
      </c>
      <c r="L136" s="65"/>
      <c r="M136" s="69" t="str">
        <f>IF(OR(E136="",L136=""),"",MROUND(MIN(E136*Settings!$B$16,L136*Settings!$B$17),Settings!$B$19))</f>
        <v/>
      </c>
      <c r="N136" s="72" t="str">
        <f t="shared" si="23"/>
        <v/>
      </c>
      <c r="O136" s="62"/>
      <c r="P136" s="69" t="str">
        <f t="shared" si="14"/>
        <v/>
      </c>
      <c r="Q136" s="76">
        <f t="shared" si="26"/>
        <v>65</v>
      </c>
      <c r="R136" s="63"/>
      <c r="S136" s="69" t="str">
        <f t="shared" si="15"/>
        <v/>
      </c>
      <c r="T136" s="65"/>
      <c r="U136" s="69" t="str">
        <f t="shared" si="16"/>
        <v/>
      </c>
      <c r="V136" s="82" t="str">
        <f t="shared" si="17"/>
        <v/>
      </c>
      <c r="W136" s="65"/>
      <c r="X136" s="72" t="str">
        <f t="shared" si="18"/>
        <v/>
      </c>
    </row>
    <row r="137" ht="21" customHeight="1" spans="1:24">
      <c r="A137" s="61"/>
      <c r="B137" s="62"/>
      <c r="C137" s="63"/>
      <c r="D137" s="61"/>
      <c r="E137" s="65"/>
      <c r="F137" s="65"/>
      <c r="G137" s="65"/>
      <c r="H137" s="65"/>
      <c r="I137" s="69" t="str">
        <f>IF(E137="","",MROUND(E137*Settings!$B$16,Settings!$B$19))</f>
        <v/>
      </c>
      <c r="J137" s="69" t="str">
        <f>IF(H137="","",MROUND(H137*Settings!$B$17,Settings!$B$19))</f>
        <v/>
      </c>
      <c r="K137" s="69" t="str">
        <f>IF(OR(I137="",J137=""),"",MROUND(MIN(I137,J137),Settings!$B$19))</f>
        <v/>
      </c>
      <c r="L137" s="65"/>
      <c r="M137" s="69" t="str">
        <f>IF(OR(E137="",L137=""),"",MROUND(MIN(E137*Settings!$B$16,L137*Settings!$B$17),Settings!$B$19))</f>
        <v/>
      </c>
      <c r="N137" s="72" t="str">
        <f t="shared" si="23"/>
        <v/>
      </c>
      <c r="O137" s="62"/>
      <c r="P137" s="69" t="str">
        <f t="shared" si="14"/>
        <v/>
      </c>
      <c r="Q137" s="76">
        <f t="shared" si="26"/>
        <v>65</v>
      </c>
      <c r="R137" s="63"/>
      <c r="S137" s="69" t="str">
        <f t="shared" si="15"/>
        <v/>
      </c>
      <c r="T137" s="65"/>
      <c r="U137" s="69" t="str">
        <f t="shared" si="16"/>
        <v/>
      </c>
      <c r="V137" s="82" t="str">
        <f t="shared" si="17"/>
        <v/>
      </c>
      <c r="W137" s="65"/>
      <c r="X137" s="72" t="str">
        <f t="shared" si="18"/>
        <v/>
      </c>
    </row>
    <row r="138" ht="21" customHeight="1" spans="1:24">
      <c r="A138" s="61"/>
      <c r="B138" s="62"/>
      <c r="C138" s="63"/>
      <c r="D138" s="61"/>
      <c r="E138" s="65"/>
      <c r="F138" s="65"/>
      <c r="G138" s="65"/>
      <c r="H138" s="65"/>
      <c r="I138" s="69" t="str">
        <f>IF(E138="","",MROUND(E138*Settings!$B$16,Settings!$B$19))</f>
        <v/>
      </c>
      <c r="J138" s="69" t="str">
        <f>IF(H138="","",MROUND(H138*Settings!$B$17,Settings!$B$19))</f>
        <v/>
      </c>
      <c r="K138" s="69" t="str">
        <f>IF(OR(I138="",J138=""),"",MROUND(MIN(I138,J138),Settings!$B$19))</f>
        <v/>
      </c>
      <c r="L138" s="65"/>
      <c r="M138" s="69" t="str">
        <f>IF(OR(E138="",L138=""),"",MROUND(MIN(E138*Settings!$B$16,L138*Settings!$B$17),Settings!$B$19))</f>
        <v/>
      </c>
      <c r="N138" s="72" t="str">
        <f t="shared" si="23"/>
        <v/>
      </c>
      <c r="O138" s="62"/>
      <c r="P138" s="69" t="str">
        <f t="shared" si="14"/>
        <v/>
      </c>
      <c r="Q138" s="76">
        <f t="shared" si="26"/>
        <v>65</v>
      </c>
      <c r="R138" s="63"/>
      <c r="S138" s="69" t="str">
        <f t="shared" si="15"/>
        <v/>
      </c>
      <c r="T138" s="65"/>
      <c r="U138" s="69" t="str">
        <f t="shared" si="16"/>
        <v/>
      </c>
      <c r="V138" s="82" t="str">
        <f t="shared" si="17"/>
        <v/>
      </c>
      <c r="W138" s="65"/>
      <c r="X138" s="72" t="str">
        <f t="shared" si="18"/>
        <v/>
      </c>
    </row>
    <row r="139" ht="21" customHeight="1" spans="1:24">
      <c r="A139" s="61"/>
      <c r="B139" s="62"/>
      <c r="C139" s="63"/>
      <c r="D139" s="61"/>
      <c r="E139" s="65"/>
      <c r="F139" s="65"/>
      <c r="G139" s="65"/>
      <c r="H139" s="65"/>
      <c r="I139" s="69" t="str">
        <f>IF(E139="","",MROUND(E139*Settings!$B$16,Settings!$B$19))</f>
        <v/>
      </c>
      <c r="J139" s="69" t="str">
        <f>IF(H139="","",MROUND(H139*Settings!$B$17,Settings!$B$19))</f>
        <v/>
      </c>
      <c r="K139" s="69" t="str">
        <f>IF(OR(I139="",J139=""),"",MROUND(MIN(I139,J139),Settings!$B$19))</f>
        <v/>
      </c>
      <c r="L139" s="65"/>
      <c r="M139" s="69" t="str">
        <f>IF(OR(E139="",L139=""),"",MROUND(MIN(E139*Settings!$B$16,L139*Settings!$B$17),Settings!$B$19))</f>
        <v/>
      </c>
      <c r="N139" s="72" t="str">
        <f t="shared" si="23"/>
        <v/>
      </c>
      <c r="O139" s="62"/>
      <c r="P139" s="69" t="str">
        <f t="shared" si="14"/>
        <v/>
      </c>
      <c r="Q139" s="76">
        <f t="shared" si="26"/>
        <v>65</v>
      </c>
      <c r="R139" s="63"/>
      <c r="S139" s="69" t="str">
        <f t="shared" si="15"/>
        <v/>
      </c>
      <c r="T139" s="65"/>
      <c r="U139" s="69" t="str">
        <f t="shared" si="16"/>
        <v/>
      </c>
      <c r="V139" s="82" t="str">
        <f t="shared" si="17"/>
        <v/>
      </c>
      <c r="W139" s="65"/>
      <c r="X139" s="72" t="str">
        <f t="shared" si="18"/>
        <v/>
      </c>
    </row>
    <row r="140" ht="21" customHeight="1" spans="1:24">
      <c r="A140" s="61"/>
      <c r="B140" s="62"/>
      <c r="C140" s="63"/>
      <c r="D140" s="61"/>
      <c r="E140" s="65"/>
      <c r="F140" s="65"/>
      <c r="G140" s="65"/>
      <c r="H140" s="65"/>
      <c r="I140" s="69" t="str">
        <f>IF(E140="","",MROUND(E140*Settings!$B$16,Settings!$B$19))</f>
        <v/>
      </c>
      <c r="J140" s="69" t="str">
        <f>IF(H140="","",MROUND(H140*Settings!$B$17,Settings!$B$19))</f>
        <v/>
      </c>
      <c r="K140" s="69" t="str">
        <f>IF(OR(I140="",J140=""),"",MROUND(MIN(I140,J140),Settings!$B$19))</f>
        <v/>
      </c>
      <c r="L140" s="65"/>
      <c r="M140" s="69" t="str">
        <f>IF(OR(E140="",L140=""),"",MROUND(MIN(E140*Settings!$B$16,L140*Settings!$B$17),Settings!$B$19))</f>
        <v/>
      </c>
      <c r="N140" s="72" t="str">
        <f t="shared" si="23"/>
        <v/>
      </c>
      <c r="O140" s="62"/>
      <c r="P140" s="69" t="str">
        <f t="shared" si="14"/>
        <v/>
      </c>
      <c r="Q140" s="76">
        <f t="shared" si="26"/>
        <v>65</v>
      </c>
      <c r="R140" s="63"/>
      <c r="S140" s="69" t="str">
        <f t="shared" si="15"/>
        <v/>
      </c>
      <c r="T140" s="65"/>
      <c r="U140" s="69" t="str">
        <f t="shared" si="16"/>
        <v/>
      </c>
      <c r="V140" s="82" t="str">
        <f t="shared" si="17"/>
        <v/>
      </c>
      <c r="W140" s="65"/>
      <c r="X140" s="72" t="str">
        <f t="shared" si="18"/>
        <v/>
      </c>
    </row>
    <row r="141" ht="21" customHeight="1" spans="1:24">
      <c r="A141" s="61"/>
      <c r="B141" s="62"/>
      <c r="C141" s="63"/>
      <c r="D141" s="61"/>
      <c r="E141" s="65"/>
      <c r="F141" s="65"/>
      <c r="G141" s="65"/>
      <c r="H141" s="65"/>
      <c r="I141" s="69" t="str">
        <f>IF(E141="","",MROUND(E141*Settings!$B$16,Settings!$B$19))</f>
        <v/>
      </c>
      <c r="J141" s="69" t="str">
        <f>IF(H141="","",MROUND(H141*Settings!$B$17,Settings!$B$19))</f>
        <v/>
      </c>
      <c r="K141" s="69" t="str">
        <f>IF(OR(I141="",J141=""),"",MROUND(MIN(I141,J141),Settings!$B$19))</f>
        <v/>
      </c>
      <c r="L141" s="65"/>
      <c r="M141" s="69" t="str">
        <f>IF(OR(E141="",L141=""),"",MROUND(MIN(E141*Settings!$B$16,L141*Settings!$B$17),Settings!$B$19))</f>
        <v/>
      </c>
      <c r="N141" s="72" t="str">
        <f t="shared" si="23"/>
        <v/>
      </c>
      <c r="O141" s="62"/>
      <c r="P141" s="69" t="str">
        <f t="shared" si="14"/>
        <v/>
      </c>
      <c r="Q141" s="76">
        <f t="shared" si="26"/>
        <v>65</v>
      </c>
      <c r="R141" s="63"/>
      <c r="S141" s="69" t="str">
        <f t="shared" si="15"/>
        <v/>
      </c>
      <c r="T141" s="65"/>
      <c r="U141" s="69" t="str">
        <f t="shared" si="16"/>
        <v/>
      </c>
      <c r="V141" s="82" t="str">
        <f t="shared" si="17"/>
        <v/>
      </c>
      <c r="W141" s="65"/>
      <c r="X141" s="72" t="str">
        <f t="shared" si="18"/>
        <v/>
      </c>
    </row>
    <row r="142" ht="21" customHeight="1" spans="1:24">
      <c r="A142" s="61"/>
      <c r="B142" s="62"/>
      <c r="C142" s="63"/>
      <c r="D142" s="61"/>
      <c r="E142" s="65"/>
      <c r="F142" s="65"/>
      <c r="G142" s="65"/>
      <c r="H142" s="65"/>
      <c r="I142" s="69" t="str">
        <f>IF(E142="","",MROUND(E142*Settings!$B$16,Settings!$B$19))</f>
        <v/>
      </c>
      <c r="J142" s="69" t="str">
        <f>IF(H142="","",MROUND(H142*Settings!$B$17,Settings!$B$19))</f>
        <v/>
      </c>
      <c r="K142" s="69" t="str">
        <f>IF(OR(I142="",J142=""),"",MROUND(MIN(I142,J142),Settings!$B$19))</f>
        <v/>
      </c>
      <c r="L142" s="65"/>
      <c r="M142" s="69" t="str">
        <f>IF(OR(E142="",L142=""),"",MROUND(MIN(E142*Settings!$B$16,L142*Settings!$B$17),Settings!$B$19))</f>
        <v/>
      </c>
      <c r="N142" s="72" t="str">
        <f t="shared" si="23"/>
        <v/>
      </c>
      <c r="O142" s="62"/>
      <c r="P142" s="69" t="str">
        <f t="shared" ref="P142:P205" si="27">IF(O142="","",IF(O142="Target Hit",F142,IF(O142="Stoploss Hit",K142,IF(OR(O142="Gap Up Stoploss",O142="Gap Down Stoploss"),M142,IF(O142="Rollover",W142,"")))))</f>
        <v/>
      </c>
      <c r="Q142" s="76">
        <f t="shared" si="26"/>
        <v>65</v>
      </c>
      <c r="R142" s="63"/>
      <c r="S142" s="69" t="str">
        <f t="shared" ref="S142:S205" si="28">IF(OR(Q142="",R142=""),"",Q142*R142)</f>
        <v/>
      </c>
      <c r="T142" s="65"/>
      <c r="U142" s="69" t="str">
        <f t="shared" ref="U142:U205" si="29">IF(OR(E142="",P142="",S142=""),"",(E142-P142)*S142)</f>
        <v/>
      </c>
      <c r="V142" s="82" t="str">
        <f t="shared" ref="V142:V205" si="30">IF(OR(U142="",T142="",T142=0),"",U142/T142)</f>
        <v/>
      </c>
      <c r="W142" s="65"/>
      <c r="X142" s="72" t="str">
        <f t="shared" ref="X142:X205" si="31">IF(OR(B142="",O142=""),"",IF(AND(B142="CALL Sell",O142="Gap Up Stoploss"),"CHECK: CALL Sell uses Gap Down Stoploss",IF(AND(B142="PUT Sell",O142="Gap Down Stoploss"),"CHECK: PUT Sell uses Gap Up Stoploss",IF(AND(O142="Rollover",W142=""),"INPUT REQUIRED: Rollover exit price",IF(AND(O142="Target Hit",F142=""),"INPUT REQUIRED: Target",IF(AND(O142="Stoploss Hit",K142=""),"INPUT REQUIRED: New 3DHH",IF(AND(OR(O142="Gap Up Stoploss",O142="Gap Down Stoploss"),M142=""),"INPUT REQUIRED: Gap 3DHH","OK")))))))</f>
        <v/>
      </c>
    </row>
    <row r="143" ht="21" customHeight="1" spans="1:24">
      <c r="A143" s="61"/>
      <c r="B143" s="62"/>
      <c r="C143" s="63"/>
      <c r="D143" s="61"/>
      <c r="E143" s="65"/>
      <c r="F143" s="65"/>
      <c r="G143" s="65"/>
      <c r="H143" s="65"/>
      <c r="I143" s="69" t="str">
        <f>IF(E143="","",MROUND(E143*Settings!$B$16,Settings!$B$19))</f>
        <v/>
      </c>
      <c r="J143" s="69" t="str">
        <f>IF(H143="","",MROUND(H143*Settings!$B$17,Settings!$B$19))</f>
        <v/>
      </c>
      <c r="K143" s="69" t="str">
        <f>IF(OR(I143="",J143=""),"",MROUND(MIN(I143,J143),Settings!$B$19))</f>
        <v/>
      </c>
      <c r="L143" s="65"/>
      <c r="M143" s="69" t="str">
        <f>IF(OR(E143="",L143=""),"",MROUND(MIN(E143*Settings!$B$16,L143*Settings!$B$17),Settings!$B$19))</f>
        <v/>
      </c>
      <c r="N143" s="72" t="str">
        <f t="shared" ref="N143:N174" si="32">IF(B143="","",IF(B143="CALL Sell","Gap Up Calculation","Gap Down Calculation"))</f>
        <v/>
      </c>
      <c r="O143" s="62"/>
      <c r="P143" s="69" t="str">
        <f t="shared" si="27"/>
        <v/>
      </c>
      <c r="Q143" s="76">
        <f t="shared" si="26"/>
        <v>65</v>
      </c>
      <c r="R143" s="63"/>
      <c r="S143" s="69" t="str">
        <f t="shared" si="28"/>
        <v/>
      </c>
      <c r="T143" s="65"/>
      <c r="U143" s="69" t="str">
        <f t="shared" si="29"/>
        <v/>
      </c>
      <c r="V143" s="82" t="str">
        <f t="shared" si="30"/>
        <v/>
      </c>
      <c r="W143" s="65"/>
      <c r="X143" s="72" t="str">
        <f t="shared" si="31"/>
        <v/>
      </c>
    </row>
    <row r="144" ht="21" customHeight="1" spans="1:24">
      <c r="A144" s="61"/>
      <c r="B144" s="62"/>
      <c r="C144" s="63"/>
      <c r="D144" s="61"/>
      <c r="E144" s="65"/>
      <c r="F144" s="65"/>
      <c r="G144" s="65"/>
      <c r="H144" s="65"/>
      <c r="I144" s="69" t="str">
        <f>IF(E144="","",MROUND(E144*Settings!$B$16,Settings!$B$19))</f>
        <v/>
      </c>
      <c r="J144" s="69" t="str">
        <f>IF(H144="","",MROUND(H144*Settings!$B$17,Settings!$B$19))</f>
        <v/>
      </c>
      <c r="K144" s="69" t="str">
        <f>IF(OR(I144="",J144=""),"",MROUND(MIN(I144,J144),Settings!$B$19))</f>
        <v/>
      </c>
      <c r="L144" s="65"/>
      <c r="M144" s="69" t="str">
        <f>IF(OR(E144="",L144=""),"",MROUND(MIN(E144*Settings!$B$16,L144*Settings!$B$17),Settings!$B$19))</f>
        <v/>
      </c>
      <c r="N144" s="72" t="str">
        <f t="shared" si="32"/>
        <v/>
      </c>
      <c r="O144" s="62"/>
      <c r="P144" s="69" t="str">
        <f t="shared" si="27"/>
        <v/>
      </c>
      <c r="Q144" s="76">
        <f t="shared" si="26"/>
        <v>65</v>
      </c>
      <c r="R144" s="63"/>
      <c r="S144" s="69" t="str">
        <f t="shared" si="28"/>
        <v/>
      </c>
      <c r="T144" s="65"/>
      <c r="U144" s="69" t="str">
        <f t="shared" si="29"/>
        <v/>
      </c>
      <c r="V144" s="82" t="str">
        <f t="shared" si="30"/>
        <v/>
      </c>
      <c r="W144" s="65"/>
      <c r="X144" s="72" t="str">
        <f t="shared" si="31"/>
        <v/>
      </c>
    </row>
    <row r="145" ht="21" customHeight="1" spans="1:24">
      <c r="A145" s="61"/>
      <c r="B145" s="62"/>
      <c r="C145" s="63"/>
      <c r="D145" s="61"/>
      <c r="E145" s="65"/>
      <c r="F145" s="65"/>
      <c r="G145" s="65"/>
      <c r="H145" s="65"/>
      <c r="I145" s="69" t="str">
        <f>IF(E145="","",MROUND(E145*Settings!$B$16,Settings!$B$19))</f>
        <v/>
      </c>
      <c r="J145" s="69" t="str">
        <f>IF(H145="","",MROUND(H145*Settings!$B$17,Settings!$B$19))</f>
        <v/>
      </c>
      <c r="K145" s="69" t="str">
        <f>IF(OR(I145="",J145=""),"",MROUND(MIN(I145,J145),Settings!$B$19))</f>
        <v/>
      </c>
      <c r="L145" s="65"/>
      <c r="M145" s="69" t="str">
        <f>IF(OR(E145="",L145=""),"",MROUND(MIN(E145*Settings!$B$16,L145*Settings!$B$17),Settings!$B$19))</f>
        <v/>
      </c>
      <c r="N145" s="72" t="str">
        <f t="shared" si="32"/>
        <v/>
      </c>
      <c r="O145" s="62"/>
      <c r="P145" s="69" t="str">
        <f t="shared" si="27"/>
        <v/>
      </c>
      <c r="Q145" s="76">
        <f t="shared" ref="Q145:Q154" si="33">$B$7</f>
        <v>65</v>
      </c>
      <c r="R145" s="63"/>
      <c r="S145" s="69" t="str">
        <f t="shared" si="28"/>
        <v/>
      </c>
      <c r="T145" s="65"/>
      <c r="U145" s="69" t="str">
        <f t="shared" si="29"/>
        <v/>
      </c>
      <c r="V145" s="82" t="str">
        <f t="shared" si="30"/>
        <v/>
      </c>
      <c r="W145" s="65"/>
      <c r="X145" s="72" t="str">
        <f t="shared" si="31"/>
        <v/>
      </c>
    </row>
    <row r="146" ht="21" customHeight="1" spans="1:24">
      <c r="A146" s="61"/>
      <c r="B146" s="62"/>
      <c r="C146" s="63"/>
      <c r="D146" s="61"/>
      <c r="E146" s="65"/>
      <c r="F146" s="65"/>
      <c r="G146" s="65"/>
      <c r="H146" s="65"/>
      <c r="I146" s="69" t="str">
        <f>IF(E146="","",MROUND(E146*Settings!$B$16,Settings!$B$19))</f>
        <v/>
      </c>
      <c r="J146" s="69" t="str">
        <f>IF(H146="","",MROUND(H146*Settings!$B$17,Settings!$B$19))</f>
        <v/>
      </c>
      <c r="K146" s="69" t="str">
        <f>IF(OR(I146="",J146=""),"",MROUND(MIN(I146,J146),Settings!$B$19))</f>
        <v/>
      </c>
      <c r="L146" s="65"/>
      <c r="M146" s="69" t="str">
        <f>IF(OR(E146="",L146=""),"",MROUND(MIN(E146*Settings!$B$16,L146*Settings!$B$17),Settings!$B$19))</f>
        <v/>
      </c>
      <c r="N146" s="72" t="str">
        <f t="shared" si="32"/>
        <v/>
      </c>
      <c r="O146" s="62"/>
      <c r="P146" s="69" t="str">
        <f t="shared" si="27"/>
        <v/>
      </c>
      <c r="Q146" s="76">
        <f t="shared" si="33"/>
        <v>65</v>
      </c>
      <c r="R146" s="63"/>
      <c r="S146" s="69" t="str">
        <f t="shared" si="28"/>
        <v/>
      </c>
      <c r="T146" s="65"/>
      <c r="U146" s="69" t="str">
        <f t="shared" si="29"/>
        <v/>
      </c>
      <c r="V146" s="82" t="str">
        <f t="shared" si="30"/>
        <v/>
      </c>
      <c r="W146" s="65"/>
      <c r="X146" s="72" t="str">
        <f t="shared" si="31"/>
        <v/>
      </c>
    </row>
    <row r="147" ht="21" customHeight="1" spans="1:24">
      <c r="A147" s="61"/>
      <c r="B147" s="62"/>
      <c r="C147" s="63"/>
      <c r="D147" s="61"/>
      <c r="E147" s="65"/>
      <c r="F147" s="65"/>
      <c r="G147" s="65"/>
      <c r="H147" s="65"/>
      <c r="I147" s="69" t="str">
        <f>IF(E147="","",MROUND(E147*Settings!$B$16,Settings!$B$19))</f>
        <v/>
      </c>
      <c r="J147" s="69" t="str">
        <f>IF(H147="","",MROUND(H147*Settings!$B$17,Settings!$B$19))</f>
        <v/>
      </c>
      <c r="K147" s="69" t="str">
        <f>IF(OR(I147="",J147=""),"",MROUND(MIN(I147,J147),Settings!$B$19))</f>
        <v/>
      </c>
      <c r="L147" s="65"/>
      <c r="M147" s="69" t="str">
        <f>IF(OR(E147="",L147=""),"",MROUND(MIN(E147*Settings!$B$16,L147*Settings!$B$17),Settings!$B$19))</f>
        <v/>
      </c>
      <c r="N147" s="72" t="str">
        <f t="shared" si="32"/>
        <v/>
      </c>
      <c r="O147" s="62"/>
      <c r="P147" s="69" t="str">
        <f t="shared" si="27"/>
        <v/>
      </c>
      <c r="Q147" s="76">
        <f t="shared" si="33"/>
        <v>65</v>
      </c>
      <c r="R147" s="63"/>
      <c r="S147" s="69" t="str">
        <f t="shared" si="28"/>
        <v/>
      </c>
      <c r="T147" s="65"/>
      <c r="U147" s="69" t="str">
        <f t="shared" si="29"/>
        <v/>
      </c>
      <c r="V147" s="82" t="str">
        <f t="shared" si="30"/>
        <v/>
      </c>
      <c r="W147" s="65"/>
      <c r="X147" s="72" t="str">
        <f t="shared" si="31"/>
        <v/>
      </c>
    </row>
    <row r="148" ht="21" customHeight="1" spans="1:24">
      <c r="A148" s="61"/>
      <c r="B148" s="62"/>
      <c r="C148" s="63"/>
      <c r="D148" s="61"/>
      <c r="E148" s="65"/>
      <c r="F148" s="65"/>
      <c r="G148" s="65"/>
      <c r="H148" s="65"/>
      <c r="I148" s="69" t="str">
        <f>IF(E148="","",MROUND(E148*Settings!$B$16,Settings!$B$19))</f>
        <v/>
      </c>
      <c r="J148" s="69" t="str">
        <f>IF(H148="","",MROUND(H148*Settings!$B$17,Settings!$B$19))</f>
        <v/>
      </c>
      <c r="K148" s="69" t="str">
        <f>IF(OR(I148="",J148=""),"",MROUND(MIN(I148,J148),Settings!$B$19))</f>
        <v/>
      </c>
      <c r="L148" s="65"/>
      <c r="M148" s="69" t="str">
        <f>IF(OR(E148="",L148=""),"",MROUND(MIN(E148*Settings!$B$16,L148*Settings!$B$17),Settings!$B$19))</f>
        <v/>
      </c>
      <c r="N148" s="72" t="str">
        <f t="shared" si="32"/>
        <v/>
      </c>
      <c r="O148" s="62"/>
      <c r="P148" s="69" t="str">
        <f t="shared" si="27"/>
        <v/>
      </c>
      <c r="Q148" s="76">
        <f t="shared" si="33"/>
        <v>65</v>
      </c>
      <c r="R148" s="63"/>
      <c r="S148" s="69" t="str">
        <f t="shared" si="28"/>
        <v/>
      </c>
      <c r="T148" s="65"/>
      <c r="U148" s="69" t="str">
        <f t="shared" si="29"/>
        <v/>
      </c>
      <c r="V148" s="82" t="str">
        <f t="shared" si="30"/>
        <v/>
      </c>
      <c r="W148" s="65"/>
      <c r="X148" s="72" t="str">
        <f t="shared" si="31"/>
        <v/>
      </c>
    </row>
    <row r="149" ht="21" customHeight="1" spans="1:24">
      <c r="A149" s="61"/>
      <c r="B149" s="62"/>
      <c r="C149" s="63"/>
      <c r="D149" s="61"/>
      <c r="E149" s="65"/>
      <c r="F149" s="65"/>
      <c r="G149" s="65"/>
      <c r="H149" s="65"/>
      <c r="I149" s="69" t="str">
        <f>IF(E149="","",MROUND(E149*Settings!$B$16,Settings!$B$19))</f>
        <v/>
      </c>
      <c r="J149" s="69" t="str">
        <f>IF(H149="","",MROUND(H149*Settings!$B$17,Settings!$B$19))</f>
        <v/>
      </c>
      <c r="K149" s="69" t="str">
        <f>IF(OR(I149="",J149=""),"",MROUND(MIN(I149,J149),Settings!$B$19))</f>
        <v/>
      </c>
      <c r="L149" s="65"/>
      <c r="M149" s="69" t="str">
        <f>IF(OR(E149="",L149=""),"",MROUND(MIN(E149*Settings!$B$16,L149*Settings!$B$17),Settings!$B$19))</f>
        <v/>
      </c>
      <c r="N149" s="72" t="str">
        <f t="shared" si="32"/>
        <v/>
      </c>
      <c r="O149" s="62"/>
      <c r="P149" s="69" t="str">
        <f t="shared" si="27"/>
        <v/>
      </c>
      <c r="Q149" s="76">
        <f t="shared" si="33"/>
        <v>65</v>
      </c>
      <c r="R149" s="63"/>
      <c r="S149" s="69" t="str">
        <f t="shared" si="28"/>
        <v/>
      </c>
      <c r="T149" s="65"/>
      <c r="U149" s="69" t="str">
        <f t="shared" si="29"/>
        <v/>
      </c>
      <c r="V149" s="82" t="str">
        <f t="shared" si="30"/>
        <v/>
      </c>
      <c r="W149" s="65"/>
      <c r="X149" s="72" t="str">
        <f t="shared" si="31"/>
        <v/>
      </c>
    </row>
    <row r="150" ht="21" customHeight="1" spans="1:24">
      <c r="A150" s="61"/>
      <c r="B150" s="62"/>
      <c r="C150" s="63"/>
      <c r="D150" s="61"/>
      <c r="E150" s="65"/>
      <c r="F150" s="65"/>
      <c r="G150" s="65"/>
      <c r="H150" s="65"/>
      <c r="I150" s="69" t="str">
        <f>IF(E150="","",MROUND(E150*Settings!$B$16,Settings!$B$19))</f>
        <v/>
      </c>
      <c r="J150" s="69" t="str">
        <f>IF(H150="","",MROUND(H150*Settings!$B$17,Settings!$B$19))</f>
        <v/>
      </c>
      <c r="K150" s="69" t="str">
        <f>IF(OR(I150="",J150=""),"",MROUND(MIN(I150,J150),Settings!$B$19))</f>
        <v/>
      </c>
      <c r="L150" s="65"/>
      <c r="M150" s="69" t="str">
        <f>IF(OR(E150="",L150=""),"",MROUND(MIN(E150*Settings!$B$16,L150*Settings!$B$17),Settings!$B$19))</f>
        <v/>
      </c>
      <c r="N150" s="72" t="str">
        <f t="shared" si="32"/>
        <v/>
      </c>
      <c r="O150" s="62"/>
      <c r="P150" s="69" t="str">
        <f t="shared" si="27"/>
        <v/>
      </c>
      <c r="Q150" s="76">
        <f t="shared" si="33"/>
        <v>65</v>
      </c>
      <c r="R150" s="63"/>
      <c r="S150" s="69" t="str">
        <f t="shared" si="28"/>
        <v/>
      </c>
      <c r="T150" s="65"/>
      <c r="U150" s="69" t="str">
        <f t="shared" si="29"/>
        <v/>
      </c>
      <c r="V150" s="82" t="str">
        <f t="shared" si="30"/>
        <v/>
      </c>
      <c r="W150" s="65"/>
      <c r="X150" s="72" t="str">
        <f t="shared" si="31"/>
        <v/>
      </c>
    </row>
    <row r="151" ht="21" customHeight="1" spans="1:24">
      <c r="A151" s="61"/>
      <c r="B151" s="62"/>
      <c r="C151" s="63"/>
      <c r="D151" s="61"/>
      <c r="E151" s="65"/>
      <c r="F151" s="65"/>
      <c r="G151" s="65"/>
      <c r="H151" s="65"/>
      <c r="I151" s="69" t="str">
        <f>IF(E151="","",MROUND(E151*Settings!$B$16,Settings!$B$19))</f>
        <v/>
      </c>
      <c r="J151" s="69" t="str">
        <f>IF(H151="","",MROUND(H151*Settings!$B$17,Settings!$B$19))</f>
        <v/>
      </c>
      <c r="K151" s="69" t="str">
        <f>IF(OR(I151="",J151=""),"",MROUND(MIN(I151,J151),Settings!$B$19))</f>
        <v/>
      </c>
      <c r="L151" s="65"/>
      <c r="M151" s="69" t="str">
        <f>IF(OR(E151="",L151=""),"",MROUND(MIN(E151*Settings!$B$16,L151*Settings!$B$17),Settings!$B$19))</f>
        <v/>
      </c>
      <c r="N151" s="72" t="str">
        <f t="shared" si="32"/>
        <v/>
      </c>
      <c r="O151" s="62"/>
      <c r="P151" s="69" t="str">
        <f t="shared" si="27"/>
        <v/>
      </c>
      <c r="Q151" s="76">
        <f t="shared" si="33"/>
        <v>65</v>
      </c>
      <c r="R151" s="63"/>
      <c r="S151" s="69" t="str">
        <f t="shared" si="28"/>
        <v/>
      </c>
      <c r="T151" s="65"/>
      <c r="U151" s="69" t="str">
        <f t="shared" si="29"/>
        <v/>
      </c>
      <c r="V151" s="82" t="str">
        <f t="shared" si="30"/>
        <v/>
      </c>
      <c r="W151" s="65"/>
      <c r="X151" s="72" t="str">
        <f t="shared" si="31"/>
        <v/>
      </c>
    </row>
    <row r="152" ht="21" customHeight="1" spans="1:24">
      <c r="A152" s="61"/>
      <c r="B152" s="62"/>
      <c r="C152" s="63"/>
      <c r="D152" s="61"/>
      <c r="E152" s="65"/>
      <c r="F152" s="65"/>
      <c r="G152" s="65"/>
      <c r="H152" s="65"/>
      <c r="I152" s="69" t="str">
        <f>IF(E152="","",MROUND(E152*Settings!$B$16,Settings!$B$19))</f>
        <v/>
      </c>
      <c r="J152" s="69" t="str">
        <f>IF(H152="","",MROUND(H152*Settings!$B$17,Settings!$B$19))</f>
        <v/>
      </c>
      <c r="K152" s="69" t="str">
        <f>IF(OR(I152="",J152=""),"",MROUND(MIN(I152,J152),Settings!$B$19))</f>
        <v/>
      </c>
      <c r="L152" s="65"/>
      <c r="M152" s="69" t="str">
        <f>IF(OR(E152="",L152=""),"",MROUND(MIN(E152*Settings!$B$16,L152*Settings!$B$17),Settings!$B$19))</f>
        <v/>
      </c>
      <c r="N152" s="72" t="str">
        <f t="shared" si="32"/>
        <v/>
      </c>
      <c r="O152" s="62"/>
      <c r="P152" s="69" t="str">
        <f t="shared" si="27"/>
        <v/>
      </c>
      <c r="Q152" s="76">
        <f t="shared" si="33"/>
        <v>65</v>
      </c>
      <c r="R152" s="63"/>
      <c r="S152" s="69" t="str">
        <f t="shared" si="28"/>
        <v/>
      </c>
      <c r="T152" s="65"/>
      <c r="U152" s="69" t="str">
        <f t="shared" si="29"/>
        <v/>
      </c>
      <c r="V152" s="82" t="str">
        <f t="shared" si="30"/>
        <v/>
      </c>
      <c r="W152" s="65"/>
      <c r="X152" s="72" t="str">
        <f t="shared" si="31"/>
        <v/>
      </c>
    </row>
    <row r="153" ht="21" customHeight="1" spans="1:24">
      <c r="A153" s="61"/>
      <c r="B153" s="62"/>
      <c r="C153" s="63"/>
      <c r="D153" s="61"/>
      <c r="E153" s="65"/>
      <c r="F153" s="65"/>
      <c r="G153" s="65"/>
      <c r="H153" s="65"/>
      <c r="I153" s="69" t="str">
        <f>IF(E153="","",MROUND(E153*Settings!$B$16,Settings!$B$19))</f>
        <v/>
      </c>
      <c r="J153" s="69" t="str">
        <f>IF(H153="","",MROUND(H153*Settings!$B$17,Settings!$B$19))</f>
        <v/>
      </c>
      <c r="K153" s="69" t="str">
        <f>IF(OR(I153="",J153=""),"",MROUND(MIN(I153,J153),Settings!$B$19))</f>
        <v/>
      </c>
      <c r="L153" s="65"/>
      <c r="M153" s="69" t="str">
        <f>IF(OR(E153="",L153=""),"",MROUND(MIN(E153*Settings!$B$16,L153*Settings!$B$17),Settings!$B$19))</f>
        <v/>
      </c>
      <c r="N153" s="72" t="str">
        <f t="shared" si="32"/>
        <v/>
      </c>
      <c r="O153" s="62"/>
      <c r="P153" s="69" t="str">
        <f t="shared" si="27"/>
        <v/>
      </c>
      <c r="Q153" s="76">
        <f t="shared" si="33"/>
        <v>65</v>
      </c>
      <c r="R153" s="63"/>
      <c r="S153" s="69" t="str">
        <f t="shared" si="28"/>
        <v/>
      </c>
      <c r="T153" s="65"/>
      <c r="U153" s="69" t="str">
        <f t="shared" si="29"/>
        <v/>
      </c>
      <c r="V153" s="82" t="str">
        <f t="shared" si="30"/>
        <v/>
      </c>
      <c r="W153" s="65"/>
      <c r="X153" s="72" t="str">
        <f t="shared" si="31"/>
        <v/>
      </c>
    </row>
    <row r="154" ht="21" customHeight="1" spans="1:24">
      <c r="A154" s="61"/>
      <c r="B154" s="62"/>
      <c r="C154" s="63"/>
      <c r="D154" s="61"/>
      <c r="E154" s="65"/>
      <c r="F154" s="65"/>
      <c r="G154" s="65"/>
      <c r="H154" s="65"/>
      <c r="I154" s="69" t="str">
        <f>IF(E154="","",MROUND(E154*Settings!$B$16,Settings!$B$19))</f>
        <v/>
      </c>
      <c r="J154" s="69" t="str">
        <f>IF(H154="","",MROUND(H154*Settings!$B$17,Settings!$B$19))</f>
        <v/>
      </c>
      <c r="K154" s="69" t="str">
        <f>IF(OR(I154="",J154=""),"",MROUND(MIN(I154,J154),Settings!$B$19))</f>
        <v/>
      </c>
      <c r="L154" s="65"/>
      <c r="M154" s="69" t="str">
        <f>IF(OR(E154="",L154=""),"",MROUND(MIN(E154*Settings!$B$16,L154*Settings!$B$17),Settings!$B$19))</f>
        <v/>
      </c>
      <c r="N154" s="72" t="str">
        <f t="shared" si="32"/>
        <v/>
      </c>
      <c r="O154" s="62"/>
      <c r="P154" s="69" t="str">
        <f t="shared" si="27"/>
        <v/>
      </c>
      <c r="Q154" s="76">
        <f t="shared" si="33"/>
        <v>65</v>
      </c>
      <c r="R154" s="63"/>
      <c r="S154" s="69" t="str">
        <f t="shared" si="28"/>
        <v/>
      </c>
      <c r="T154" s="65"/>
      <c r="U154" s="69" t="str">
        <f t="shared" si="29"/>
        <v/>
      </c>
      <c r="V154" s="82" t="str">
        <f t="shared" si="30"/>
        <v/>
      </c>
      <c r="W154" s="65"/>
      <c r="X154" s="72" t="str">
        <f t="shared" si="31"/>
        <v/>
      </c>
    </row>
    <row r="155" ht="21" customHeight="1" spans="1:24">
      <c r="A155" s="61"/>
      <c r="B155" s="62"/>
      <c r="C155" s="63"/>
      <c r="D155" s="61"/>
      <c r="E155" s="65"/>
      <c r="F155" s="65"/>
      <c r="G155" s="65"/>
      <c r="H155" s="65"/>
      <c r="I155" s="69" t="str">
        <f>IF(E155="","",MROUND(E155*Settings!$B$16,Settings!$B$19))</f>
        <v/>
      </c>
      <c r="J155" s="69" t="str">
        <f>IF(H155="","",MROUND(H155*Settings!$B$17,Settings!$B$19))</f>
        <v/>
      </c>
      <c r="K155" s="69" t="str">
        <f>IF(OR(I155="",J155=""),"",MROUND(MIN(I155,J155),Settings!$B$19))</f>
        <v/>
      </c>
      <c r="L155" s="65"/>
      <c r="M155" s="69" t="str">
        <f>IF(OR(E155="",L155=""),"",MROUND(MIN(E155*Settings!$B$16,L155*Settings!$B$17),Settings!$B$19))</f>
        <v/>
      </c>
      <c r="N155" s="72" t="str">
        <f t="shared" si="32"/>
        <v/>
      </c>
      <c r="O155" s="62"/>
      <c r="P155" s="69" t="str">
        <f t="shared" si="27"/>
        <v/>
      </c>
      <c r="Q155" s="76">
        <f t="shared" ref="Q155:Q164" si="34">$B$7</f>
        <v>65</v>
      </c>
      <c r="R155" s="63"/>
      <c r="S155" s="69" t="str">
        <f t="shared" si="28"/>
        <v/>
      </c>
      <c r="T155" s="65"/>
      <c r="U155" s="69" t="str">
        <f t="shared" si="29"/>
        <v/>
      </c>
      <c r="V155" s="82" t="str">
        <f t="shared" si="30"/>
        <v/>
      </c>
      <c r="W155" s="65"/>
      <c r="X155" s="72" t="str">
        <f t="shared" si="31"/>
        <v/>
      </c>
    </row>
    <row r="156" ht="21" customHeight="1" spans="1:24">
      <c r="A156" s="61"/>
      <c r="B156" s="62"/>
      <c r="C156" s="63"/>
      <c r="D156" s="61"/>
      <c r="E156" s="65"/>
      <c r="F156" s="65"/>
      <c r="G156" s="65"/>
      <c r="H156" s="65"/>
      <c r="I156" s="69" t="str">
        <f>IF(E156="","",MROUND(E156*Settings!$B$16,Settings!$B$19))</f>
        <v/>
      </c>
      <c r="J156" s="69" t="str">
        <f>IF(H156="","",MROUND(H156*Settings!$B$17,Settings!$B$19))</f>
        <v/>
      </c>
      <c r="K156" s="69" t="str">
        <f>IF(OR(I156="",J156=""),"",MROUND(MIN(I156,J156),Settings!$B$19))</f>
        <v/>
      </c>
      <c r="L156" s="65"/>
      <c r="M156" s="69" t="str">
        <f>IF(OR(E156="",L156=""),"",MROUND(MIN(E156*Settings!$B$16,L156*Settings!$B$17),Settings!$B$19))</f>
        <v/>
      </c>
      <c r="N156" s="72" t="str">
        <f t="shared" si="32"/>
        <v/>
      </c>
      <c r="O156" s="62"/>
      <c r="P156" s="69" t="str">
        <f t="shared" si="27"/>
        <v/>
      </c>
      <c r="Q156" s="76">
        <f t="shared" si="34"/>
        <v>65</v>
      </c>
      <c r="R156" s="63"/>
      <c r="S156" s="69" t="str">
        <f t="shared" si="28"/>
        <v/>
      </c>
      <c r="T156" s="65"/>
      <c r="U156" s="69" t="str">
        <f t="shared" si="29"/>
        <v/>
      </c>
      <c r="V156" s="82" t="str">
        <f t="shared" si="30"/>
        <v/>
      </c>
      <c r="W156" s="65"/>
      <c r="X156" s="72" t="str">
        <f t="shared" si="31"/>
        <v/>
      </c>
    </row>
    <row r="157" ht="21" customHeight="1" spans="1:24">
      <c r="A157" s="61"/>
      <c r="B157" s="62"/>
      <c r="C157" s="63"/>
      <c r="D157" s="61"/>
      <c r="E157" s="65"/>
      <c r="F157" s="65"/>
      <c r="G157" s="65"/>
      <c r="H157" s="65"/>
      <c r="I157" s="69" t="str">
        <f>IF(E157="","",MROUND(E157*Settings!$B$16,Settings!$B$19))</f>
        <v/>
      </c>
      <c r="J157" s="69" t="str">
        <f>IF(H157="","",MROUND(H157*Settings!$B$17,Settings!$B$19))</f>
        <v/>
      </c>
      <c r="K157" s="69" t="str">
        <f>IF(OR(I157="",J157=""),"",MROUND(MIN(I157,J157),Settings!$B$19))</f>
        <v/>
      </c>
      <c r="L157" s="65"/>
      <c r="M157" s="69" t="str">
        <f>IF(OR(E157="",L157=""),"",MROUND(MIN(E157*Settings!$B$16,L157*Settings!$B$17),Settings!$B$19))</f>
        <v/>
      </c>
      <c r="N157" s="72" t="str">
        <f t="shared" si="32"/>
        <v/>
      </c>
      <c r="O157" s="62"/>
      <c r="P157" s="69" t="str">
        <f t="shared" si="27"/>
        <v/>
      </c>
      <c r="Q157" s="76">
        <f t="shared" si="34"/>
        <v>65</v>
      </c>
      <c r="R157" s="63"/>
      <c r="S157" s="69" t="str">
        <f t="shared" si="28"/>
        <v/>
      </c>
      <c r="T157" s="65"/>
      <c r="U157" s="69" t="str">
        <f t="shared" si="29"/>
        <v/>
      </c>
      <c r="V157" s="82" t="str">
        <f t="shared" si="30"/>
        <v/>
      </c>
      <c r="W157" s="65"/>
      <c r="X157" s="72" t="str">
        <f t="shared" si="31"/>
        <v/>
      </c>
    </row>
    <row r="158" ht="21" customHeight="1" spans="1:24">
      <c r="A158" s="61"/>
      <c r="B158" s="62"/>
      <c r="C158" s="63"/>
      <c r="D158" s="61"/>
      <c r="E158" s="65"/>
      <c r="F158" s="65"/>
      <c r="G158" s="65"/>
      <c r="H158" s="65"/>
      <c r="I158" s="69" t="str">
        <f>IF(E158="","",MROUND(E158*Settings!$B$16,Settings!$B$19))</f>
        <v/>
      </c>
      <c r="J158" s="69" t="str">
        <f>IF(H158="","",MROUND(H158*Settings!$B$17,Settings!$B$19))</f>
        <v/>
      </c>
      <c r="K158" s="69" t="str">
        <f>IF(OR(I158="",J158=""),"",MROUND(MIN(I158,J158),Settings!$B$19))</f>
        <v/>
      </c>
      <c r="L158" s="65"/>
      <c r="M158" s="69" t="str">
        <f>IF(OR(E158="",L158=""),"",MROUND(MIN(E158*Settings!$B$16,L158*Settings!$B$17),Settings!$B$19))</f>
        <v/>
      </c>
      <c r="N158" s="72" t="str">
        <f t="shared" si="32"/>
        <v/>
      </c>
      <c r="O158" s="62"/>
      <c r="P158" s="69" t="str">
        <f t="shared" si="27"/>
        <v/>
      </c>
      <c r="Q158" s="76">
        <f t="shared" si="34"/>
        <v>65</v>
      </c>
      <c r="R158" s="63"/>
      <c r="S158" s="69" t="str">
        <f t="shared" si="28"/>
        <v/>
      </c>
      <c r="T158" s="65"/>
      <c r="U158" s="69" t="str">
        <f t="shared" si="29"/>
        <v/>
      </c>
      <c r="V158" s="82" t="str">
        <f t="shared" si="30"/>
        <v/>
      </c>
      <c r="W158" s="65"/>
      <c r="X158" s="72" t="str">
        <f t="shared" si="31"/>
        <v/>
      </c>
    </row>
    <row r="159" ht="21" customHeight="1" spans="1:24">
      <c r="A159" s="61"/>
      <c r="B159" s="62"/>
      <c r="C159" s="63"/>
      <c r="D159" s="61"/>
      <c r="E159" s="65"/>
      <c r="F159" s="65"/>
      <c r="G159" s="65"/>
      <c r="H159" s="65"/>
      <c r="I159" s="69" t="str">
        <f>IF(E159="","",MROUND(E159*Settings!$B$16,Settings!$B$19))</f>
        <v/>
      </c>
      <c r="J159" s="69" t="str">
        <f>IF(H159="","",MROUND(H159*Settings!$B$17,Settings!$B$19))</f>
        <v/>
      </c>
      <c r="K159" s="69" t="str">
        <f>IF(OR(I159="",J159=""),"",MROUND(MIN(I159,J159),Settings!$B$19))</f>
        <v/>
      </c>
      <c r="L159" s="65"/>
      <c r="M159" s="69" t="str">
        <f>IF(OR(E159="",L159=""),"",MROUND(MIN(E159*Settings!$B$16,L159*Settings!$B$17),Settings!$B$19))</f>
        <v/>
      </c>
      <c r="N159" s="72" t="str">
        <f t="shared" si="32"/>
        <v/>
      </c>
      <c r="O159" s="62"/>
      <c r="P159" s="69" t="str">
        <f t="shared" si="27"/>
        <v/>
      </c>
      <c r="Q159" s="76">
        <f t="shared" si="34"/>
        <v>65</v>
      </c>
      <c r="R159" s="63"/>
      <c r="S159" s="69" t="str">
        <f t="shared" si="28"/>
        <v/>
      </c>
      <c r="T159" s="65"/>
      <c r="U159" s="69" t="str">
        <f t="shared" si="29"/>
        <v/>
      </c>
      <c r="V159" s="82" t="str">
        <f t="shared" si="30"/>
        <v/>
      </c>
      <c r="W159" s="65"/>
      <c r="X159" s="72" t="str">
        <f t="shared" si="31"/>
        <v/>
      </c>
    </row>
    <row r="160" ht="21" customHeight="1" spans="1:24">
      <c r="A160" s="61"/>
      <c r="B160" s="62"/>
      <c r="C160" s="63"/>
      <c r="D160" s="61"/>
      <c r="E160" s="65"/>
      <c r="F160" s="65"/>
      <c r="G160" s="65"/>
      <c r="H160" s="65"/>
      <c r="I160" s="69" t="str">
        <f>IF(E160="","",MROUND(E160*Settings!$B$16,Settings!$B$19))</f>
        <v/>
      </c>
      <c r="J160" s="69" t="str">
        <f>IF(H160="","",MROUND(H160*Settings!$B$17,Settings!$B$19))</f>
        <v/>
      </c>
      <c r="K160" s="69" t="str">
        <f>IF(OR(I160="",J160=""),"",MROUND(MIN(I160,J160),Settings!$B$19))</f>
        <v/>
      </c>
      <c r="L160" s="65"/>
      <c r="M160" s="69" t="str">
        <f>IF(OR(E160="",L160=""),"",MROUND(MIN(E160*Settings!$B$16,L160*Settings!$B$17),Settings!$B$19))</f>
        <v/>
      </c>
      <c r="N160" s="72" t="str">
        <f t="shared" si="32"/>
        <v/>
      </c>
      <c r="O160" s="62"/>
      <c r="P160" s="69" t="str">
        <f t="shared" si="27"/>
        <v/>
      </c>
      <c r="Q160" s="76">
        <f t="shared" si="34"/>
        <v>65</v>
      </c>
      <c r="R160" s="63"/>
      <c r="S160" s="69" t="str">
        <f t="shared" si="28"/>
        <v/>
      </c>
      <c r="T160" s="65"/>
      <c r="U160" s="69" t="str">
        <f t="shared" si="29"/>
        <v/>
      </c>
      <c r="V160" s="82" t="str">
        <f t="shared" si="30"/>
        <v/>
      </c>
      <c r="W160" s="65"/>
      <c r="X160" s="72" t="str">
        <f t="shared" si="31"/>
        <v/>
      </c>
    </row>
    <row r="161" ht="21" customHeight="1" spans="1:24">
      <c r="A161" s="61"/>
      <c r="B161" s="62"/>
      <c r="C161" s="63"/>
      <c r="D161" s="61"/>
      <c r="E161" s="65"/>
      <c r="F161" s="65"/>
      <c r="G161" s="65"/>
      <c r="H161" s="65"/>
      <c r="I161" s="69" t="str">
        <f>IF(E161="","",MROUND(E161*Settings!$B$16,Settings!$B$19))</f>
        <v/>
      </c>
      <c r="J161" s="69" t="str">
        <f>IF(H161="","",MROUND(H161*Settings!$B$17,Settings!$B$19))</f>
        <v/>
      </c>
      <c r="K161" s="69" t="str">
        <f>IF(OR(I161="",J161=""),"",MROUND(MIN(I161,J161),Settings!$B$19))</f>
        <v/>
      </c>
      <c r="L161" s="65"/>
      <c r="M161" s="69" t="str">
        <f>IF(OR(E161="",L161=""),"",MROUND(MIN(E161*Settings!$B$16,L161*Settings!$B$17),Settings!$B$19))</f>
        <v/>
      </c>
      <c r="N161" s="72" t="str">
        <f t="shared" si="32"/>
        <v/>
      </c>
      <c r="O161" s="62"/>
      <c r="P161" s="69" t="str">
        <f t="shared" si="27"/>
        <v/>
      </c>
      <c r="Q161" s="76">
        <f t="shared" si="34"/>
        <v>65</v>
      </c>
      <c r="R161" s="63"/>
      <c r="S161" s="69" t="str">
        <f t="shared" si="28"/>
        <v/>
      </c>
      <c r="T161" s="65"/>
      <c r="U161" s="69" t="str">
        <f t="shared" si="29"/>
        <v/>
      </c>
      <c r="V161" s="82" t="str">
        <f t="shared" si="30"/>
        <v/>
      </c>
      <c r="W161" s="65"/>
      <c r="X161" s="72" t="str">
        <f t="shared" si="31"/>
        <v/>
      </c>
    </row>
    <row r="162" ht="21" customHeight="1" spans="1:24">
      <c r="A162" s="61"/>
      <c r="B162" s="62"/>
      <c r="C162" s="63"/>
      <c r="D162" s="61"/>
      <c r="E162" s="65"/>
      <c r="F162" s="65"/>
      <c r="G162" s="65"/>
      <c r="H162" s="65"/>
      <c r="I162" s="69" t="str">
        <f>IF(E162="","",MROUND(E162*Settings!$B$16,Settings!$B$19))</f>
        <v/>
      </c>
      <c r="J162" s="69" t="str">
        <f>IF(H162="","",MROUND(H162*Settings!$B$17,Settings!$B$19))</f>
        <v/>
      </c>
      <c r="K162" s="69" t="str">
        <f>IF(OR(I162="",J162=""),"",MROUND(MIN(I162,J162),Settings!$B$19))</f>
        <v/>
      </c>
      <c r="L162" s="65"/>
      <c r="M162" s="69" t="str">
        <f>IF(OR(E162="",L162=""),"",MROUND(MIN(E162*Settings!$B$16,L162*Settings!$B$17),Settings!$B$19))</f>
        <v/>
      </c>
      <c r="N162" s="72" t="str">
        <f t="shared" si="32"/>
        <v/>
      </c>
      <c r="O162" s="62"/>
      <c r="P162" s="69" t="str">
        <f t="shared" si="27"/>
        <v/>
      </c>
      <c r="Q162" s="76">
        <f t="shared" si="34"/>
        <v>65</v>
      </c>
      <c r="R162" s="63"/>
      <c r="S162" s="69" t="str">
        <f t="shared" si="28"/>
        <v/>
      </c>
      <c r="T162" s="65"/>
      <c r="U162" s="69" t="str">
        <f t="shared" si="29"/>
        <v/>
      </c>
      <c r="V162" s="82" t="str">
        <f t="shared" si="30"/>
        <v/>
      </c>
      <c r="W162" s="65"/>
      <c r="X162" s="72" t="str">
        <f t="shared" si="31"/>
        <v/>
      </c>
    </row>
    <row r="163" ht="21" customHeight="1" spans="1:24">
      <c r="A163" s="61"/>
      <c r="B163" s="62"/>
      <c r="C163" s="63"/>
      <c r="D163" s="61"/>
      <c r="E163" s="65"/>
      <c r="F163" s="65"/>
      <c r="G163" s="65"/>
      <c r="H163" s="65"/>
      <c r="I163" s="69" t="str">
        <f>IF(E163="","",MROUND(E163*Settings!$B$16,Settings!$B$19))</f>
        <v/>
      </c>
      <c r="J163" s="69" t="str">
        <f>IF(H163="","",MROUND(H163*Settings!$B$17,Settings!$B$19))</f>
        <v/>
      </c>
      <c r="K163" s="69" t="str">
        <f>IF(OR(I163="",J163=""),"",MROUND(MIN(I163,J163),Settings!$B$19))</f>
        <v/>
      </c>
      <c r="L163" s="65"/>
      <c r="M163" s="69" t="str">
        <f>IF(OR(E163="",L163=""),"",MROUND(MIN(E163*Settings!$B$16,L163*Settings!$B$17),Settings!$B$19))</f>
        <v/>
      </c>
      <c r="N163" s="72" t="str">
        <f t="shared" si="32"/>
        <v/>
      </c>
      <c r="O163" s="62"/>
      <c r="P163" s="69" t="str">
        <f t="shared" si="27"/>
        <v/>
      </c>
      <c r="Q163" s="76">
        <f t="shared" si="34"/>
        <v>65</v>
      </c>
      <c r="R163" s="63"/>
      <c r="S163" s="69" t="str">
        <f t="shared" si="28"/>
        <v/>
      </c>
      <c r="T163" s="65"/>
      <c r="U163" s="69" t="str">
        <f t="shared" si="29"/>
        <v/>
      </c>
      <c r="V163" s="82" t="str">
        <f t="shared" si="30"/>
        <v/>
      </c>
      <c r="W163" s="65"/>
      <c r="X163" s="72" t="str">
        <f t="shared" si="31"/>
        <v/>
      </c>
    </row>
    <row r="164" ht="21" customHeight="1" spans="1:24">
      <c r="A164" s="61"/>
      <c r="B164" s="62"/>
      <c r="C164" s="63"/>
      <c r="D164" s="61"/>
      <c r="E164" s="65"/>
      <c r="F164" s="65"/>
      <c r="G164" s="65"/>
      <c r="H164" s="65"/>
      <c r="I164" s="69" t="str">
        <f>IF(E164="","",MROUND(E164*Settings!$B$16,Settings!$B$19))</f>
        <v/>
      </c>
      <c r="J164" s="69" t="str">
        <f>IF(H164="","",MROUND(H164*Settings!$B$17,Settings!$B$19))</f>
        <v/>
      </c>
      <c r="K164" s="69" t="str">
        <f>IF(OR(I164="",J164=""),"",MROUND(MIN(I164,J164),Settings!$B$19))</f>
        <v/>
      </c>
      <c r="L164" s="65"/>
      <c r="M164" s="69" t="str">
        <f>IF(OR(E164="",L164=""),"",MROUND(MIN(E164*Settings!$B$16,L164*Settings!$B$17),Settings!$B$19))</f>
        <v/>
      </c>
      <c r="N164" s="72" t="str">
        <f t="shared" si="32"/>
        <v/>
      </c>
      <c r="O164" s="62"/>
      <c r="P164" s="69" t="str">
        <f t="shared" si="27"/>
        <v/>
      </c>
      <c r="Q164" s="76">
        <f t="shared" si="34"/>
        <v>65</v>
      </c>
      <c r="R164" s="63"/>
      <c r="S164" s="69" t="str">
        <f t="shared" si="28"/>
        <v/>
      </c>
      <c r="T164" s="65"/>
      <c r="U164" s="69" t="str">
        <f t="shared" si="29"/>
        <v/>
      </c>
      <c r="V164" s="82" t="str">
        <f t="shared" si="30"/>
        <v/>
      </c>
      <c r="W164" s="65"/>
      <c r="X164" s="72" t="str">
        <f t="shared" si="31"/>
        <v/>
      </c>
    </row>
    <row r="165" ht="21" customHeight="1" spans="1:24">
      <c r="A165" s="61"/>
      <c r="B165" s="62"/>
      <c r="C165" s="63"/>
      <c r="D165" s="61"/>
      <c r="E165" s="65"/>
      <c r="F165" s="65"/>
      <c r="G165" s="65"/>
      <c r="H165" s="65"/>
      <c r="I165" s="69" t="str">
        <f>IF(E165="","",MROUND(E165*Settings!$B$16,Settings!$B$19))</f>
        <v/>
      </c>
      <c r="J165" s="69" t="str">
        <f>IF(H165="","",MROUND(H165*Settings!$B$17,Settings!$B$19))</f>
        <v/>
      </c>
      <c r="K165" s="69" t="str">
        <f>IF(OR(I165="",J165=""),"",MROUND(MIN(I165,J165),Settings!$B$19))</f>
        <v/>
      </c>
      <c r="L165" s="65"/>
      <c r="M165" s="69" t="str">
        <f>IF(OR(E165="",L165=""),"",MROUND(MIN(E165*Settings!$B$16,L165*Settings!$B$17),Settings!$B$19))</f>
        <v/>
      </c>
      <c r="N165" s="72" t="str">
        <f t="shared" si="32"/>
        <v/>
      </c>
      <c r="O165" s="62"/>
      <c r="P165" s="69" t="str">
        <f t="shared" si="27"/>
        <v/>
      </c>
      <c r="Q165" s="76">
        <f t="shared" ref="Q165:Q174" si="35">$B$7</f>
        <v>65</v>
      </c>
      <c r="R165" s="63"/>
      <c r="S165" s="69" t="str">
        <f t="shared" si="28"/>
        <v/>
      </c>
      <c r="T165" s="65"/>
      <c r="U165" s="69" t="str">
        <f t="shared" si="29"/>
        <v/>
      </c>
      <c r="V165" s="82" t="str">
        <f t="shared" si="30"/>
        <v/>
      </c>
      <c r="W165" s="65"/>
      <c r="X165" s="72" t="str">
        <f t="shared" si="31"/>
        <v/>
      </c>
    </row>
    <row r="166" ht="21" customHeight="1" spans="1:24">
      <c r="A166" s="61"/>
      <c r="B166" s="62"/>
      <c r="C166" s="63"/>
      <c r="D166" s="61"/>
      <c r="E166" s="65"/>
      <c r="F166" s="65"/>
      <c r="G166" s="65"/>
      <c r="H166" s="65"/>
      <c r="I166" s="69" t="str">
        <f>IF(E166="","",MROUND(E166*Settings!$B$16,Settings!$B$19))</f>
        <v/>
      </c>
      <c r="J166" s="69" t="str">
        <f>IF(H166="","",MROUND(H166*Settings!$B$17,Settings!$B$19))</f>
        <v/>
      </c>
      <c r="K166" s="69" t="str">
        <f>IF(OR(I166="",J166=""),"",MROUND(MIN(I166,J166),Settings!$B$19))</f>
        <v/>
      </c>
      <c r="L166" s="65"/>
      <c r="M166" s="69" t="str">
        <f>IF(OR(E166="",L166=""),"",MROUND(MIN(E166*Settings!$B$16,L166*Settings!$B$17),Settings!$B$19))</f>
        <v/>
      </c>
      <c r="N166" s="72" t="str">
        <f t="shared" si="32"/>
        <v/>
      </c>
      <c r="O166" s="62"/>
      <c r="P166" s="69" t="str">
        <f t="shared" si="27"/>
        <v/>
      </c>
      <c r="Q166" s="76">
        <f t="shared" si="35"/>
        <v>65</v>
      </c>
      <c r="R166" s="63"/>
      <c r="S166" s="69" t="str">
        <f t="shared" si="28"/>
        <v/>
      </c>
      <c r="T166" s="65"/>
      <c r="U166" s="69" t="str">
        <f t="shared" si="29"/>
        <v/>
      </c>
      <c r="V166" s="82" t="str">
        <f t="shared" si="30"/>
        <v/>
      </c>
      <c r="W166" s="65"/>
      <c r="X166" s="72" t="str">
        <f t="shared" si="31"/>
        <v/>
      </c>
    </row>
    <row r="167" ht="21" customHeight="1" spans="1:24">
      <c r="A167" s="61"/>
      <c r="B167" s="62"/>
      <c r="C167" s="63"/>
      <c r="D167" s="61"/>
      <c r="E167" s="65"/>
      <c r="F167" s="65"/>
      <c r="G167" s="65"/>
      <c r="H167" s="65"/>
      <c r="I167" s="69" t="str">
        <f>IF(E167="","",MROUND(E167*Settings!$B$16,Settings!$B$19))</f>
        <v/>
      </c>
      <c r="J167" s="69" t="str">
        <f>IF(H167="","",MROUND(H167*Settings!$B$17,Settings!$B$19))</f>
        <v/>
      </c>
      <c r="K167" s="69" t="str">
        <f>IF(OR(I167="",J167=""),"",MROUND(MIN(I167,J167),Settings!$B$19))</f>
        <v/>
      </c>
      <c r="L167" s="65"/>
      <c r="M167" s="69" t="str">
        <f>IF(OR(E167="",L167=""),"",MROUND(MIN(E167*Settings!$B$16,L167*Settings!$B$17),Settings!$B$19))</f>
        <v/>
      </c>
      <c r="N167" s="72" t="str">
        <f t="shared" si="32"/>
        <v/>
      </c>
      <c r="O167" s="62"/>
      <c r="P167" s="69" t="str">
        <f t="shared" si="27"/>
        <v/>
      </c>
      <c r="Q167" s="76">
        <f t="shared" si="35"/>
        <v>65</v>
      </c>
      <c r="R167" s="63"/>
      <c r="S167" s="69" t="str">
        <f t="shared" si="28"/>
        <v/>
      </c>
      <c r="T167" s="65"/>
      <c r="U167" s="69" t="str">
        <f t="shared" si="29"/>
        <v/>
      </c>
      <c r="V167" s="82" t="str">
        <f t="shared" si="30"/>
        <v/>
      </c>
      <c r="W167" s="65"/>
      <c r="X167" s="72" t="str">
        <f t="shared" si="31"/>
        <v/>
      </c>
    </row>
    <row r="168" ht="21" customHeight="1" spans="1:24">
      <c r="A168" s="61"/>
      <c r="B168" s="62"/>
      <c r="C168" s="63"/>
      <c r="D168" s="61"/>
      <c r="E168" s="65"/>
      <c r="F168" s="65"/>
      <c r="G168" s="65"/>
      <c r="H168" s="65"/>
      <c r="I168" s="69" t="str">
        <f>IF(E168="","",MROUND(E168*Settings!$B$16,Settings!$B$19))</f>
        <v/>
      </c>
      <c r="J168" s="69" t="str">
        <f>IF(H168="","",MROUND(H168*Settings!$B$17,Settings!$B$19))</f>
        <v/>
      </c>
      <c r="K168" s="69" t="str">
        <f>IF(OR(I168="",J168=""),"",MROUND(MIN(I168,J168),Settings!$B$19))</f>
        <v/>
      </c>
      <c r="L168" s="65"/>
      <c r="M168" s="69" t="str">
        <f>IF(OR(E168="",L168=""),"",MROUND(MIN(E168*Settings!$B$16,L168*Settings!$B$17),Settings!$B$19))</f>
        <v/>
      </c>
      <c r="N168" s="72" t="str">
        <f t="shared" si="32"/>
        <v/>
      </c>
      <c r="O168" s="62"/>
      <c r="P168" s="69" t="str">
        <f t="shared" si="27"/>
        <v/>
      </c>
      <c r="Q168" s="76">
        <f t="shared" si="35"/>
        <v>65</v>
      </c>
      <c r="R168" s="63"/>
      <c r="S168" s="69" t="str">
        <f t="shared" si="28"/>
        <v/>
      </c>
      <c r="T168" s="65"/>
      <c r="U168" s="69" t="str">
        <f t="shared" si="29"/>
        <v/>
      </c>
      <c r="V168" s="82" t="str">
        <f t="shared" si="30"/>
        <v/>
      </c>
      <c r="W168" s="65"/>
      <c r="X168" s="72" t="str">
        <f t="shared" si="31"/>
        <v/>
      </c>
    </row>
    <row r="169" ht="21" customHeight="1" spans="1:24">
      <c r="A169" s="61"/>
      <c r="B169" s="62"/>
      <c r="C169" s="63"/>
      <c r="D169" s="61"/>
      <c r="E169" s="65"/>
      <c r="F169" s="65"/>
      <c r="G169" s="65"/>
      <c r="H169" s="65"/>
      <c r="I169" s="69" t="str">
        <f>IF(E169="","",MROUND(E169*Settings!$B$16,Settings!$B$19))</f>
        <v/>
      </c>
      <c r="J169" s="69" t="str">
        <f>IF(H169="","",MROUND(H169*Settings!$B$17,Settings!$B$19))</f>
        <v/>
      </c>
      <c r="K169" s="69" t="str">
        <f>IF(OR(I169="",J169=""),"",MROUND(MIN(I169,J169),Settings!$B$19))</f>
        <v/>
      </c>
      <c r="L169" s="65"/>
      <c r="M169" s="69" t="str">
        <f>IF(OR(E169="",L169=""),"",MROUND(MIN(E169*Settings!$B$16,L169*Settings!$B$17),Settings!$B$19))</f>
        <v/>
      </c>
      <c r="N169" s="72" t="str">
        <f t="shared" si="32"/>
        <v/>
      </c>
      <c r="O169" s="62"/>
      <c r="P169" s="69" t="str">
        <f t="shared" si="27"/>
        <v/>
      </c>
      <c r="Q169" s="76">
        <f t="shared" si="35"/>
        <v>65</v>
      </c>
      <c r="R169" s="63"/>
      <c r="S169" s="69" t="str">
        <f t="shared" si="28"/>
        <v/>
      </c>
      <c r="T169" s="65"/>
      <c r="U169" s="69" t="str">
        <f t="shared" si="29"/>
        <v/>
      </c>
      <c r="V169" s="82" t="str">
        <f t="shared" si="30"/>
        <v/>
      </c>
      <c r="W169" s="65"/>
      <c r="X169" s="72" t="str">
        <f t="shared" si="31"/>
        <v/>
      </c>
    </row>
    <row r="170" ht="21" customHeight="1" spans="1:24">
      <c r="A170" s="61"/>
      <c r="B170" s="62"/>
      <c r="C170" s="63"/>
      <c r="D170" s="61"/>
      <c r="E170" s="65"/>
      <c r="F170" s="65"/>
      <c r="G170" s="65"/>
      <c r="H170" s="65"/>
      <c r="I170" s="69" t="str">
        <f>IF(E170="","",MROUND(E170*Settings!$B$16,Settings!$B$19))</f>
        <v/>
      </c>
      <c r="J170" s="69" t="str">
        <f>IF(H170="","",MROUND(H170*Settings!$B$17,Settings!$B$19))</f>
        <v/>
      </c>
      <c r="K170" s="69" t="str">
        <f>IF(OR(I170="",J170=""),"",MROUND(MIN(I170,J170),Settings!$B$19))</f>
        <v/>
      </c>
      <c r="L170" s="65"/>
      <c r="M170" s="69" t="str">
        <f>IF(OR(E170="",L170=""),"",MROUND(MIN(E170*Settings!$B$16,L170*Settings!$B$17),Settings!$B$19))</f>
        <v/>
      </c>
      <c r="N170" s="72" t="str">
        <f t="shared" si="32"/>
        <v/>
      </c>
      <c r="O170" s="62"/>
      <c r="P170" s="69" t="str">
        <f t="shared" si="27"/>
        <v/>
      </c>
      <c r="Q170" s="76">
        <f t="shared" si="35"/>
        <v>65</v>
      </c>
      <c r="R170" s="63"/>
      <c r="S170" s="69" t="str">
        <f t="shared" si="28"/>
        <v/>
      </c>
      <c r="T170" s="65"/>
      <c r="U170" s="69" t="str">
        <f t="shared" si="29"/>
        <v/>
      </c>
      <c r="V170" s="82" t="str">
        <f t="shared" si="30"/>
        <v/>
      </c>
      <c r="W170" s="65"/>
      <c r="X170" s="72" t="str">
        <f t="shared" si="31"/>
        <v/>
      </c>
    </row>
    <row r="171" ht="21" customHeight="1" spans="1:24">
      <c r="A171" s="61"/>
      <c r="B171" s="62"/>
      <c r="C171" s="63"/>
      <c r="D171" s="61"/>
      <c r="E171" s="65"/>
      <c r="F171" s="65"/>
      <c r="G171" s="65"/>
      <c r="H171" s="65"/>
      <c r="I171" s="69" t="str">
        <f>IF(E171="","",MROUND(E171*Settings!$B$16,Settings!$B$19))</f>
        <v/>
      </c>
      <c r="J171" s="69" t="str">
        <f>IF(H171="","",MROUND(H171*Settings!$B$17,Settings!$B$19))</f>
        <v/>
      </c>
      <c r="K171" s="69" t="str">
        <f>IF(OR(I171="",J171=""),"",MROUND(MIN(I171,J171),Settings!$B$19))</f>
        <v/>
      </c>
      <c r="L171" s="65"/>
      <c r="M171" s="69" t="str">
        <f>IF(OR(E171="",L171=""),"",MROUND(MIN(E171*Settings!$B$16,L171*Settings!$B$17),Settings!$B$19))</f>
        <v/>
      </c>
      <c r="N171" s="72" t="str">
        <f t="shared" si="32"/>
        <v/>
      </c>
      <c r="O171" s="62"/>
      <c r="P171" s="69" t="str">
        <f t="shared" si="27"/>
        <v/>
      </c>
      <c r="Q171" s="76">
        <f t="shared" si="35"/>
        <v>65</v>
      </c>
      <c r="R171" s="63"/>
      <c r="S171" s="69" t="str">
        <f t="shared" si="28"/>
        <v/>
      </c>
      <c r="T171" s="65"/>
      <c r="U171" s="69" t="str">
        <f t="shared" si="29"/>
        <v/>
      </c>
      <c r="V171" s="82" t="str">
        <f t="shared" si="30"/>
        <v/>
      </c>
      <c r="W171" s="65"/>
      <c r="X171" s="72" t="str">
        <f t="shared" si="31"/>
        <v/>
      </c>
    </row>
    <row r="172" ht="21" customHeight="1" spans="1:24">
      <c r="A172" s="61"/>
      <c r="B172" s="62"/>
      <c r="C172" s="63"/>
      <c r="D172" s="61"/>
      <c r="E172" s="65"/>
      <c r="F172" s="65"/>
      <c r="G172" s="65"/>
      <c r="H172" s="65"/>
      <c r="I172" s="69" t="str">
        <f>IF(E172="","",MROUND(E172*Settings!$B$16,Settings!$B$19))</f>
        <v/>
      </c>
      <c r="J172" s="69" t="str">
        <f>IF(H172="","",MROUND(H172*Settings!$B$17,Settings!$B$19))</f>
        <v/>
      </c>
      <c r="K172" s="69" t="str">
        <f>IF(OR(I172="",J172=""),"",MROUND(MIN(I172,J172),Settings!$B$19))</f>
        <v/>
      </c>
      <c r="L172" s="65"/>
      <c r="M172" s="69" t="str">
        <f>IF(OR(E172="",L172=""),"",MROUND(MIN(E172*Settings!$B$16,L172*Settings!$B$17),Settings!$B$19))</f>
        <v/>
      </c>
      <c r="N172" s="72" t="str">
        <f t="shared" si="32"/>
        <v/>
      </c>
      <c r="O172" s="62"/>
      <c r="P172" s="69" t="str">
        <f t="shared" si="27"/>
        <v/>
      </c>
      <c r="Q172" s="76">
        <f t="shared" si="35"/>
        <v>65</v>
      </c>
      <c r="R172" s="63"/>
      <c r="S172" s="69" t="str">
        <f t="shared" si="28"/>
        <v/>
      </c>
      <c r="T172" s="65"/>
      <c r="U172" s="69" t="str">
        <f t="shared" si="29"/>
        <v/>
      </c>
      <c r="V172" s="82" t="str">
        <f t="shared" si="30"/>
        <v/>
      </c>
      <c r="W172" s="65"/>
      <c r="X172" s="72" t="str">
        <f t="shared" si="31"/>
        <v/>
      </c>
    </row>
    <row r="173" ht="21" customHeight="1" spans="1:24">
      <c r="A173" s="61"/>
      <c r="B173" s="62"/>
      <c r="C173" s="63"/>
      <c r="D173" s="61"/>
      <c r="E173" s="65"/>
      <c r="F173" s="65"/>
      <c r="G173" s="65"/>
      <c r="H173" s="65"/>
      <c r="I173" s="69" t="str">
        <f>IF(E173="","",MROUND(E173*Settings!$B$16,Settings!$B$19))</f>
        <v/>
      </c>
      <c r="J173" s="69" t="str">
        <f>IF(H173="","",MROUND(H173*Settings!$B$17,Settings!$B$19))</f>
        <v/>
      </c>
      <c r="K173" s="69" t="str">
        <f>IF(OR(I173="",J173=""),"",MROUND(MIN(I173,J173),Settings!$B$19))</f>
        <v/>
      </c>
      <c r="L173" s="65"/>
      <c r="M173" s="69" t="str">
        <f>IF(OR(E173="",L173=""),"",MROUND(MIN(E173*Settings!$B$16,L173*Settings!$B$17),Settings!$B$19))</f>
        <v/>
      </c>
      <c r="N173" s="72" t="str">
        <f t="shared" si="32"/>
        <v/>
      </c>
      <c r="O173" s="62"/>
      <c r="P173" s="69" t="str">
        <f t="shared" si="27"/>
        <v/>
      </c>
      <c r="Q173" s="76">
        <f t="shared" si="35"/>
        <v>65</v>
      </c>
      <c r="R173" s="63"/>
      <c r="S173" s="69" t="str">
        <f t="shared" si="28"/>
        <v/>
      </c>
      <c r="T173" s="65"/>
      <c r="U173" s="69" t="str">
        <f t="shared" si="29"/>
        <v/>
      </c>
      <c r="V173" s="82" t="str">
        <f t="shared" si="30"/>
        <v/>
      </c>
      <c r="W173" s="65"/>
      <c r="X173" s="72" t="str">
        <f t="shared" si="31"/>
        <v/>
      </c>
    </row>
    <row r="174" ht="21" customHeight="1" spans="1:24">
      <c r="A174" s="61"/>
      <c r="B174" s="62"/>
      <c r="C174" s="63"/>
      <c r="D174" s="61"/>
      <c r="E174" s="65"/>
      <c r="F174" s="65"/>
      <c r="G174" s="65"/>
      <c r="H174" s="65"/>
      <c r="I174" s="69" t="str">
        <f>IF(E174="","",MROUND(E174*Settings!$B$16,Settings!$B$19))</f>
        <v/>
      </c>
      <c r="J174" s="69" t="str">
        <f>IF(H174="","",MROUND(H174*Settings!$B$17,Settings!$B$19))</f>
        <v/>
      </c>
      <c r="K174" s="69" t="str">
        <f>IF(OR(I174="",J174=""),"",MROUND(MIN(I174,J174),Settings!$B$19))</f>
        <v/>
      </c>
      <c r="L174" s="65"/>
      <c r="M174" s="69" t="str">
        <f>IF(OR(E174="",L174=""),"",MROUND(MIN(E174*Settings!$B$16,L174*Settings!$B$17),Settings!$B$19))</f>
        <v/>
      </c>
      <c r="N174" s="72" t="str">
        <f t="shared" si="32"/>
        <v/>
      </c>
      <c r="O174" s="62"/>
      <c r="P174" s="69" t="str">
        <f t="shared" si="27"/>
        <v/>
      </c>
      <c r="Q174" s="76">
        <f t="shared" si="35"/>
        <v>65</v>
      </c>
      <c r="R174" s="63"/>
      <c r="S174" s="69" t="str">
        <f t="shared" si="28"/>
        <v/>
      </c>
      <c r="T174" s="65"/>
      <c r="U174" s="69" t="str">
        <f t="shared" si="29"/>
        <v/>
      </c>
      <c r="V174" s="82" t="str">
        <f t="shared" si="30"/>
        <v/>
      </c>
      <c r="W174" s="65"/>
      <c r="X174" s="72" t="str">
        <f t="shared" si="31"/>
        <v/>
      </c>
    </row>
    <row r="175" ht="21" customHeight="1" spans="1:24">
      <c r="A175" s="61"/>
      <c r="B175" s="62"/>
      <c r="C175" s="63"/>
      <c r="D175" s="61"/>
      <c r="E175" s="65"/>
      <c r="F175" s="65"/>
      <c r="G175" s="65"/>
      <c r="H175" s="65"/>
      <c r="I175" s="69" t="str">
        <f>IF(E175="","",MROUND(E175*Settings!$B$16,Settings!$B$19))</f>
        <v/>
      </c>
      <c r="J175" s="69" t="str">
        <f>IF(H175="","",MROUND(H175*Settings!$B$17,Settings!$B$19))</f>
        <v/>
      </c>
      <c r="K175" s="69" t="str">
        <f>IF(OR(I175="",J175=""),"",MROUND(MIN(I175,J175),Settings!$B$19))</f>
        <v/>
      </c>
      <c r="L175" s="65"/>
      <c r="M175" s="69" t="str">
        <f>IF(OR(E175="",L175=""),"",MROUND(MIN(E175*Settings!$B$16,L175*Settings!$B$17),Settings!$B$19))</f>
        <v/>
      </c>
      <c r="N175" s="72" t="str">
        <f t="shared" ref="N175:N206" si="36">IF(B175="","",IF(B175="CALL Sell","Gap Up Calculation","Gap Down Calculation"))</f>
        <v/>
      </c>
      <c r="O175" s="62"/>
      <c r="P175" s="69" t="str">
        <f t="shared" si="27"/>
        <v/>
      </c>
      <c r="Q175" s="76">
        <f t="shared" ref="Q175:Q184" si="37">$B$7</f>
        <v>65</v>
      </c>
      <c r="R175" s="63"/>
      <c r="S175" s="69" t="str">
        <f t="shared" si="28"/>
        <v/>
      </c>
      <c r="T175" s="65"/>
      <c r="U175" s="69" t="str">
        <f t="shared" si="29"/>
        <v/>
      </c>
      <c r="V175" s="82" t="str">
        <f t="shared" si="30"/>
        <v/>
      </c>
      <c r="W175" s="65"/>
      <c r="X175" s="72" t="str">
        <f t="shared" si="31"/>
        <v/>
      </c>
    </row>
    <row r="176" ht="21" customHeight="1" spans="1:24">
      <c r="A176" s="61"/>
      <c r="B176" s="62"/>
      <c r="C176" s="63"/>
      <c r="D176" s="61"/>
      <c r="E176" s="65"/>
      <c r="F176" s="65"/>
      <c r="G176" s="65"/>
      <c r="H176" s="65"/>
      <c r="I176" s="69" t="str">
        <f>IF(E176="","",MROUND(E176*Settings!$B$16,Settings!$B$19))</f>
        <v/>
      </c>
      <c r="J176" s="69" t="str">
        <f>IF(H176="","",MROUND(H176*Settings!$B$17,Settings!$B$19))</f>
        <v/>
      </c>
      <c r="K176" s="69" t="str">
        <f>IF(OR(I176="",J176=""),"",MROUND(MIN(I176,J176),Settings!$B$19))</f>
        <v/>
      </c>
      <c r="L176" s="65"/>
      <c r="M176" s="69" t="str">
        <f>IF(OR(E176="",L176=""),"",MROUND(MIN(E176*Settings!$B$16,L176*Settings!$B$17),Settings!$B$19))</f>
        <v/>
      </c>
      <c r="N176" s="72" t="str">
        <f t="shared" si="36"/>
        <v/>
      </c>
      <c r="O176" s="62"/>
      <c r="P176" s="69" t="str">
        <f t="shared" si="27"/>
        <v/>
      </c>
      <c r="Q176" s="76">
        <f t="shared" si="37"/>
        <v>65</v>
      </c>
      <c r="R176" s="63"/>
      <c r="S176" s="69" t="str">
        <f t="shared" si="28"/>
        <v/>
      </c>
      <c r="T176" s="65"/>
      <c r="U176" s="69" t="str">
        <f t="shared" si="29"/>
        <v/>
      </c>
      <c r="V176" s="82" t="str">
        <f t="shared" si="30"/>
        <v/>
      </c>
      <c r="W176" s="65"/>
      <c r="X176" s="72" t="str">
        <f t="shared" si="31"/>
        <v/>
      </c>
    </row>
    <row r="177" ht="21" customHeight="1" spans="1:24">
      <c r="A177" s="61"/>
      <c r="B177" s="62"/>
      <c r="C177" s="63"/>
      <c r="D177" s="61"/>
      <c r="E177" s="65"/>
      <c r="F177" s="65"/>
      <c r="G177" s="65"/>
      <c r="H177" s="65"/>
      <c r="I177" s="69" t="str">
        <f>IF(E177="","",MROUND(E177*Settings!$B$16,Settings!$B$19))</f>
        <v/>
      </c>
      <c r="J177" s="69" t="str">
        <f>IF(H177="","",MROUND(H177*Settings!$B$17,Settings!$B$19))</f>
        <v/>
      </c>
      <c r="K177" s="69" t="str">
        <f>IF(OR(I177="",J177=""),"",MROUND(MIN(I177,J177),Settings!$B$19))</f>
        <v/>
      </c>
      <c r="L177" s="65"/>
      <c r="M177" s="69" t="str">
        <f>IF(OR(E177="",L177=""),"",MROUND(MIN(E177*Settings!$B$16,L177*Settings!$B$17),Settings!$B$19))</f>
        <v/>
      </c>
      <c r="N177" s="72" t="str">
        <f t="shared" si="36"/>
        <v/>
      </c>
      <c r="O177" s="62"/>
      <c r="P177" s="69" t="str">
        <f t="shared" si="27"/>
        <v/>
      </c>
      <c r="Q177" s="76">
        <f t="shared" si="37"/>
        <v>65</v>
      </c>
      <c r="R177" s="63"/>
      <c r="S177" s="69" t="str">
        <f t="shared" si="28"/>
        <v/>
      </c>
      <c r="T177" s="65"/>
      <c r="U177" s="69" t="str">
        <f t="shared" si="29"/>
        <v/>
      </c>
      <c r="V177" s="82" t="str">
        <f t="shared" si="30"/>
        <v/>
      </c>
      <c r="W177" s="65"/>
      <c r="X177" s="72" t="str">
        <f t="shared" si="31"/>
        <v/>
      </c>
    </row>
    <row r="178" ht="21" customHeight="1" spans="1:24">
      <c r="A178" s="61"/>
      <c r="B178" s="62"/>
      <c r="C178" s="63"/>
      <c r="D178" s="61"/>
      <c r="E178" s="65"/>
      <c r="F178" s="65"/>
      <c r="G178" s="65"/>
      <c r="H178" s="65"/>
      <c r="I178" s="69" t="str">
        <f>IF(E178="","",MROUND(E178*Settings!$B$16,Settings!$B$19))</f>
        <v/>
      </c>
      <c r="J178" s="69" t="str">
        <f>IF(H178="","",MROUND(H178*Settings!$B$17,Settings!$B$19))</f>
        <v/>
      </c>
      <c r="K178" s="69" t="str">
        <f>IF(OR(I178="",J178=""),"",MROUND(MIN(I178,J178),Settings!$B$19))</f>
        <v/>
      </c>
      <c r="L178" s="65"/>
      <c r="M178" s="69" t="str">
        <f>IF(OR(E178="",L178=""),"",MROUND(MIN(E178*Settings!$B$16,L178*Settings!$B$17),Settings!$B$19))</f>
        <v/>
      </c>
      <c r="N178" s="72" t="str">
        <f t="shared" si="36"/>
        <v/>
      </c>
      <c r="O178" s="62"/>
      <c r="P178" s="69" t="str">
        <f t="shared" si="27"/>
        <v/>
      </c>
      <c r="Q178" s="76">
        <f t="shared" si="37"/>
        <v>65</v>
      </c>
      <c r="R178" s="63"/>
      <c r="S178" s="69" t="str">
        <f t="shared" si="28"/>
        <v/>
      </c>
      <c r="T178" s="65"/>
      <c r="U178" s="69" t="str">
        <f t="shared" si="29"/>
        <v/>
      </c>
      <c r="V178" s="82" t="str">
        <f t="shared" si="30"/>
        <v/>
      </c>
      <c r="W178" s="65"/>
      <c r="X178" s="72" t="str">
        <f t="shared" si="31"/>
        <v/>
      </c>
    </row>
    <row r="179" ht="21" customHeight="1" spans="1:24">
      <c r="A179" s="61"/>
      <c r="B179" s="62"/>
      <c r="C179" s="63"/>
      <c r="D179" s="61"/>
      <c r="E179" s="65"/>
      <c r="F179" s="65"/>
      <c r="G179" s="65"/>
      <c r="H179" s="65"/>
      <c r="I179" s="69" t="str">
        <f>IF(E179="","",MROUND(E179*Settings!$B$16,Settings!$B$19))</f>
        <v/>
      </c>
      <c r="J179" s="69" t="str">
        <f>IF(H179="","",MROUND(H179*Settings!$B$17,Settings!$B$19))</f>
        <v/>
      </c>
      <c r="K179" s="69" t="str">
        <f>IF(OR(I179="",J179=""),"",MROUND(MIN(I179,J179),Settings!$B$19))</f>
        <v/>
      </c>
      <c r="L179" s="65"/>
      <c r="M179" s="69" t="str">
        <f>IF(OR(E179="",L179=""),"",MROUND(MIN(E179*Settings!$B$16,L179*Settings!$B$17),Settings!$B$19))</f>
        <v/>
      </c>
      <c r="N179" s="72" t="str">
        <f t="shared" si="36"/>
        <v/>
      </c>
      <c r="O179" s="62"/>
      <c r="P179" s="69" t="str">
        <f t="shared" si="27"/>
        <v/>
      </c>
      <c r="Q179" s="76">
        <f t="shared" si="37"/>
        <v>65</v>
      </c>
      <c r="R179" s="63"/>
      <c r="S179" s="69" t="str">
        <f t="shared" si="28"/>
        <v/>
      </c>
      <c r="T179" s="65"/>
      <c r="U179" s="69" t="str">
        <f t="shared" si="29"/>
        <v/>
      </c>
      <c r="V179" s="82" t="str">
        <f t="shared" si="30"/>
        <v/>
      </c>
      <c r="W179" s="65"/>
      <c r="X179" s="72" t="str">
        <f t="shared" si="31"/>
        <v/>
      </c>
    </row>
    <row r="180" ht="21" customHeight="1" spans="1:24">
      <c r="A180" s="61"/>
      <c r="B180" s="62"/>
      <c r="C180" s="63"/>
      <c r="D180" s="61"/>
      <c r="E180" s="65"/>
      <c r="F180" s="65"/>
      <c r="G180" s="65"/>
      <c r="H180" s="65"/>
      <c r="I180" s="69" t="str">
        <f>IF(E180="","",MROUND(E180*Settings!$B$16,Settings!$B$19))</f>
        <v/>
      </c>
      <c r="J180" s="69" t="str">
        <f>IF(H180="","",MROUND(H180*Settings!$B$17,Settings!$B$19))</f>
        <v/>
      </c>
      <c r="K180" s="69" t="str">
        <f>IF(OR(I180="",J180=""),"",MROUND(MIN(I180,J180),Settings!$B$19))</f>
        <v/>
      </c>
      <c r="L180" s="65"/>
      <c r="M180" s="69" t="str">
        <f>IF(OR(E180="",L180=""),"",MROUND(MIN(E180*Settings!$B$16,L180*Settings!$B$17),Settings!$B$19))</f>
        <v/>
      </c>
      <c r="N180" s="72" t="str">
        <f t="shared" si="36"/>
        <v/>
      </c>
      <c r="O180" s="62"/>
      <c r="P180" s="69" t="str">
        <f t="shared" si="27"/>
        <v/>
      </c>
      <c r="Q180" s="76">
        <f t="shared" si="37"/>
        <v>65</v>
      </c>
      <c r="R180" s="63"/>
      <c r="S180" s="69" t="str">
        <f t="shared" si="28"/>
        <v/>
      </c>
      <c r="T180" s="65"/>
      <c r="U180" s="69" t="str">
        <f t="shared" si="29"/>
        <v/>
      </c>
      <c r="V180" s="82" t="str">
        <f t="shared" si="30"/>
        <v/>
      </c>
      <c r="W180" s="65"/>
      <c r="X180" s="72" t="str">
        <f t="shared" si="31"/>
        <v/>
      </c>
    </row>
    <row r="181" ht="21" customHeight="1" spans="1:24">
      <c r="A181" s="61"/>
      <c r="B181" s="62"/>
      <c r="C181" s="63"/>
      <c r="D181" s="61"/>
      <c r="E181" s="65"/>
      <c r="F181" s="65"/>
      <c r="G181" s="65"/>
      <c r="H181" s="65"/>
      <c r="I181" s="69" t="str">
        <f>IF(E181="","",MROUND(E181*Settings!$B$16,Settings!$B$19))</f>
        <v/>
      </c>
      <c r="J181" s="69" t="str">
        <f>IF(H181="","",MROUND(H181*Settings!$B$17,Settings!$B$19))</f>
        <v/>
      </c>
      <c r="K181" s="69" t="str">
        <f>IF(OR(I181="",J181=""),"",MROUND(MIN(I181,J181),Settings!$B$19))</f>
        <v/>
      </c>
      <c r="L181" s="65"/>
      <c r="M181" s="69" t="str">
        <f>IF(OR(E181="",L181=""),"",MROUND(MIN(E181*Settings!$B$16,L181*Settings!$B$17),Settings!$B$19))</f>
        <v/>
      </c>
      <c r="N181" s="72" t="str">
        <f t="shared" si="36"/>
        <v/>
      </c>
      <c r="O181" s="62"/>
      <c r="P181" s="69" t="str">
        <f t="shared" si="27"/>
        <v/>
      </c>
      <c r="Q181" s="76">
        <f t="shared" si="37"/>
        <v>65</v>
      </c>
      <c r="R181" s="63"/>
      <c r="S181" s="69" t="str">
        <f t="shared" si="28"/>
        <v/>
      </c>
      <c r="T181" s="65"/>
      <c r="U181" s="69" t="str">
        <f t="shared" si="29"/>
        <v/>
      </c>
      <c r="V181" s="82" t="str">
        <f t="shared" si="30"/>
        <v/>
      </c>
      <c r="W181" s="65"/>
      <c r="X181" s="72" t="str">
        <f t="shared" si="31"/>
        <v/>
      </c>
    </row>
    <row r="182" ht="21" customHeight="1" spans="1:24">
      <c r="A182" s="61"/>
      <c r="B182" s="62"/>
      <c r="C182" s="63"/>
      <c r="D182" s="61"/>
      <c r="E182" s="65"/>
      <c r="F182" s="65"/>
      <c r="G182" s="65"/>
      <c r="H182" s="65"/>
      <c r="I182" s="69" t="str">
        <f>IF(E182="","",MROUND(E182*Settings!$B$16,Settings!$B$19))</f>
        <v/>
      </c>
      <c r="J182" s="69" t="str">
        <f>IF(H182="","",MROUND(H182*Settings!$B$17,Settings!$B$19))</f>
        <v/>
      </c>
      <c r="K182" s="69" t="str">
        <f>IF(OR(I182="",J182=""),"",MROUND(MIN(I182,J182),Settings!$B$19))</f>
        <v/>
      </c>
      <c r="L182" s="65"/>
      <c r="M182" s="69" t="str">
        <f>IF(OR(E182="",L182=""),"",MROUND(MIN(E182*Settings!$B$16,L182*Settings!$B$17),Settings!$B$19))</f>
        <v/>
      </c>
      <c r="N182" s="72" t="str">
        <f t="shared" si="36"/>
        <v/>
      </c>
      <c r="O182" s="62"/>
      <c r="P182" s="69" t="str">
        <f t="shared" si="27"/>
        <v/>
      </c>
      <c r="Q182" s="76">
        <f t="shared" si="37"/>
        <v>65</v>
      </c>
      <c r="R182" s="63"/>
      <c r="S182" s="69" t="str">
        <f t="shared" si="28"/>
        <v/>
      </c>
      <c r="T182" s="65"/>
      <c r="U182" s="69" t="str">
        <f t="shared" si="29"/>
        <v/>
      </c>
      <c r="V182" s="82" t="str">
        <f t="shared" si="30"/>
        <v/>
      </c>
      <c r="W182" s="65"/>
      <c r="X182" s="72" t="str">
        <f t="shared" si="31"/>
        <v/>
      </c>
    </row>
    <row r="183" ht="21" customHeight="1" spans="1:24">
      <c r="A183" s="61"/>
      <c r="B183" s="62"/>
      <c r="C183" s="63"/>
      <c r="D183" s="61"/>
      <c r="E183" s="65"/>
      <c r="F183" s="65"/>
      <c r="G183" s="65"/>
      <c r="H183" s="65"/>
      <c r="I183" s="69" t="str">
        <f>IF(E183="","",MROUND(E183*Settings!$B$16,Settings!$B$19))</f>
        <v/>
      </c>
      <c r="J183" s="69" t="str">
        <f>IF(H183="","",MROUND(H183*Settings!$B$17,Settings!$B$19))</f>
        <v/>
      </c>
      <c r="K183" s="69" t="str">
        <f>IF(OR(I183="",J183=""),"",MROUND(MIN(I183,J183),Settings!$B$19))</f>
        <v/>
      </c>
      <c r="L183" s="65"/>
      <c r="M183" s="69" t="str">
        <f>IF(OR(E183="",L183=""),"",MROUND(MIN(E183*Settings!$B$16,L183*Settings!$B$17),Settings!$B$19))</f>
        <v/>
      </c>
      <c r="N183" s="72" t="str">
        <f t="shared" si="36"/>
        <v/>
      </c>
      <c r="O183" s="62"/>
      <c r="P183" s="69" t="str">
        <f t="shared" si="27"/>
        <v/>
      </c>
      <c r="Q183" s="76">
        <f t="shared" si="37"/>
        <v>65</v>
      </c>
      <c r="R183" s="63"/>
      <c r="S183" s="69" t="str">
        <f t="shared" si="28"/>
        <v/>
      </c>
      <c r="T183" s="65"/>
      <c r="U183" s="69" t="str">
        <f t="shared" si="29"/>
        <v/>
      </c>
      <c r="V183" s="82" t="str">
        <f t="shared" si="30"/>
        <v/>
      </c>
      <c r="W183" s="65"/>
      <c r="X183" s="72" t="str">
        <f t="shared" si="31"/>
        <v/>
      </c>
    </row>
    <row r="184" ht="21" customHeight="1" spans="1:24">
      <c r="A184" s="61"/>
      <c r="B184" s="62"/>
      <c r="C184" s="63"/>
      <c r="D184" s="61"/>
      <c r="E184" s="65"/>
      <c r="F184" s="65"/>
      <c r="G184" s="65"/>
      <c r="H184" s="65"/>
      <c r="I184" s="69" t="str">
        <f>IF(E184="","",MROUND(E184*Settings!$B$16,Settings!$B$19))</f>
        <v/>
      </c>
      <c r="J184" s="69" t="str">
        <f>IF(H184="","",MROUND(H184*Settings!$B$17,Settings!$B$19))</f>
        <v/>
      </c>
      <c r="K184" s="69" t="str">
        <f>IF(OR(I184="",J184=""),"",MROUND(MIN(I184,J184),Settings!$B$19))</f>
        <v/>
      </c>
      <c r="L184" s="65"/>
      <c r="M184" s="69" t="str">
        <f>IF(OR(E184="",L184=""),"",MROUND(MIN(E184*Settings!$B$16,L184*Settings!$B$17),Settings!$B$19))</f>
        <v/>
      </c>
      <c r="N184" s="72" t="str">
        <f t="shared" si="36"/>
        <v/>
      </c>
      <c r="O184" s="62"/>
      <c r="P184" s="69" t="str">
        <f t="shared" si="27"/>
        <v/>
      </c>
      <c r="Q184" s="76">
        <f t="shared" si="37"/>
        <v>65</v>
      </c>
      <c r="R184" s="63"/>
      <c r="S184" s="69" t="str">
        <f t="shared" si="28"/>
        <v/>
      </c>
      <c r="T184" s="65"/>
      <c r="U184" s="69" t="str">
        <f t="shared" si="29"/>
        <v/>
      </c>
      <c r="V184" s="82" t="str">
        <f t="shared" si="30"/>
        <v/>
      </c>
      <c r="W184" s="65"/>
      <c r="X184" s="72" t="str">
        <f t="shared" si="31"/>
        <v/>
      </c>
    </row>
    <row r="185" ht="21" customHeight="1" spans="1:24">
      <c r="A185" s="61"/>
      <c r="B185" s="62"/>
      <c r="C185" s="63"/>
      <c r="D185" s="61"/>
      <c r="E185" s="65"/>
      <c r="F185" s="65"/>
      <c r="G185" s="65"/>
      <c r="H185" s="65"/>
      <c r="I185" s="69" t="str">
        <f>IF(E185="","",MROUND(E185*Settings!$B$16,Settings!$B$19))</f>
        <v/>
      </c>
      <c r="J185" s="69" t="str">
        <f>IF(H185="","",MROUND(H185*Settings!$B$17,Settings!$B$19))</f>
        <v/>
      </c>
      <c r="K185" s="69" t="str">
        <f>IF(OR(I185="",J185=""),"",MROUND(MIN(I185,J185),Settings!$B$19))</f>
        <v/>
      </c>
      <c r="L185" s="65"/>
      <c r="M185" s="69" t="str">
        <f>IF(OR(E185="",L185=""),"",MROUND(MIN(E185*Settings!$B$16,L185*Settings!$B$17),Settings!$B$19))</f>
        <v/>
      </c>
      <c r="N185" s="72" t="str">
        <f t="shared" si="36"/>
        <v/>
      </c>
      <c r="O185" s="62"/>
      <c r="P185" s="69" t="str">
        <f t="shared" si="27"/>
        <v/>
      </c>
      <c r="Q185" s="76">
        <f t="shared" ref="Q185:Q194" si="38">$B$7</f>
        <v>65</v>
      </c>
      <c r="R185" s="63"/>
      <c r="S185" s="69" t="str">
        <f t="shared" si="28"/>
        <v/>
      </c>
      <c r="T185" s="65"/>
      <c r="U185" s="69" t="str">
        <f t="shared" si="29"/>
        <v/>
      </c>
      <c r="V185" s="82" t="str">
        <f t="shared" si="30"/>
        <v/>
      </c>
      <c r="W185" s="65"/>
      <c r="X185" s="72" t="str">
        <f t="shared" si="31"/>
        <v/>
      </c>
    </row>
    <row r="186" ht="21" customHeight="1" spans="1:24">
      <c r="A186" s="61"/>
      <c r="B186" s="62"/>
      <c r="C186" s="63"/>
      <c r="D186" s="61"/>
      <c r="E186" s="65"/>
      <c r="F186" s="65"/>
      <c r="G186" s="65"/>
      <c r="H186" s="65"/>
      <c r="I186" s="69" t="str">
        <f>IF(E186="","",MROUND(E186*Settings!$B$16,Settings!$B$19))</f>
        <v/>
      </c>
      <c r="J186" s="69" t="str">
        <f>IF(H186="","",MROUND(H186*Settings!$B$17,Settings!$B$19))</f>
        <v/>
      </c>
      <c r="K186" s="69" t="str">
        <f>IF(OR(I186="",J186=""),"",MROUND(MIN(I186,J186),Settings!$B$19))</f>
        <v/>
      </c>
      <c r="L186" s="65"/>
      <c r="M186" s="69" t="str">
        <f>IF(OR(E186="",L186=""),"",MROUND(MIN(E186*Settings!$B$16,L186*Settings!$B$17),Settings!$B$19))</f>
        <v/>
      </c>
      <c r="N186" s="72" t="str">
        <f t="shared" si="36"/>
        <v/>
      </c>
      <c r="O186" s="62"/>
      <c r="P186" s="69" t="str">
        <f t="shared" si="27"/>
        <v/>
      </c>
      <c r="Q186" s="76">
        <f t="shared" si="38"/>
        <v>65</v>
      </c>
      <c r="R186" s="63"/>
      <c r="S186" s="69" t="str">
        <f t="shared" si="28"/>
        <v/>
      </c>
      <c r="T186" s="65"/>
      <c r="U186" s="69" t="str">
        <f t="shared" si="29"/>
        <v/>
      </c>
      <c r="V186" s="82" t="str">
        <f t="shared" si="30"/>
        <v/>
      </c>
      <c r="W186" s="65"/>
      <c r="X186" s="72" t="str">
        <f t="shared" si="31"/>
        <v/>
      </c>
    </row>
    <row r="187" ht="21" customHeight="1" spans="1:24">
      <c r="A187" s="61"/>
      <c r="B187" s="62"/>
      <c r="C187" s="63"/>
      <c r="D187" s="61"/>
      <c r="E187" s="65"/>
      <c r="F187" s="65"/>
      <c r="G187" s="65"/>
      <c r="H187" s="65"/>
      <c r="I187" s="69" t="str">
        <f>IF(E187="","",MROUND(E187*Settings!$B$16,Settings!$B$19))</f>
        <v/>
      </c>
      <c r="J187" s="69" t="str">
        <f>IF(H187="","",MROUND(H187*Settings!$B$17,Settings!$B$19))</f>
        <v/>
      </c>
      <c r="K187" s="69" t="str">
        <f>IF(OR(I187="",J187=""),"",MROUND(MIN(I187,J187),Settings!$B$19))</f>
        <v/>
      </c>
      <c r="L187" s="65"/>
      <c r="M187" s="69" t="str">
        <f>IF(OR(E187="",L187=""),"",MROUND(MIN(E187*Settings!$B$16,L187*Settings!$B$17),Settings!$B$19))</f>
        <v/>
      </c>
      <c r="N187" s="72" t="str">
        <f t="shared" si="36"/>
        <v/>
      </c>
      <c r="O187" s="62"/>
      <c r="P187" s="69" t="str">
        <f t="shared" si="27"/>
        <v/>
      </c>
      <c r="Q187" s="76">
        <f t="shared" si="38"/>
        <v>65</v>
      </c>
      <c r="R187" s="63"/>
      <c r="S187" s="69" t="str">
        <f t="shared" si="28"/>
        <v/>
      </c>
      <c r="T187" s="65"/>
      <c r="U187" s="69" t="str">
        <f t="shared" si="29"/>
        <v/>
      </c>
      <c r="V187" s="82" t="str">
        <f t="shared" si="30"/>
        <v/>
      </c>
      <c r="W187" s="65"/>
      <c r="X187" s="72" t="str">
        <f t="shared" si="31"/>
        <v/>
      </c>
    </row>
    <row r="188" ht="21" customHeight="1" spans="1:24">
      <c r="A188" s="61"/>
      <c r="B188" s="62"/>
      <c r="C188" s="63"/>
      <c r="D188" s="61"/>
      <c r="E188" s="65"/>
      <c r="F188" s="65"/>
      <c r="G188" s="65"/>
      <c r="H188" s="65"/>
      <c r="I188" s="69" t="str">
        <f>IF(E188="","",MROUND(E188*Settings!$B$16,Settings!$B$19))</f>
        <v/>
      </c>
      <c r="J188" s="69" t="str">
        <f>IF(H188="","",MROUND(H188*Settings!$B$17,Settings!$B$19))</f>
        <v/>
      </c>
      <c r="K188" s="69" t="str">
        <f>IF(OR(I188="",J188=""),"",MROUND(MIN(I188,J188),Settings!$B$19))</f>
        <v/>
      </c>
      <c r="L188" s="65"/>
      <c r="M188" s="69" t="str">
        <f>IF(OR(E188="",L188=""),"",MROUND(MIN(E188*Settings!$B$16,L188*Settings!$B$17),Settings!$B$19))</f>
        <v/>
      </c>
      <c r="N188" s="72" t="str">
        <f t="shared" si="36"/>
        <v/>
      </c>
      <c r="O188" s="62"/>
      <c r="P188" s="69" t="str">
        <f t="shared" si="27"/>
        <v/>
      </c>
      <c r="Q188" s="76">
        <f t="shared" si="38"/>
        <v>65</v>
      </c>
      <c r="R188" s="63"/>
      <c r="S188" s="69" t="str">
        <f t="shared" si="28"/>
        <v/>
      </c>
      <c r="T188" s="65"/>
      <c r="U188" s="69" t="str">
        <f t="shared" si="29"/>
        <v/>
      </c>
      <c r="V188" s="82" t="str">
        <f t="shared" si="30"/>
        <v/>
      </c>
      <c r="W188" s="65"/>
      <c r="X188" s="72" t="str">
        <f t="shared" si="31"/>
        <v/>
      </c>
    </row>
    <row r="189" ht="21" customHeight="1" spans="1:24">
      <c r="A189" s="61"/>
      <c r="B189" s="62"/>
      <c r="C189" s="63"/>
      <c r="D189" s="61"/>
      <c r="E189" s="65"/>
      <c r="F189" s="65"/>
      <c r="G189" s="65"/>
      <c r="H189" s="65"/>
      <c r="I189" s="69" t="str">
        <f>IF(E189="","",MROUND(E189*Settings!$B$16,Settings!$B$19))</f>
        <v/>
      </c>
      <c r="J189" s="69" t="str">
        <f>IF(H189="","",MROUND(H189*Settings!$B$17,Settings!$B$19))</f>
        <v/>
      </c>
      <c r="K189" s="69" t="str">
        <f>IF(OR(I189="",J189=""),"",MROUND(MIN(I189,J189),Settings!$B$19))</f>
        <v/>
      </c>
      <c r="L189" s="65"/>
      <c r="M189" s="69" t="str">
        <f>IF(OR(E189="",L189=""),"",MROUND(MIN(E189*Settings!$B$16,L189*Settings!$B$17),Settings!$B$19))</f>
        <v/>
      </c>
      <c r="N189" s="72" t="str">
        <f t="shared" si="36"/>
        <v/>
      </c>
      <c r="O189" s="62"/>
      <c r="P189" s="69" t="str">
        <f t="shared" si="27"/>
        <v/>
      </c>
      <c r="Q189" s="76">
        <f t="shared" si="38"/>
        <v>65</v>
      </c>
      <c r="R189" s="63"/>
      <c r="S189" s="69" t="str">
        <f t="shared" si="28"/>
        <v/>
      </c>
      <c r="T189" s="65"/>
      <c r="U189" s="69" t="str">
        <f t="shared" si="29"/>
        <v/>
      </c>
      <c r="V189" s="82" t="str">
        <f t="shared" si="30"/>
        <v/>
      </c>
      <c r="W189" s="65"/>
      <c r="X189" s="72" t="str">
        <f t="shared" si="31"/>
        <v/>
      </c>
    </row>
    <row r="190" ht="21" customHeight="1" spans="1:24">
      <c r="A190" s="61"/>
      <c r="B190" s="62"/>
      <c r="C190" s="63"/>
      <c r="D190" s="61"/>
      <c r="E190" s="65"/>
      <c r="F190" s="65"/>
      <c r="G190" s="65"/>
      <c r="H190" s="65"/>
      <c r="I190" s="69" t="str">
        <f>IF(E190="","",MROUND(E190*Settings!$B$16,Settings!$B$19))</f>
        <v/>
      </c>
      <c r="J190" s="69" t="str">
        <f>IF(H190="","",MROUND(H190*Settings!$B$17,Settings!$B$19))</f>
        <v/>
      </c>
      <c r="K190" s="69" t="str">
        <f>IF(OR(I190="",J190=""),"",MROUND(MIN(I190,J190),Settings!$B$19))</f>
        <v/>
      </c>
      <c r="L190" s="65"/>
      <c r="M190" s="69" t="str">
        <f>IF(OR(E190="",L190=""),"",MROUND(MIN(E190*Settings!$B$16,L190*Settings!$B$17),Settings!$B$19))</f>
        <v/>
      </c>
      <c r="N190" s="72" t="str">
        <f t="shared" si="36"/>
        <v/>
      </c>
      <c r="O190" s="62"/>
      <c r="P190" s="69" t="str">
        <f t="shared" si="27"/>
        <v/>
      </c>
      <c r="Q190" s="76">
        <f t="shared" si="38"/>
        <v>65</v>
      </c>
      <c r="R190" s="63"/>
      <c r="S190" s="69" t="str">
        <f t="shared" si="28"/>
        <v/>
      </c>
      <c r="T190" s="65"/>
      <c r="U190" s="69" t="str">
        <f t="shared" si="29"/>
        <v/>
      </c>
      <c r="V190" s="82" t="str">
        <f t="shared" si="30"/>
        <v/>
      </c>
      <c r="W190" s="65"/>
      <c r="X190" s="72" t="str">
        <f t="shared" si="31"/>
        <v/>
      </c>
    </row>
    <row r="191" ht="21" customHeight="1" spans="1:24">
      <c r="A191" s="61"/>
      <c r="B191" s="62"/>
      <c r="C191" s="63"/>
      <c r="D191" s="61"/>
      <c r="E191" s="65"/>
      <c r="F191" s="65"/>
      <c r="G191" s="65"/>
      <c r="H191" s="65"/>
      <c r="I191" s="69" t="str">
        <f>IF(E191="","",MROUND(E191*Settings!$B$16,Settings!$B$19))</f>
        <v/>
      </c>
      <c r="J191" s="69" t="str">
        <f>IF(H191="","",MROUND(H191*Settings!$B$17,Settings!$B$19))</f>
        <v/>
      </c>
      <c r="K191" s="69" t="str">
        <f>IF(OR(I191="",J191=""),"",MROUND(MIN(I191,J191),Settings!$B$19))</f>
        <v/>
      </c>
      <c r="L191" s="65"/>
      <c r="M191" s="69" t="str">
        <f>IF(OR(E191="",L191=""),"",MROUND(MIN(E191*Settings!$B$16,L191*Settings!$B$17),Settings!$B$19))</f>
        <v/>
      </c>
      <c r="N191" s="72" t="str">
        <f t="shared" si="36"/>
        <v/>
      </c>
      <c r="O191" s="62"/>
      <c r="P191" s="69" t="str">
        <f t="shared" si="27"/>
        <v/>
      </c>
      <c r="Q191" s="76">
        <f t="shared" si="38"/>
        <v>65</v>
      </c>
      <c r="R191" s="63"/>
      <c r="S191" s="69" t="str">
        <f t="shared" si="28"/>
        <v/>
      </c>
      <c r="T191" s="65"/>
      <c r="U191" s="69" t="str">
        <f t="shared" si="29"/>
        <v/>
      </c>
      <c r="V191" s="82" t="str">
        <f t="shared" si="30"/>
        <v/>
      </c>
      <c r="W191" s="65"/>
      <c r="X191" s="72" t="str">
        <f t="shared" si="31"/>
        <v/>
      </c>
    </row>
    <row r="192" ht="21" customHeight="1" spans="1:24">
      <c r="A192" s="61"/>
      <c r="B192" s="62"/>
      <c r="C192" s="63"/>
      <c r="D192" s="61"/>
      <c r="E192" s="65"/>
      <c r="F192" s="65"/>
      <c r="G192" s="65"/>
      <c r="H192" s="65"/>
      <c r="I192" s="69" t="str">
        <f>IF(E192="","",MROUND(E192*Settings!$B$16,Settings!$B$19))</f>
        <v/>
      </c>
      <c r="J192" s="69" t="str">
        <f>IF(H192="","",MROUND(H192*Settings!$B$17,Settings!$B$19))</f>
        <v/>
      </c>
      <c r="K192" s="69" t="str">
        <f>IF(OR(I192="",J192=""),"",MROUND(MIN(I192,J192),Settings!$B$19))</f>
        <v/>
      </c>
      <c r="L192" s="65"/>
      <c r="M192" s="69" t="str">
        <f>IF(OR(E192="",L192=""),"",MROUND(MIN(E192*Settings!$B$16,L192*Settings!$B$17),Settings!$B$19))</f>
        <v/>
      </c>
      <c r="N192" s="72" t="str">
        <f t="shared" si="36"/>
        <v/>
      </c>
      <c r="O192" s="62"/>
      <c r="P192" s="69" t="str">
        <f t="shared" si="27"/>
        <v/>
      </c>
      <c r="Q192" s="76">
        <f t="shared" si="38"/>
        <v>65</v>
      </c>
      <c r="R192" s="63"/>
      <c r="S192" s="69" t="str">
        <f t="shared" si="28"/>
        <v/>
      </c>
      <c r="T192" s="65"/>
      <c r="U192" s="69" t="str">
        <f t="shared" si="29"/>
        <v/>
      </c>
      <c r="V192" s="82" t="str">
        <f t="shared" si="30"/>
        <v/>
      </c>
      <c r="W192" s="65"/>
      <c r="X192" s="72" t="str">
        <f t="shared" si="31"/>
        <v/>
      </c>
    </row>
    <row r="193" ht="21" customHeight="1" spans="1:24">
      <c r="A193" s="61"/>
      <c r="B193" s="62"/>
      <c r="C193" s="63"/>
      <c r="D193" s="61"/>
      <c r="E193" s="65"/>
      <c r="F193" s="65"/>
      <c r="G193" s="65"/>
      <c r="H193" s="65"/>
      <c r="I193" s="69" t="str">
        <f>IF(E193="","",MROUND(E193*Settings!$B$16,Settings!$B$19))</f>
        <v/>
      </c>
      <c r="J193" s="69" t="str">
        <f>IF(H193="","",MROUND(H193*Settings!$B$17,Settings!$B$19))</f>
        <v/>
      </c>
      <c r="K193" s="69" t="str">
        <f>IF(OR(I193="",J193=""),"",MROUND(MIN(I193,J193),Settings!$B$19))</f>
        <v/>
      </c>
      <c r="L193" s="65"/>
      <c r="M193" s="69" t="str">
        <f>IF(OR(E193="",L193=""),"",MROUND(MIN(E193*Settings!$B$16,L193*Settings!$B$17),Settings!$B$19))</f>
        <v/>
      </c>
      <c r="N193" s="72" t="str">
        <f t="shared" si="36"/>
        <v/>
      </c>
      <c r="O193" s="62"/>
      <c r="P193" s="69" t="str">
        <f t="shared" si="27"/>
        <v/>
      </c>
      <c r="Q193" s="76">
        <f t="shared" si="38"/>
        <v>65</v>
      </c>
      <c r="R193" s="63"/>
      <c r="S193" s="69" t="str">
        <f t="shared" si="28"/>
        <v/>
      </c>
      <c r="T193" s="65"/>
      <c r="U193" s="69" t="str">
        <f t="shared" si="29"/>
        <v/>
      </c>
      <c r="V193" s="82" t="str">
        <f t="shared" si="30"/>
        <v/>
      </c>
      <c r="W193" s="65"/>
      <c r="X193" s="72" t="str">
        <f t="shared" si="31"/>
        <v/>
      </c>
    </row>
    <row r="194" ht="21" customHeight="1" spans="1:24">
      <c r="A194" s="61"/>
      <c r="B194" s="62"/>
      <c r="C194" s="63"/>
      <c r="D194" s="61"/>
      <c r="E194" s="65"/>
      <c r="F194" s="65"/>
      <c r="G194" s="65"/>
      <c r="H194" s="65"/>
      <c r="I194" s="69" t="str">
        <f>IF(E194="","",MROUND(E194*Settings!$B$16,Settings!$B$19))</f>
        <v/>
      </c>
      <c r="J194" s="69" t="str">
        <f>IF(H194="","",MROUND(H194*Settings!$B$17,Settings!$B$19))</f>
        <v/>
      </c>
      <c r="K194" s="69" t="str">
        <f>IF(OR(I194="",J194=""),"",MROUND(MIN(I194,J194),Settings!$B$19))</f>
        <v/>
      </c>
      <c r="L194" s="65"/>
      <c r="M194" s="69" t="str">
        <f>IF(OR(E194="",L194=""),"",MROUND(MIN(E194*Settings!$B$16,L194*Settings!$B$17),Settings!$B$19))</f>
        <v/>
      </c>
      <c r="N194" s="72" t="str">
        <f t="shared" si="36"/>
        <v/>
      </c>
      <c r="O194" s="62"/>
      <c r="P194" s="69" t="str">
        <f t="shared" si="27"/>
        <v/>
      </c>
      <c r="Q194" s="76">
        <f t="shared" si="38"/>
        <v>65</v>
      </c>
      <c r="R194" s="63"/>
      <c r="S194" s="69" t="str">
        <f t="shared" si="28"/>
        <v/>
      </c>
      <c r="T194" s="65"/>
      <c r="U194" s="69" t="str">
        <f t="shared" si="29"/>
        <v/>
      </c>
      <c r="V194" s="82" t="str">
        <f t="shared" si="30"/>
        <v/>
      </c>
      <c r="W194" s="65"/>
      <c r="X194" s="72" t="str">
        <f t="shared" si="31"/>
        <v/>
      </c>
    </row>
    <row r="195" ht="21" customHeight="1" spans="1:24">
      <c r="A195" s="61"/>
      <c r="B195" s="62"/>
      <c r="C195" s="63"/>
      <c r="D195" s="61"/>
      <c r="E195" s="65"/>
      <c r="F195" s="65"/>
      <c r="G195" s="65"/>
      <c r="H195" s="65"/>
      <c r="I195" s="69" t="str">
        <f>IF(E195="","",MROUND(E195*Settings!$B$16,Settings!$B$19))</f>
        <v/>
      </c>
      <c r="J195" s="69" t="str">
        <f>IF(H195="","",MROUND(H195*Settings!$B$17,Settings!$B$19))</f>
        <v/>
      </c>
      <c r="K195" s="69" t="str">
        <f>IF(OR(I195="",J195=""),"",MROUND(MIN(I195,J195),Settings!$B$19))</f>
        <v/>
      </c>
      <c r="L195" s="65"/>
      <c r="M195" s="69" t="str">
        <f>IF(OR(E195="",L195=""),"",MROUND(MIN(E195*Settings!$B$16,L195*Settings!$B$17),Settings!$B$19))</f>
        <v/>
      </c>
      <c r="N195" s="72" t="str">
        <f t="shared" si="36"/>
        <v/>
      </c>
      <c r="O195" s="62"/>
      <c r="P195" s="69" t="str">
        <f t="shared" si="27"/>
        <v/>
      </c>
      <c r="Q195" s="76">
        <f t="shared" ref="Q195:Q204" si="39">$B$7</f>
        <v>65</v>
      </c>
      <c r="R195" s="63"/>
      <c r="S195" s="69" t="str">
        <f t="shared" si="28"/>
        <v/>
      </c>
      <c r="T195" s="65"/>
      <c r="U195" s="69" t="str">
        <f t="shared" si="29"/>
        <v/>
      </c>
      <c r="V195" s="82" t="str">
        <f t="shared" si="30"/>
        <v/>
      </c>
      <c r="W195" s="65"/>
      <c r="X195" s="72" t="str">
        <f t="shared" si="31"/>
        <v/>
      </c>
    </row>
    <row r="196" ht="21" customHeight="1" spans="1:24">
      <c r="A196" s="61"/>
      <c r="B196" s="62"/>
      <c r="C196" s="63"/>
      <c r="D196" s="61"/>
      <c r="E196" s="65"/>
      <c r="F196" s="65"/>
      <c r="G196" s="65"/>
      <c r="H196" s="65"/>
      <c r="I196" s="69" t="str">
        <f>IF(E196="","",MROUND(E196*Settings!$B$16,Settings!$B$19))</f>
        <v/>
      </c>
      <c r="J196" s="69" t="str">
        <f>IF(H196="","",MROUND(H196*Settings!$B$17,Settings!$B$19))</f>
        <v/>
      </c>
      <c r="K196" s="69" t="str">
        <f>IF(OR(I196="",J196=""),"",MROUND(MIN(I196,J196),Settings!$B$19))</f>
        <v/>
      </c>
      <c r="L196" s="65"/>
      <c r="M196" s="69" t="str">
        <f>IF(OR(E196="",L196=""),"",MROUND(MIN(E196*Settings!$B$16,L196*Settings!$B$17),Settings!$B$19))</f>
        <v/>
      </c>
      <c r="N196" s="72" t="str">
        <f t="shared" si="36"/>
        <v/>
      </c>
      <c r="O196" s="62"/>
      <c r="P196" s="69" t="str">
        <f t="shared" si="27"/>
        <v/>
      </c>
      <c r="Q196" s="76">
        <f t="shared" si="39"/>
        <v>65</v>
      </c>
      <c r="R196" s="63"/>
      <c r="S196" s="69" t="str">
        <f t="shared" si="28"/>
        <v/>
      </c>
      <c r="T196" s="65"/>
      <c r="U196" s="69" t="str">
        <f t="shared" si="29"/>
        <v/>
      </c>
      <c r="V196" s="82" t="str">
        <f t="shared" si="30"/>
        <v/>
      </c>
      <c r="W196" s="65"/>
      <c r="X196" s="72" t="str">
        <f t="shared" si="31"/>
        <v/>
      </c>
    </row>
    <row r="197" ht="21" customHeight="1" spans="1:24">
      <c r="A197" s="61"/>
      <c r="B197" s="62"/>
      <c r="C197" s="63"/>
      <c r="D197" s="61"/>
      <c r="E197" s="65"/>
      <c r="F197" s="65"/>
      <c r="G197" s="65"/>
      <c r="H197" s="65"/>
      <c r="I197" s="69" t="str">
        <f>IF(E197="","",MROUND(E197*Settings!$B$16,Settings!$B$19))</f>
        <v/>
      </c>
      <c r="J197" s="69" t="str">
        <f>IF(H197="","",MROUND(H197*Settings!$B$17,Settings!$B$19))</f>
        <v/>
      </c>
      <c r="K197" s="69" t="str">
        <f>IF(OR(I197="",J197=""),"",MROUND(MIN(I197,J197),Settings!$B$19))</f>
        <v/>
      </c>
      <c r="L197" s="65"/>
      <c r="M197" s="69" t="str">
        <f>IF(OR(E197="",L197=""),"",MROUND(MIN(E197*Settings!$B$16,L197*Settings!$B$17),Settings!$B$19))</f>
        <v/>
      </c>
      <c r="N197" s="72" t="str">
        <f t="shared" si="36"/>
        <v/>
      </c>
      <c r="O197" s="62"/>
      <c r="P197" s="69" t="str">
        <f t="shared" si="27"/>
        <v/>
      </c>
      <c r="Q197" s="76">
        <f t="shared" si="39"/>
        <v>65</v>
      </c>
      <c r="R197" s="63"/>
      <c r="S197" s="69" t="str">
        <f t="shared" si="28"/>
        <v/>
      </c>
      <c r="T197" s="65"/>
      <c r="U197" s="69" t="str">
        <f t="shared" si="29"/>
        <v/>
      </c>
      <c r="V197" s="82" t="str">
        <f t="shared" si="30"/>
        <v/>
      </c>
      <c r="W197" s="65"/>
      <c r="X197" s="72" t="str">
        <f t="shared" si="31"/>
        <v/>
      </c>
    </row>
    <row r="198" ht="21" customHeight="1" spans="1:24">
      <c r="A198" s="61"/>
      <c r="B198" s="62"/>
      <c r="C198" s="63"/>
      <c r="D198" s="61"/>
      <c r="E198" s="65"/>
      <c r="F198" s="65"/>
      <c r="G198" s="65"/>
      <c r="H198" s="65"/>
      <c r="I198" s="69" t="str">
        <f>IF(E198="","",MROUND(E198*Settings!$B$16,Settings!$B$19))</f>
        <v/>
      </c>
      <c r="J198" s="69" t="str">
        <f>IF(H198="","",MROUND(H198*Settings!$B$17,Settings!$B$19))</f>
        <v/>
      </c>
      <c r="K198" s="69" t="str">
        <f>IF(OR(I198="",J198=""),"",MROUND(MIN(I198,J198),Settings!$B$19))</f>
        <v/>
      </c>
      <c r="L198" s="65"/>
      <c r="M198" s="69" t="str">
        <f>IF(OR(E198="",L198=""),"",MROUND(MIN(E198*Settings!$B$16,L198*Settings!$B$17),Settings!$B$19))</f>
        <v/>
      </c>
      <c r="N198" s="72" t="str">
        <f t="shared" si="36"/>
        <v/>
      </c>
      <c r="O198" s="62"/>
      <c r="P198" s="69" t="str">
        <f t="shared" si="27"/>
        <v/>
      </c>
      <c r="Q198" s="76">
        <f t="shared" si="39"/>
        <v>65</v>
      </c>
      <c r="R198" s="63"/>
      <c r="S198" s="69" t="str">
        <f t="shared" si="28"/>
        <v/>
      </c>
      <c r="T198" s="65"/>
      <c r="U198" s="69" t="str">
        <f t="shared" si="29"/>
        <v/>
      </c>
      <c r="V198" s="82" t="str">
        <f t="shared" si="30"/>
        <v/>
      </c>
      <c r="W198" s="65"/>
      <c r="X198" s="72" t="str">
        <f t="shared" si="31"/>
        <v/>
      </c>
    </row>
    <row r="199" ht="21" customHeight="1" spans="1:24">
      <c r="A199" s="61"/>
      <c r="B199" s="62"/>
      <c r="C199" s="63"/>
      <c r="D199" s="61"/>
      <c r="E199" s="65"/>
      <c r="F199" s="65"/>
      <c r="G199" s="65"/>
      <c r="H199" s="65"/>
      <c r="I199" s="69" t="str">
        <f>IF(E199="","",MROUND(E199*Settings!$B$16,Settings!$B$19))</f>
        <v/>
      </c>
      <c r="J199" s="69" t="str">
        <f>IF(H199="","",MROUND(H199*Settings!$B$17,Settings!$B$19))</f>
        <v/>
      </c>
      <c r="K199" s="69" t="str">
        <f>IF(OR(I199="",J199=""),"",MROUND(MIN(I199,J199),Settings!$B$19))</f>
        <v/>
      </c>
      <c r="L199" s="65"/>
      <c r="M199" s="69" t="str">
        <f>IF(OR(E199="",L199=""),"",MROUND(MIN(E199*Settings!$B$16,L199*Settings!$B$17),Settings!$B$19))</f>
        <v/>
      </c>
      <c r="N199" s="72" t="str">
        <f t="shared" si="36"/>
        <v/>
      </c>
      <c r="O199" s="62"/>
      <c r="P199" s="69" t="str">
        <f t="shared" si="27"/>
        <v/>
      </c>
      <c r="Q199" s="76">
        <f t="shared" si="39"/>
        <v>65</v>
      </c>
      <c r="R199" s="63"/>
      <c r="S199" s="69" t="str">
        <f t="shared" si="28"/>
        <v/>
      </c>
      <c r="T199" s="65"/>
      <c r="U199" s="69" t="str">
        <f t="shared" si="29"/>
        <v/>
      </c>
      <c r="V199" s="82" t="str">
        <f t="shared" si="30"/>
        <v/>
      </c>
      <c r="W199" s="65"/>
      <c r="X199" s="72" t="str">
        <f t="shared" si="31"/>
        <v/>
      </c>
    </row>
    <row r="200" ht="21" customHeight="1" spans="1:24">
      <c r="A200" s="61"/>
      <c r="B200" s="62"/>
      <c r="C200" s="63"/>
      <c r="D200" s="61"/>
      <c r="E200" s="65"/>
      <c r="F200" s="65"/>
      <c r="G200" s="65"/>
      <c r="H200" s="65"/>
      <c r="I200" s="69" t="str">
        <f>IF(E200="","",MROUND(E200*Settings!$B$16,Settings!$B$19))</f>
        <v/>
      </c>
      <c r="J200" s="69" t="str">
        <f>IF(H200="","",MROUND(H200*Settings!$B$17,Settings!$B$19))</f>
        <v/>
      </c>
      <c r="K200" s="69" t="str">
        <f>IF(OR(I200="",J200=""),"",MROUND(MIN(I200,J200),Settings!$B$19))</f>
        <v/>
      </c>
      <c r="L200" s="65"/>
      <c r="M200" s="69" t="str">
        <f>IF(OR(E200="",L200=""),"",MROUND(MIN(E200*Settings!$B$16,L200*Settings!$B$17),Settings!$B$19))</f>
        <v/>
      </c>
      <c r="N200" s="72" t="str">
        <f t="shared" si="36"/>
        <v/>
      </c>
      <c r="O200" s="62"/>
      <c r="P200" s="69" t="str">
        <f t="shared" si="27"/>
        <v/>
      </c>
      <c r="Q200" s="76">
        <f t="shared" si="39"/>
        <v>65</v>
      </c>
      <c r="R200" s="63"/>
      <c r="S200" s="69" t="str">
        <f t="shared" si="28"/>
        <v/>
      </c>
      <c r="T200" s="65"/>
      <c r="U200" s="69" t="str">
        <f t="shared" si="29"/>
        <v/>
      </c>
      <c r="V200" s="82" t="str">
        <f t="shared" si="30"/>
        <v/>
      </c>
      <c r="W200" s="65"/>
      <c r="X200" s="72" t="str">
        <f t="shared" si="31"/>
        <v/>
      </c>
    </row>
    <row r="201" ht="21" customHeight="1" spans="1:24">
      <c r="A201" s="61"/>
      <c r="B201" s="62"/>
      <c r="C201" s="63"/>
      <c r="D201" s="61"/>
      <c r="E201" s="65"/>
      <c r="F201" s="65"/>
      <c r="G201" s="65"/>
      <c r="H201" s="65"/>
      <c r="I201" s="69" t="str">
        <f>IF(E201="","",MROUND(E201*Settings!$B$16,Settings!$B$19))</f>
        <v/>
      </c>
      <c r="J201" s="69" t="str">
        <f>IF(H201="","",MROUND(H201*Settings!$B$17,Settings!$B$19))</f>
        <v/>
      </c>
      <c r="K201" s="69" t="str">
        <f>IF(OR(I201="",J201=""),"",MROUND(MIN(I201,J201),Settings!$B$19))</f>
        <v/>
      </c>
      <c r="L201" s="65"/>
      <c r="M201" s="69" t="str">
        <f>IF(OR(E201="",L201=""),"",MROUND(MIN(E201*Settings!$B$16,L201*Settings!$B$17),Settings!$B$19))</f>
        <v/>
      </c>
      <c r="N201" s="72" t="str">
        <f t="shared" si="36"/>
        <v/>
      </c>
      <c r="O201" s="62"/>
      <c r="P201" s="69" t="str">
        <f t="shared" si="27"/>
        <v/>
      </c>
      <c r="Q201" s="76">
        <f t="shared" si="39"/>
        <v>65</v>
      </c>
      <c r="R201" s="63"/>
      <c r="S201" s="69" t="str">
        <f t="shared" si="28"/>
        <v/>
      </c>
      <c r="T201" s="65"/>
      <c r="U201" s="69" t="str">
        <f t="shared" si="29"/>
        <v/>
      </c>
      <c r="V201" s="82" t="str">
        <f t="shared" si="30"/>
        <v/>
      </c>
      <c r="W201" s="65"/>
      <c r="X201" s="72" t="str">
        <f t="shared" si="31"/>
        <v/>
      </c>
    </row>
    <row r="202" ht="21" customHeight="1" spans="1:24">
      <c r="A202" s="61"/>
      <c r="B202" s="62"/>
      <c r="C202" s="63"/>
      <c r="D202" s="61"/>
      <c r="E202" s="65"/>
      <c r="F202" s="65"/>
      <c r="G202" s="65"/>
      <c r="H202" s="65"/>
      <c r="I202" s="69" t="str">
        <f>IF(E202="","",MROUND(E202*Settings!$B$16,Settings!$B$19))</f>
        <v/>
      </c>
      <c r="J202" s="69" t="str">
        <f>IF(H202="","",MROUND(H202*Settings!$B$17,Settings!$B$19))</f>
        <v/>
      </c>
      <c r="K202" s="69" t="str">
        <f>IF(OR(I202="",J202=""),"",MROUND(MIN(I202,J202),Settings!$B$19))</f>
        <v/>
      </c>
      <c r="L202" s="65"/>
      <c r="M202" s="69" t="str">
        <f>IF(OR(E202="",L202=""),"",MROUND(MIN(E202*Settings!$B$16,L202*Settings!$B$17),Settings!$B$19))</f>
        <v/>
      </c>
      <c r="N202" s="72" t="str">
        <f t="shared" si="36"/>
        <v/>
      </c>
      <c r="O202" s="62"/>
      <c r="P202" s="69" t="str">
        <f t="shared" si="27"/>
        <v/>
      </c>
      <c r="Q202" s="76">
        <f t="shared" si="39"/>
        <v>65</v>
      </c>
      <c r="R202" s="63"/>
      <c r="S202" s="69" t="str">
        <f t="shared" si="28"/>
        <v/>
      </c>
      <c r="T202" s="65"/>
      <c r="U202" s="69" t="str">
        <f t="shared" si="29"/>
        <v/>
      </c>
      <c r="V202" s="82" t="str">
        <f t="shared" si="30"/>
        <v/>
      </c>
      <c r="W202" s="65"/>
      <c r="X202" s="72" t="str">
        <f t="shared" si="31"/>
        <v/>
      </c>
    </row>
    <row r="203" ht="21" customHeight="1" spans="1:24">
      <c r="A203" s="61"/>
      <c r="B203" s="62"/>
      <c r="C203" s="63"/>
      <c r="D203" s="61"/>
      <c r="E203" s="65"/>
      <c r="F203" s="65"/>
      <c r="G203" s="65"/>
      <c r="H203" s="65"/>
      <c r="I203" s="69" t="str">
        <f>IF(E203="","",MROUND(E203*Settings!$B$16,Settings!$B$19))</f>
        <v/>
      </c>
      <c r="J203" s="69" t="str">
        <f>IF(H203="","",MROUND(H203*Settings!$B$17,Settings!$B$19))</f>
        <v/>
      </c>
      <c r="K203" s="69" t="str">
        <f>IF(OR(I203="",J203=""),"",MROUND(MIN(I203,J203),Settings!$B$19))</f>
        <v/>
      </c>
      <c r="L203" s="65"/>
      <c r="M203" s="69" t="str">
        <f>IF(OR(E203="",L203=""),"",MROUND(MIN(E203*Settings!$B$16,L203*Settings!$B$17),Settings!$B$19))</f>
        <v/>
      </c>
      <c r="N203" s="72" t="str">
        <f t="shared" si="36"/>
        <v/>
      </c>
      <c r="O203" s="62"/>
      <c r="P203" s="69" t="str">
        <f t="shared" si="27"/>
        <v/>
      </c>
      <c r="Q203" s="76">
        <f t="shared" si="39"/>
        <v>65</v>
      </c>
      <c r="R203" s="63"/>
      <c r="S203" s="69" t="str">
        <f t="shared" si="28"/>
        <v/>
      </c>
      <c r="T203" s="65"/>
      <c r="U203" s="69" t="str">
        <f t="shared" si="29"/>
        <v/>
      </c>
      <c r="V203" s="82" t="str">
        <f t="shared" si="30"/>
        <v/>
      </c>
      <c r="W203" s="65"/>
      <c r="X203" s="72" t="str">
        <f t="shared" si="31"/>
        <v/>
      </c>
    </row>
    <row r="204" ht="21" customHeight="1" spans="1:24">
      <c r="A204" s="61"/>
      <c r="B204" s="62"/>
      <c r="C204" s="63"/>
      <c r="D204" s="61"/>
      <c r="E204" s="65"/>
      <c r="F204" s="65"/>
      <c r="G204" s="65"/>
      <c r="H204" s="65"/>
      <c r="I204" s="69" t="str">
        <f>IF(E204="","",MROUND(E204*Settings!$B$16,Settings!$B$19))</f>
        <v/>
      </c>
      <c r="J204" s="69" t="str">
        <f>IF(H204="","",MROUND(H204*Settings!$B$17,Settings!$B$19))</f>
        <v/>
      </c>
      <c r="K204" s="69" t="str">
        <f>IF(OR(I204="",J204=""),"",MROUND(MIN(I204,J204),Settings!$B$19))</f>
        <v/>
      </c>
      <c r="L204" s="65"/>
      <c r="M204" s="69" t="str">
        <f>IF(OR(E204="",L204=""),"",MROUND(MIN(E204*Settings!$B$16,L204*Settings!$B$17),Settings!$B$19))</f>
        <v/>
      </c>
      <c r="N204" s="72" t="str">
        <f t="shared" si="36"/>
        <v/>
      </c>
      <c r="O204" s="62"/>
      <c r="P204" s="69" t="str">
        <f t="shared" si="27"/>
        <v/>
      </c>
      <c r="Q204" s="76">
        <f t="shared" si="39"/>
        <v>65</v>
      </c>
      <c r="R204" s="63"/>
      <c r="S204" s="69" t="str">
        <f t="shared" si="28"/>
        <v/>
      </c>
      <c r="T204" s="65"/>
      <c r="U204" s="69" t="str">
        <f t="shared" si="29"/>
        <v/>
      </c>
      <c r="V204" s="82" t="str">
        <f t="shared" si="30"/>
        <v/>
      </c>
      <c r="W204" s="65"/>
      <c r="X204" s="72" t="str">
        <f t="shared" si="31"/>
        <v/>
      </c>
    </row>
    <row r="205" ht="21" customHeight="1" spans="1:24">
      <c r="A205" s="61"/>
      <c r="B205" s="62"/>
      <c r="C205" s="63"/>
      <c r="D205" s="61"/>
      <c r="E205" s="65"/>
      <c r="F205" s="65"/>
      <c r="G205" s="65"/>
      <c r="H205" s="65"/>
      <c r="I205" s="69" t="str">
        <f>IF(E205="","",MROUND(E205*Settings!$B$16,Settings!$B$19))</f>
        <v/>
      </c>
      <c r="J205" s="69" t="str">
        <f>IF(H205="","",MROUND(H205*Settings!$B$17,Settings!$B$19))</f>
        <v/>
      </c>
      <c r="K205" s="69" t="str">
        <f>IF(OR(I205="",J205=""),"",MROUND(MIN(I205,J205),Settings!$B$19))</f>
        <v/>
      </c>
      <c r="L205" s="65"/>
      <c r="M205" s="69" t="str">
        <f>IF(OR(E205="",L205=""),"",MROUND(MIN(E205*Settings!$B$16,L205*Settings!$B$17),Settings!$B$19))</f>
        <v/>
      </c>
      <c r="N205" s="72" t="str">
        <f t="shared" si="36"/>
        <v/>
      </c>
      <c r="O205" s="62"/>
      <c r="P205" s="69" t="str">
        <f t="shared" si="27"/>
        <v/>
      </c>
      <c r="Q205" s="76">
        <f t="shared" ref="Q205:Q213" si="40">$B$7</f>
        <v>65</v>
      </c>
      <c r="R205" s="63"/>
      <c r="S205" s="69" t="str">
        <f t="shared" si="28"/>
        <v/>
      </c>
      <c r="T205" s="65"/>
      <c r="U205" s="69" t="str">
        <f t="shared" si="29"/>
        <v/>
      </c>
      <c r="V205" s="82" t="str">
        <f t="shared" si="30"/>
        <v/>
      </c>
      <c r="W205" s="65"/>
      <c r="X205" s="72" t="str">
        <f t="shared" si="31"/>
        <v/>
      </c>
    </row>
    <row r="206" ht="21" customHeight="1" spans="1:24">
      <c r="A206" s="61"/>
      <c r="B206" s="62"/>
      <c r="C206" s="63"/>
      <c r="D206" s="61"/>
      <c r="E206" s="65"/>
      <c r="F206" s="65"/>
      <c r="G206" s="65"/>
      <c r="H206" s="65"/>
      <c r="I206" s="69" t="str">
        <f>IF(E206="","",MROUND(E206*Settings!$B$16,Settings!$B$19))</f>
        <v/>
      </c>
      <c r="J206" s="69" t="str">
        <f>IF(H206="","",MROUND(H206*Settings!$B$17,Settings!$B$19))</f>
        <v/>
      </c>
      <c r="K206" s="69" t="str">
        <f>IF(OR(I206="",J206=""),"",MROUND(MIN(I206,J206),Settings!$B$19))</f>
        <v/>
      </c>
      <c r="L206" s="65"/>
      <c r="M206" s="69" t="str">
        <f>IF(OR(E206="",L206=""),"",MROUND(MIN(E206*Settings!$B$16,L206*Settings!$B$17),Settings!$B$19))</f>
        <v/>
      </c>
      <c r="N206" s="72" t="str">
        <f t="shared" si="36"/>
        <v/>
      </c>
      <c r="O206" s="62"/>
      <c r="P206" s="69" t="str">
        <f t="shared" ref="P206:P213" si="41">IF(O206="","",IF(O206="Target Hit",F206,IF(O206="Stoploss Hit",K206,IF(OR(O206="Gap Up Stoploss",O206="Gap Down Stoploss"),M206,IF(O206="Rollover",W206,"")))))</f>
        <v/>
      </c>
      <c r="Q206" s="76">
        <f t="shared" si="40"/>
        <v>65</v>
      </c>
      <c r="R206" s="63"/>
      <c r="S206" s="69" t="str">
        <f t="shared" ref="S206:S213" si="42">IF(OR(Q206="",R206=""),"",Q206*R206)</f>
        <v/>
      </c>
      <c r="T206" s="65"/>
      <c r="U206" s="69" t="str">
        <f t="shared" ref="U206:U213" si="43">IF(OR(E206="",P206="",S206=""),"",(E206-P206)*S206)</f>
        <v/>
      </c>
      <c r="V206" s="82" t="str">
        <f t="shared" ref="V206:V213" si="44">IF(OR(U206="",T206="",T206=0),"",U206/T206)</f>
        <v/>
      </c>
      <c r="W206" s="65"/>
      <c r="X206" s="72" t="str">
        <f t="shared" ref="X206:X213" si="45">IF(OR(B206="",O206=""),"",IF(AND(B206="CALL Sell",O206="Gap Up Stoploss"),"CHECK: CALL Sell uses Gap Down Stoploss",IF(AND(B206="PUT Sell",O206="Gap Down Stoploss"),"CHECK: PUT Sell uses Gap Up Stoploss",IF(AND(O206="Rollover",W206=""),"INPUT REQUIRED: Rollover exit price",IF(AND(O206="Target Hit",F206=""),"INPUT REQUIRED: Target",IF(AND(O206="Stoploss Hit",K206=""),"INPUT REQUIRED: New 3DHH",IF(AND(OR(O206="Gap Up Stoploss",O206="Gap Down Stoploss"),M206=""),"INPUT REQUIRED: Gap 3DHH","OK")))))))</f>
        <v/>
      </c>
    </row>
    <row r="207" ht="21" customHeight="1" spans="1:24">
      <c r="A207" s="61"/>
      <c r="B207" s="62"/>
      <c r="C207" s="63"/>
      <c r="D207" s="61"/>
      <c r="E207" s="65"/>
      <c r="F207" s="65"/>
      <c r="G207" s="65"/>
      <c r="H207" s="65"/>
      <c r="I207" s="69" t="str">
        <f>IF(E207="","",MROUND(E207*Settings!$B$16,Settings!$B$19))</f>
        <v/>
      </c>
      <c r="J207" s="69" t="str">
        <f>IF(H207="","",MROUND(H207*Settings!$B$17,Settings!$B$19))</f>
        <v/>
      </c>
      <c r="K207" s="69" t="str">
        <f>IF(OR(I207="",J207=""),"",MROUND(MIN(I207,J207),Settings!$B$19))</f>
        <v/>
      </c>
      <c r="L207" s="65"/>
      <c r="M207" s="69" t="str">
        <f>IF(OR(E207="",L207=""),"",MROUND(MIN(E207*Settings!$B$16,L207*Settings!$B$17),Settings!$B$19))</f>
        <v/>
      </c>
      <c r="N207" s="72" t="str">
        <f>IF(B207="","",IF(B207="CALL Sell","Gap Up Calculation","Gap Down Calculation"))</f>
        <v/>
      </c>
      <c r="O207" s="62"/>
      <c r="P207" s="69" t="str">
        <f t="shared" si="41"/>
        <v/>
      </c>
      <c r="Q207" s="76">
        <f t="shared" si="40"/>
        <v>65</v>
      </c>
      <c r="R207" s="63"/>
      <c r="S207" s="69" t="str">
        <f t="shared" si="42"/>
        <v/>
      </c>
      <c r="T207" s="65"/>
      <c r="U207" s="69" t="str">
        <f t="shared" si="43"/>
        <v/>
      </c>
      <c r="V207" s="82" t="str">
        <f t="shared" si="44"/>
        <v/>
      </c>
      <c r="W207" s="65"/>
      <c r="X207" s="72" t="str">
        <f t="shared" si="45"/>
        <v/>
      </c>
    </row>
    <row r="208" ht="21" customHeight="1" spans="1:24">
      <c r="A208" s="61"/>
      <c r="B208" s="62"/>
      <c r="C208" s="63"/>
      <c r="D208" s="61"/>
      <c r="E208" s="65"/>
      <c r="F208" s="65"/>
      <c r="G208" s="65"/>
      <c r="H208" s="65"/>
      <c r="I208" s="69" t="str">
        <f>IF(E208="","",MROUND(E208*Settings!$B$16,Settings!$B$19))</f>
        <v/>
      </c>
      <c r="J208" s="69" t="str">
        <f>IF(H208="","",MROUND(H208*Settings!$B$17,Settings!$B$19))</f>
        <v/>
      </c>
      <c r="K208" s="69" t="str">
        <f>IF(OR(I208="",J208=""),"",MROUND(MIN(I208,J208),Settings!$B$19))</f>
        <v/>
      </c>
      <c r="L208" s="65"/>
      <c r="M208" s="69" t="str">
        <f>IF(OR(E208="",L208=""),"",MROUND(MIN(E208*Settings!$B$16,L208*Settings!$B$17),Settings!$B$19))</f>
        <v/>
      </c>
      <c r="N208" s="72" t="str">
        <f>IF(B208="","",IF(B208="CALL Sell","Gap Up Calculation","Gap Down Calculation"))</f>
        <v/>
      </c>
      <c r="O208" s="62"/>
      <c r="P208" s="69" t="str">
        <f t="shared" si="41"/>
        <v/>
      </c>
      <c r="Q208" s="76">
        <f t="shared" si="40"/>
        <v>65</v>
      </c>
      <c r="R208" s="63"/>
      <c r="S208" s="69" t="str">
        <f t="shared" si="42"/>
        <v/>
      </c>
      <c r="T208" s="65"/>
      <c r="U208" s="69" t="str">
        <f t="shared" si="43"/>
        <v/>
      </c>
      <c r="V208" s="82" t="str">
        <f t="shared" si="44"/>
        <v/>
      </c>
      <c r="W208" s="65"/>
      <c r="X208" s="72" t="str">
        <f t="shared" si="45"/>
        <v/>
      </c>
    </row>
    <row r="209" ht="21" customHeight="1" spans="1:24">
      <c r="A209" s="61"/>
      <c r="B209" s="62"/>
      <c r="C209" s="63"/>
      <c r="D209" s="61"/>
      <c r="E209" s="65"/>
      <c r="F209" s="65"/>
      <c r="G209" s="65"/>
      <c r="H209" s="65"/>
      <c r="I209" s="69" t="str">
        <f>IF(E209="","",MROUND(E209*Settings!$B$16,Settings!$B$19))</f>
        <v/>
      </c>
      <c r="J209" s="69" t="str">
        <f>IF(H209="","",MROUND(H209*Settings!$B$17,Settings!$B$19))</f>
        <v/>
      </c>
      <c r="K209" s="69" t="str">
        <f>IF(OR(I209="",J209=""),"",MROUND(MIN(I209,J209),Settings!$B$19))</f>
        <v/>
      </c>
      <c r="L209" s="65"/>
      <c r="M209" s="69" t="str">
        <f>IF(OR(E209="",L209=""),"",MROUND(MIN(E209*Settings!$B$16,L209*Settings!$B$17),Settings!$B$19))</f>
        <v/>
      </c>
      <c r="N209" s="72" t="str">
        <f>IF(B209="","",IF(B209="CALL Sell","Gap Up Calculation","Gap Down Calculation"))</f>
        <v/>
      </c>
      <c r="O209" s="62"/>
      <c r="P209" s="69" t="str">
        <f t="shared" si="41"/>
        <v/>
      </c>
      <c r="Q209" s="76">
        <f t="shared" si="40"/>
        <v>65</v>
      </c>
      <c r="R209" s="63"/>
      <c r="S209" s="69" t="str">
        <f t="shared" si="42"/>
        <v/>
      </c>
      <c r="T209" s="65"/>
      <c r="U209" s="69" t="str">
        <f t="shared" si="43"/>
        <v/>
      </c>
      <c r="V209" s="82" t="str">
        <f t="shared" si="44"/>
        <v/>
      </c>
      <c r="W209" s="65"/>
      <c r="X209" s="72" t="str">
        <f t="shared" si="45"/>
        <v/>
      </c>
    </row>
    <row r="210" ht="21" customHeight="1" spans="1:24">
      <c r="A210" s="61"/>
      <c r="B210" s="62"/>
      <c r="C210" s="63"/>
      <c r="D210" s="61"/>
      <c r="E210" s="65"/>
      <c r="F210" s="65"/>
      <c r="G210" s="65"/>
      <c r="H210" s="65"/>
      <c r="I210" s="69" t="str">
        <f>IF(E210="","",MROUND(E210*Settings!$B$16,Settings!$B$19))</f>
        <v/>
      </c>
      <c r="J210" s="69" t="str">
        <f>IF(H210="","",MROUND(H210*Settings!$B$17,Settings!$B$19))</f>
        <v/>
      </c>
      <c r="K210" s="69" t="str">
        <f>IF(OR(I210="",J210=""),"",MROUND(MIN(I210,J210),Settings!$B$19))</f>
        <v/>
      </c>
      <c r="L210" s="65"/>
      <c r="M210" s="69" t="str">
        <f>IF(OR(E210="",L210=""),"",MROUND(MIN(E210*Settings!$B$16,L210*Settings!$B$17),Settings!$B$19))</f>
        <v/>
      </c>
      <c r="N210" s="72" t="str">
        <f>IF(B210="","",IF(B210="CALL Sell","Gap Up Calculation","Gap Down Calculation"))</f>
        <v/>
      </c>
      <c r="O210" s="62"/>
      <c r="P210" s="69" t="str">
        <f t="shared" si="41"/>
        <v/>
      </c>
      <c r="Q210" s="76">
        <f t="shared" si="40"/>
        <v>65</v>
      </c>
      <c r="R210" s="63"/>
      <c r="S210" s="69" t="str">
        <f t="shared" si="42"/>
        <v/>
      </c>
      <c r="T210" s="65"/>
      <c r="U210" s="69" t="str">
        <f t="shared" si="43"/>
        <v/>
      </c>
      <c r="V210" s="82" t="str">
        <f t="shared" si="44"/>
        <v/>
      </c>
      <c r="W210" s="65"/>
      <c r="X210" s="72" t="str">
        <f t="shared" si="45"/>
        <v/>
      </c>
    </row>
    <row r="211" ht="21" customHeight="1" spans="1:24">
      <c r="A211" s="61"/>
      <c r="B211" s="62"/>
      <c r="C211" s="63"/>
      <c r="D211" s="61"/>
      <c r="E211" s="65"/>
      <c r="F211" s="65"/>
      <c r="G211" s="65"/>
      <c r="H211" s="65"/>
      <c r="I211" s="69" t="str">
        <f>IF(E211="","",MROUND(E211*Settings!$B$16,Settings!$B$19))</f>
        <v/>
      </c>
      <c r="J211" s="69" t="str">
        <f>IF(H211="","",MROUND(H211*Settings!$B$17,Settings!$B$19))</f>
        <v/>
      </c>
      <c r="K211" s="69" t="str">
        <f>IF(OR(I211="",J211=""),"",MROUND(MIN(I211,J211),Settings!$B$19))</f>
        <v/>
      </c>
      <c r="L211" s="65"/>
      <c r="M211" s="69" t="str">
        <f>IF(OR(E211="",L211=""),"",MROUND(MIN(E211*Settings!$B$16,L211*Settings!$B$17),Settings!$B$19))</f>
        <v/>
      </c>
      <c r="N211" s="72" t="str">
        <f>IF(B211="","",IF(B211="CALL Sell","Gap Up Calculation","Gap Down Calculation"))</f>
        <v/>
      </c>
      <c r="O211" s="62"/>
      <c r="P211" s="69" t="str">
        <f t="shared" si="41"/>
        <v/>
      </c>
      <c r="Q211" s="76">
        <f t="shared" si="40"/>
        <v>65</v>
      </c>
      <c r="R211" s="63"/>
      <c r="S211" s="69" t="str">
        <f t="shared" si="42"/>
        <v/>
      </c>
      <c r="T211" s="65"/>
      <c r="U211" s="69" t="str">
        <f t="shared" si="43"/>
        <v/>
      </c>
      <c r="V211" s="82" t="str">
        <f t="shared" si="44"/>
        <v/>
      </c>
      <c r="W211" s="65"/>
      <c r="X211" s="72" t="str">
        <f t="shared" si="45"/>
        <v/>
      </c>
    </row>
    <row r="212" ht="21" customHeight="1" spans="1:24">
      <c r="A212" s="61"/>
      <c r="B212" s="62"/>
      <c r="C212" s="63"/>
      <c r="D212" s="61"/>
      <c r="E212" s="65"/>
      <c r="F212" s="65"/>
      <c r="G212" s="65"/>
      <c r="H212" s="65"/>
      <c r="I212" s="69" t="str">
        <f>IF(E212="","",MROUND(E212*Settings!$B$16,Settings!$B$19))</f>
        <v/>
      </c>
      <c r="J212" s="69" t="str">
        <f>IF(H212="","",MROUND(H212*Settings!$B$17,Settings!$B$19))</f>
        <v/>
      </c>
      <c r="K212" s="69" t="str">
        <f>IF(OR(I212="",J212=""),"",MROUND(MIN(I212,J212),Settings!$B$19))</f>
        <v/>
      </c>
      <c r="L212" s="65"/>
      <c r="M212" s="69" t="str">
        <f>IF(OR(E212="",L212=""),"",MROUND(MIN(E212*Settings!$B$16,L212*Settings!$B$17),Settings!$B$19))</f>
        <v/>
      </c>
      <c r="N212" s="72" t="str">
        <f>IF(B212="","",IF(B212="CALL Sell","Gap Up Calculation","Gap Down Calculation"))</f>
        <v/>
      </c>
      <c r="O212" s="62"/>
      <c r="P212" s="69" t="str">
        <f t="shared" si="41"/>
        <v/>
      </c>
      <c r="Q212" s="76">
        <f t="shared" si="40"/>
        <v>65</v>
      </c>
      <c r="R212" s="63"/>
      <c r="S212" s="69" t="str">
        <f t="shared" si="42"/>
        <v/>
      </c>
      <c r="T212" s="65"/>
      <c r="U212" s="69" t="str">
        <f t="shared" si="43"/>
        <v/>
      </c>
      <c r="V212" s="82" t="str">
        <f t="shared" si="44"/>
        <v/>
      </c>
      <c r="W212" s="65"/>
      <c r="X212" s="72" t="str">
        <f t="shared" si="45"/>
        <v/>
      </c>
    </row>
    <row r="213" ht="21" customHeight="1" spans="1:24">
      <c r="A213" s="61"/>
      <c r="B213" s="62"/>
      <c r="C213" s="63"/>
      <c r="D213" s="61"/>
      <c r="E213" s="65"/>
      <c r="F213" s="65"/>
      <c r="G213" s="65"/>
      <c r="H213" s="65"/>
      <c r="I213" s="69" t="str">
        <f>IF(E213="","",MROUND(E213*Settings!$B$16,Settings!$B$19))</f>
        <v/>
      </c>
      <c r="J213" s="69" t="str">
        <f>IF(H213="","",MROUND(H213*Settings!$B$17,Settings!$B$19))</f>
        <v/>
      </c>
      <c r="K213" s="69" t="str">
        <f>IF(OR(I213="",J213=""),"",MROUND(MIN(I213,J213),Settings!$B$19))</f>
        <v/>
      </c>
      <c r="L213" s="65"/>
      <c r="M213" s="69" t="str">
        <f>IF(OR(E213="",L213=""),"",MROUND(MIN(E213*Settings!$B$16,L213*Settings!$B$17),Settings!$B$19))</f>
        <v/>
      </c>
      <c r="N213" s="72" t="str">
        <f>IF(B213="","",IF(B213="CALL Sell","Gap Up Calculation","Gap Down Calculation"))</f>
        <v/>
      </c>
      <c r="O213" s="62"/>
      <c r="P213" s="69" t="str">
        <f t="shared" si="41"/>
        <v/>
      </c>
      <c r="Q213" s="76">
        <f t="shared" si="40"/>
        <v>65</v>
      </c>
      <c r="R213" s="63"/>
      <c r="S213" s="69" t="str">
        <f t="shared" si="42"/>
        <v/>
      </c>
      <c r="T213" s="65"/>
      <c r="U213" s="69" t="str">
        <f t="shared" si="43"/>
        <v/>
      </c>
      <c r="V213" s="82" t="str">
        <f t="shared" si="44"/>
        <v/>
      </c>
      <c r="W213" s="65"/>
      <c r="X213" s="72" t="str">
        <f t="shared" si="45"/>
        <v/>
      </c>
    </row>
    <row r="214" spans="1:2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ht="20" customHeight="1" spans="1:24">
      <c r="A216" s="1"/>
      <c r="B216" s="1"/>
      <c r="C216" s="20" t="s">
        <v>47</v>
      </c>
      <c r="D216" s="20"/>
      <c r="E216" s="20"/>
      <c r="F216" s="20"/>
      <c r="G216" s="20"/>
      <c r="H216" s="20"/>
      <c r="I216" s="20"/>
      <c r="J216" s="20"/>
      <c r="K216" s="20"/>
      <c r="L216" s="20"/>
      <c r="M216" s="20"/>
      <c r="N216" s="20"/>
      <c r="O216" s="20"/>
      <c r="P216" s="20"/>
      <c r="Q216" s="20"/>
      <c r="R216" s="20"/>
      <c r="S216" s="20"/>
      <c r="T216" s="20"/>
      <c r="U216" s="20"/>
      <c r="V216" s="20"/>
      <c r="W216" s="1"/>
      <c r="X216" s="1"/>
    </row>
    <row r="217" ht="20" customHeight="1" spans="1:24">
      <c r="A217" s="1"/>
      <c r="B217" s="1"/>
      <c r="C217" s="21" t="s">
        <v>48</v>
      </c>
      <c r="D217" s="21"/>
      <c r="E217" s="21"/>
      <c r="F217" s="21"/>
      <c r="G217" s="21"/>
      <c r="H217" s="21"/>
      <c r="I217" s="21"/>
      <c r="J217" s="21"/>
      <c r="K217" s="21"/>
      <c r="L217" s="21"/>
      <c r="M217" s="21"/>
      <c r="N217" s="21"/>
      <c r="O217" s="21"/>
      <c r="P217" s="21"/>
      <c r="Q217" s="21"/>
      <c r="R217" s="21"/>
      <c r="S217" s="21"/>
      <c r="T217" s="21"/>
      <c r="U217" s="21"/>
      <c r="V217" s="21"/>
      <c r="W217" s="1"/>
      <c r="X217" s="1"/>
    </row>
    <row r="218" ht="20" customHeight="1" spans="1:24">
      <c r="A218" s="1"/>
      <c r="B218" s="1"/>
      <c r="C218" s="21" t="s">
        <v>49</v>
      </c>
      <c r="D218" s="21"/>
      <c r="E218" s="21"/>
      <c r="F218" s="21"/>
      <c r="G218" s="21"/>
      <c r="H218" s="21"/>
      <c r="I218" s="21"/>
      <c r="J218" s="21"/>
      <c r="K218" s="21"/>
      <c r="L218" s="21"/>
      <c r="M218" s="21"/>
      <c r="N218" s="21"/>
      <c r="O218" s="21"/>
      <c r="P218" s="21"/>
      <c r="Q218" s="21"/>
      <c r="R218" s="21"/>
      <c r="S218" s="21"/>
      <c r="T218" s="21"/>
      <c r="U218" s="21"/>
      <c r="V218" s="21"/>
      <c r="W218" s="1"/>
      <c r="X218" s="1"/>
    </row>
    <row r="219" ht="20" customHeight="1" spans="1:24">
      <c r="A219" s="1"/>
      <c r="B219" s="1"/>
      <c r="C219" s="22" t="s">
        <v>50</v>
      </c>
      <c r="D219" s="22"/>
      <c r="E219" s="22"/>
      <c r="F219" s="22"/>
      <c r="G219" s="22"/>
      <c r="H219" s="22"/>
      <c r="I219" s="22"/>
      <c r="J219" s="22"/>
      <c r="K219" s="22"/>
      <c r="L219" s="22"/>
      <c r="M219" s="22"/>
      <c r="N219" s="22"/>
      <c r="O219" s="22"/>
      <c r="P219" s="22"/>
      <c r="Q219" s="22"/>
      <c r="R219" s="22"/>
      <c r="S219" s="22"/>
      <c r="T219" s="22"/>
      <c r="U219" s="22"/>
      <c r="V219" s="22"/>
      <c r="W219" s="1"/>
      <c r="X219" s="1"/>
    </row>
  </sheetData>
  <sheetProtection algorithmName="SHA-512" hashValue="Z+x1Gmk7NdxOPGI2tFAnWFHueYV0a1gSEsLMLq5aYp1JVja0HmRx+GmSmLvNHYu07qHMbV5cAaiFQOWMlb3NBA==" saltValue="YYegCx36lqhZCvJPK3LV1w==" spinCount="100000" sheet="1" objects="1"/>
  <mergeCells count="19">
    <mergeCell ref="C1:T1"/>
    <mergeCell ref="C2:T2"/>
    <mergeCell ref="C3:T3"/>
    <mergeCell ref="A5:F5"/>
    <mergeCell ref="H5:M5"/>
    <mergeCell ref="N5:S5"/>
    <mergeCell ref="T5:X5"/>
    <mergeCell ref="A11:X11"/>
    <mergeCell ref="A12:D12"/>
    <mergeCell ref="E12:K12"/>
    <mergeCell ref="L12:N12"/>
    <mergeCell ref="O12:W12"/>
    <mergeCell ref="C216:V216"/>
    <mergeCell ref="C217:V217"/>
    <mergeCell ref="C218:V218"/>
    <mergeCell ref="C219:V219"/>
    <mergeCell ref="U1:X3"/>
    <mergeCell ref="C6:F9"/>
    <mergeCell ref="T6:X9"/>
  </mergeCells>
  <conditionalFormatting sqref="X14:X213">
    <cfRule type="expression" dxfId="0" priority="3">
      <formula>X14="OK"</formula>
    </cfRule>
    <cfRule type="expression" dxfId="1" priority="4">
      <formula>LEFT(X14,5)="CHECK"</formula>
    </cfRule>
    <cfRule type="expression" dxfId="2" priority="5">
      <formula>LEFT(X14,5)="INPUT"</formula>
    </cfRule>
  </conditionalFormatting>
  <conditionalFormatting sqref="U14:V213">
    <cfRule type="cellIs" dxfId="0" priority="1" operator="greaterThan">
      <formula>0</formula>
    </cfRule>
    <cfRule type="cellIs" dxfId="1" priority="2" operator="lessThan">
      <formula>0</formula>
    </cfRule>
  </conditionalFormatting>
  <dataValidations count="3">
    <dataValidation type="list" sqref="B14:B213">
      <formula1>Settings!$H$7:$H$8</formula1>
    </dataValidation>
    <dataValidation type="list" sqref="O14:O213">
      <formula1>Settings!$I$7:$I$11</formula1>
    </dataValidation>
    <dataValidation type="list" sqref="R14:R213">
      <formula1>Settings!$J$7:$J$36</formula1>
    </dataValidation>
  </dataValidations>
  <pageMargins left="0.7" right="0.7" top="0.75" bottom="0.75" header="0.3" footer="0.3"/>
  <headerFooter/>
  <ignoredErrors>
    <ignoredError sqref="C20:C25" numberStoredAsText="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Q44"/>
  <sheetViews>
    <sheetView showGridLines="0" workbookViewId="0">
      <pane ySplit="4" topLeftCell="A5" activePane="bottomLeft" state="frozen"/>
      <selection/>
      <selection pane="bottomLeft" activeCell="A2" sqref="A1:Q44"/>
    </sheetView>
  </sheetViews>
  <sheetFormatPr defaultColWidth="9" defaultRowHeight="16.8"/>
  <cols>
    <col min="1" max="1" width="29" customWidth="1"/>
    <col min="2" max="2" width="14" customWidth="1"/>
    <col min="3" max="3" width="22" customWidth="1"/>
    <col min="4" max="4" width="27" customWidth="1"/>
    <col min="5" max="5" width="3" customWidth="1"/>
    <col min="6" max="9" width="19" customWidth="1"/>
    <col min="10" max="10" width="10" customWidth="1"/>
    <col min="11" max="12" width="19" customWidth="1"/>
    <col min="13" max="13" width="3" customWidth="1"/>
    <col min="14" max="17" width="18" customWidth="1"/>
  </cols>
  <sheetData>
    <row r="1" ht="23" customHeight="1" spans="1:17">
      <c r="A1" s="1"/>
      <c r="B1" s="1"/>
      <c r="C1" s="2" t="s">
        <v>0</v>
      </c>
      <c r="D1" s="2"/>
      <c r="E1" s="2"/>
      <c r="F1" s="2"/>
      <c r="G1" s="2"/>
      <c r="H1" s="2"/>
      <c r="I1" s="2"/>
      <c r="J1" s="2"/>
      <c r="K1" s="2"/>
      <c r="L1" s="2"/>
      <c r="M1" s="32" t="s">
        <v>1</v>
      </c>
      <c r="N1" s="33"/>
      <c r="O1" s="33"/>
      <c r="P1" s="33"/>
      <c r="Q1" s="43"/>
    </row>
    <row r="2" ht="21" customHeight="1" spans="1:17">
      <c r="A2" s="1"/>
      <c r="B2" s="1"/>
      <c r="C2" s="3" t="s">
        <v>2</v>
      </c>
      <c r="D2" s="3"/>
      <c r="E2" s="3"/>
      <c r="F2" s="3"/>
      <c r="G2" s="3"/>
      <c r="H2" s="3"/>
      <c r="I2" s="3"/>
      <c r="J2" s="3"/>
      <c r="K2" s="3"/>
      <c r="L2" s="3"/>
      <c r="M2" s="34"/>
      <c r="N2" s="35"/>
      <c r="O2" s="35"/>
      <c r="P2" s="35"/>
      <c r="Q2" s="44"/>
    </row>
    <row r="3" ht="23" customHeight="1" spans="1:17">
      <c r="A3" s="1"/>
      <c r="B3" s="1"/>
      <c r="C3" s="4" t="s">
        <v>208</v>
      </c>
      <c r="D3" s="4"/>
      <c r="E3" s="4"/>
      <c r="F3" s="4"/>
      <c r="G3" s="4"/>
      <c r="H3" s="4"/>
      <c r="I3" s="4"/>
      <c r="J3" s="4"/>
      <c r="K3" s="4"/>
      <c r="L3" s="4"/>
      <c r="M3" s="36"/>
      <c r="N3" s="37"/>
      <c r="O3" s="37"/>
      <c r="P3" s="37"/>
      <c r="Q3" s="45"/>
    </row>
    <row r="4" ht="8" customHeight="1" spans="1:17">
      <c r="A4" s="21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row>
    <row r="5" ht="23" customHeight="1" spans="1:17">
      <c r="A5" s="5" t="s">
        <v>209</v>
      </c>
      <c r="B5" s="6"/>
      <c r="C5" s="6"/>
      <c r="D5" s="6"/>
      <c r="E5" s="6"/>
      <c r="F5" s="6"/>
      <c r="G5" s="6"/>
      <c r="H5" s="6"/>
      <c r="I5" s="6"/>
      <c r="J5" s="6"/>
      <c r="K5" s="6"/>
      <c r="L5" s="6"/>
      <c r="M5" s="6"/>
      <c r="N5" s="6"/>
      <c r="O5" s="6"/>
      <c r="P5" s="6"/>
      <c r="Q5" s="46"/>
    </row>
    <row r="6" ht="28" spans="1:17">
      <c r="A6" s="7" t="s">
        <v>210</v>
      </c>
      <c r="B6" s="7" t="s">
        <v>211</v>
      </c>
      <c r="C6" s="7" t="s">
        <v>212</v>
      </c>
      <c r="D6" s="7" t="s">
        <v>213</v>
      </c>
      <c r="E6" s="14"/>
      <c r="F6" s="7" t="s">
        <v>214</v>
      </c>
      <c r="G6" s="7" t="s">
        <v>215</v>
      </c>
      <c r="H6" s="7" t="s">
        <v>182</v>
      </c>
      <c r="I6" s="7" t="s">
        <v>191</v>
      </c>
      <c r="J6" s="7" t="s">
        <v>194</v>
      </c>
      <c r="K6" s="7" t="s">
        <v>216</v>
      </c>
      <c r="L6" s="7" t="s">
        <v>217</v>
      </c>
      <c r="M6" s="14"/>
      <c r="N6" s="38" t="s">
        <v>218</v>
      </c>
      <c r="O6" s="38" t="s">
        <v>219</v>
      </c>
      <c r="P6" s="38" t="s">
        <v>220</v>
      </c>
      <c r="Q6" s="38" t="s">
        <v>221</v>
      </c>
    </row>
    <row r="7" spans="1:17">
      <c r="A7" s="8" t="s">
        <v>222</v>
      </c>
      <c r="B7" s="9">
        <v>0.009</v>
      </c>
      <c r="C7" s="10" t="s">
        <v>223</v>
      </c>
      <c r="D7" s="10" t="s">
        <v>224</v>
      </c>
      <c r="E7" s="14"/>
      <c r="F7" s="23" t="s">
        <v>225</v>
      </c>
      <c r="G7" s="23" t="s">
        <v>226</v>
      </c>
      <c r="H7" s="23" t="s">
        <v>21</v>
      </c>
      <c r="I7" s="23" t="s">
        <v>200</v>
      </c>
      <c r="J7" s="23">
        <v>1</v>
      </c>
      <c r="K7" s="23" t="s">
        <v>120</v>
      </c>
      <c r="L7" s="23" t="s">
        <v>122</v>
      </c>
      <c r="M7" s="14"/>
      <c r="N7" s="39" t="str">
        <f>IF('NIFTY Calculation'!$H$15="Eligible",'NIFTY Calculation'!$B$15,"")</f>
        <v/>
      </c>
      <c r="O7" s="39" t="str">
        <f>IF('NIFTY Calculation'!$P$15="Eligible",'NIFTY Calculation'!$J$15,"")</f>
        <v/>
      </c>
      <c r="P7" s="39" t="str">
        <f>IF('NIFTY Calculation'!$H$49="Eligible",'NIFTY Calculation'!$B$49,"")</f>
        <v/>
      </c>
      <c r="Q7" s="39" t="str">
        <f>IF('NIFTY Calculation'!$P$49="Eligible",'NIFTY Calculation'!$J$49,"")</f>
        <v/>
      </c>
    </row>
    <row r="8" spans="1:17">
      <c r="A8" s="8" t="s">
        <v>227</v>
      </c>
      <c r="B8" s="11">
        <v>65</v>
      </c>
      <c r="C8" s="10" t="s">
        <v>228</v>
      </c>
      <c r="D8" s="10" t="s">
        <v>229</v>
      </c>
      <c r="E8" s="14"/>
      <c r="F8" s="23" t="s">
        <v>59</v>
      </c>
      <c r="G8" s="23" t="s">
        <v>230</v>
      </c>
      <c r="H8" s="23" t="s">
        <v>22</v>
      </c>
      <c r="I8" s="23" t="s">
        <v>201</v>
      </c>
      <c r="J8" s="23">
        <v>2</v>
      </c>
      <c r="K8" s="23" t="s">
        <v>121</v>
      </c>
      <c r="L8" s="23" t="s">
        <v>123</v>
      </c>
      <c r="M8" s="14"/>
      <c r="N8" s="39" t="str">
        <f>IF('NIFTY Calculation'!$H$15="Eligible",'NIFTY Calculation'!$B$15,"")</f>
        <v/>
      </c>
      <c r="O8" s="39" t="str">
        <f>IF('NIFTY Calculation'!$P$15="Eligible",'NIFTY Calculation'!$J$15,"")</f>
        <v/>
      </c>
      <c r="P8" s="39" t="str">
        <f>IF('NIFTY Calculation'!$H$49="Eligible",'NIFTY Calculation'!$B$49,"")</f>
        <v/>
      </c>
      <c r="Q8" s="39" t="str">
        <f>IF('NIFTY Calculation'!$P$49="Eligible",'NIFTY Calculation'!$J$49,"")</f>
        <v/>
      </c>
    </row>
    <row r="9" spans="1:17">
      <c r="A9" s="8" t="s">
        <v>231</v>
      </c>
      <c r="B9" s="11">
        <v>500</v>
      </c>
      <c r="C9" s="10" t="s">
        <v>232</v>
      </c>
      <c r="D9" s="10" t="s">
        <v>233</v>
      </c>
      <c r="E9" s="14"/>
      <c r="F9" s="23" t="s">
        <v>234</v>
      </c>
      <c r="G9" s="23" t="s">
        <v>235</v>
      </c>
      <c r="H9" s="23"/>
      <c r="I9" s="23" t="s">
        <v>204</v>
      </c>
      <c r="J9" s="23">
        <v>3</v>
      </c>
      <c r="K9" s="23"/>
      <c r="L9" s="23"/>
      <c r="M9" s="14"/>
      <c r="N9" s="39" t="str">
        <f>IF('NIFTY Calculation'!$H$15="Eligible",'NIFTY Calculation'!$B$15,"")</f>
        <v/>
      </c>
      <c r="O9" s="39" t="str">
        <f>IF('NIFTY Calculation'!$P$15="Eligible",'NIFTY Calculation'!$J$15,"")</f>
        <v/>
      </c>
      <c r="P9" s="39" t="str">
        <f>IF('NIFTY Calculation'!$H$49="Eligible",'NIFTY Calculation'!$B$49,"")</f>
        <v/>
      </c>
      <c r="Q9" s="39" t="str">
        <f>IF('NIFTY Calculation'!$P$49="Eligible",'NIFTY Calculation'!$J$49,"")</f>
        <v/>
      </c>
    </row>
    <row r="10" spans="1:17">
      <c r="A10" s="8" t="s">
        <v>236</v>
      </c>
      <c r="B10" s="11">
        <f>B8*B9</f>
        <v>32500</v>
      </c>
      <c r="C10" s="10" t="s">
        <v>237</v>
      </c>
      <c r="D10" s="10" t="s">
        <v>238</v>
      </c>
      <c r="E10" s="14"/>
      <c r="F10" s="23" t="s">
        <v>239</v>
      </c>
      <c r="G10" s="23" t="s">
        <v>240</v>
      </c>
      <c r="H10" s="23"/>
      <c r="I10" s="23" t="s">
        <v>202</v>
      </c>
      <c r="J10" s="23">
        <v>4</v>
      </c>
      <c r="K10" s="23"/>
      <c r="L10" s="23"/>
      <c r="M10" s="14"/>
      <c r="N10" s="39" t="str">
        <f>IF('NIFTY Calculation'!$H$15="Eligible",'NIFTY Calculation'!$B$15,"")</f>
        <v/>
      </c>
      <c r="O10" s="39" t="str">
        <f>IF('NIFTY Calculation'!$P$15="Eligible",'NIFTY Calculation'!$J$15,"")</f>
        <v/>
      </c>
      <c r="P10" s="39" t="str">
        <f>IF('NIFTY Calculation'!$H$49="Eligible",'NIFTY Calculation'!$B$49,"")</f>
        <v/>
      </c>
      <c r="Q10" s="39" t="str">
        <f>IF('NIFTY Calculation'!$P$49="Eligible",'NIFTY Calculation'!$J$49,"")</f>
        <v/>
      </c>
    </row>
    <row r="11" spans="1:17">
      <c r="A11" s="8" t="s">
        <v>241</v>
      </c>
      <c r="B11" s="12">
        <v>0.0015</v>
      </c>
      <c r="C11" s="10" t="s">
        <v>242</v>
      </c>
      <c r="D11" s="10" t="s">
        <v>243</v>
      </c>
      <c r="E11" s="14"/>
      <c r="F11" s="23" t="s">
        <v>244</v>
      </c>
      <c r="G11" s="23"/>
      <c r="H11" s="23"/>
      <c r="I11" s="23" t="s">
        <v>245</v>
      </c>
      <c r="J11" s="23">
        <v>5</v>
      </c>
      <c r="K11" s="23"/>
      <c r="L11" s="23"/>
      <c r="M11" s="14"/>
      <c r="N11" s="39" t="str">
        <f>IF('NIFTY Calculation'!$H$15="Eligible",'NIFTY Calculation'!$B$15,"")</f>
        <v/>
      </c>
      <c r="O11" s="39" t="str">
        <f>IF('NIFTY Calculation'!$P$15="Eligible",'NIFTY Calculation'!$J$15,"")</f>
        <v/>
      </c>
      <c r="P11" s="39" t="str">
        <f>IF('NIFTY Calculation'!$H$49="Eligible",'NIFTY Calculation'!$B$49,"")</f>
        <v/>
      </c>
      <c r="Q11" s="39" t="str">
        <f>IF('NIFTY Calculation'!$P$49="Eligible",'NIFTY Calculation'!$J$49,"")</f>
        <v/>
      </c>
    </row>
    <row r="12" spans="1:17">
      <c r="A12" s="8" t="s">
        <v>246</v>
      </c>
      <c r="B12" s="11">
        <v>50</v>
      </c>
      <c r="C12" s="10" t="s">
        <v>247</v>
      </c>
      <c r="D12" s="10" t="s">
        <v>248</v>
      </c>
      <c r="E12" s="14"/>
      <c r="F12" s="23"/>
      <c r="G12" s="23"/>
      <c r="H12" s="23"/>
      <c r="I12" s="23"/>
      <c r="J12" s="23">
        <v>6</v>
      </c>
      <c r="K12" s="23"/>
      <c r="L12" s="23"/>
      <c r="M12" s="14"/>
      <c r="N12" s="39" t="str">
        <f>IF('NIFTY Calculation'!$H$15="Eligible",'NIFTY Calculation'!$B$15,"")</f>
        <v/>
      </c>
      <c r="O12" s="39" t="str">
        <f>IF('NIFTY Calculation'!$P$15="Eligible",'NIFTY Calculation'!$J$15,"")</f>
        <v/>
      </c>
      <c r="P12" s="39" t="str">
        <f>IF('NIFTY Calculation'!$H$49="Eligible",'NIFTY Calculation'!$B$49,"")</f>
        <v/>
      </c>
      <c r="Q12" s="39" t="str">
        <f>IF('NIFTY Calculation'!$P$49="Eligible",'NIFTY Calculation'!$J$49,"")</f>
        <v/>
      </c>
    </row>
    <row r="13" spans="1:17">
      <c r="A13" s="8" t="s">
        <v>249</v>
      </c>
      <c r="B13" s="11">
        <v>10</v>
      </c>
      <c r="C13" s="10" t="s">
        <v>250</v>
      </c>
      <c r="D13" s="10" t="s">
        <v>251</v>
      </c>
      <c r="E13" s="14"/>
      <c r="F13" s="23"/>
      <c r="G13" s="23"/>
      <c r="H13" s="23"/>
      <c r="I13" s="23"/>
      <c r="J13" s="23">
        <v>7</v>
      </c>
      <c r="K13" s="23"/>
      <c r="L13" s="23"/>
      <c r="M13" s="14"/>
      <c r="N13" s="39" t="str">
        <f>IF('NIFTY Calculation'!$H$15="Eligible",'NIFTY Calculation'!$B$15,"")</f>
        <v/>
      </c>
      <c r="O13" s="39" t="str">
        <f>IF('NIFTY Calculation'!$P$15="Eligible",'NIFTY Calculation'!$J$15,"")</f>
        <v/>
      </c>
      <c r="P13" s="39" t="str">
        <f>IF('NIFTY Calculation'!$H$49="Eligible",'NIFTY Calculation'!$B$49,"")</f>
        <v/>
      </c>
      <c r="Q13" s="39" t="str">
        <f>IF('NIFTY Calculation'!$P$49="Eligible",'NIFTY Calculation'!$J$49,"")</f>
        <v/>
      </c>
    </row>
    <row r="14" spans="1:17">
      <c r="A14" s="8" t="s">
        <v>252</v>
      </c>
      <c r="B14" s="9">
        <v>0.9</v>
      </c>
      <c r="C14" s="10" t="s">
        <v>253</v>
      </c>
      <c r="D14" s="10" t="s">
        <v>254</v>
      </c>
      <c r="E14" s="14"/>
      <c r="F14" s="23"/>
      <c r="G14" s="23"/>
      <c r="H14" s="23"/>
      <c r="I14" s="23"/>
      <c r="J14" s="23">
        <v>8</v>
      </c>
      <c r="K14" s="23"/>
      <c r="L14" s="23"/>
      <c r="M14" s="14"/>
      <c r="N14" s="39" t="str">
        <f>IF('NIFTY Calculation'!$H$15="Eligible",'NIFTY Calculation'!$B$15,"")</f>
        <v/>
      </c>
      <c r="O14" s="39" t="str">
        <f>IF('NIFTY Calculation'!$P$15="Eligible",'NIFTY Calculation'!$J$15,"")</f>
        <v/>
      </c>
      <c r="P14" s="39" t="str">
        <f>IF('NIFTY Calculation'!$H$49="Eligible",'NIFTY Calculation'!$B$49,"")</f>
        <v/>
      </c>
      <c r="Q14" s="39" t="str">
        <f>IF('NIFTY Calculation'!$P$49="Eligible",'NIFTY Calculation'!$J$49,"")</f>
        <v/>
      </c>
    </row>
    <row r="15" spans="1:17">
      <c r="A15" s="8" t="s">
        <v>255</v>
      </c>
      <c r="B15" s="9">
        <v>0.25</v>
      </c>
      <c r="C15" s="10" t="s">
        <v>256</v>
      </c>
      <c r="D15" s="10" t="s">
        <v>257</v>
      </c>
      <c r="E15" s="14"/>
      <c r="F15" s="23"/>
      <c r="G15" s="23"/>
      <c r="H15" s="23"/>
      <c r="I15" s="23"/>
      <c r="J15" s="23">
        <v>9</v>
      </c>
      <c r="K15" s="23"/>
      <c r="L15" s="23"/>
      <c r="M15" s="14"/>
      <c r="N15" s="39" t="str">
        <f>IF('NIFTY Calculation'!$H$15="Eligible",'NIFTY Calculation'!$B$15,"")</f>
        <v/>
      </c>
      <c r="O15" s="39" t="str">
        <f>IF('NIFTY Calculation'!$P$15="Eligible",'NIFTY Calculation'!$J$15,"")</f>
        <v/>
      </c>
      <c r="P15" s="39" t="str">
        <f>IF('NIFTY Calculation'!$H$49="Eligible",'NIFTY Calculation'!$B$49,"")</f>
        <v/>
      </c>
      <c r="Q15" s="39" t="str">
        <f>IF('NIFTY Calculation'!$P$49="Eligible",'NIFTY Calculation'!$J$49,"")</f>
        <v/>
      </c>
    </row>
    <row r="16" spans="1:17">
      <c r="A16" s="8" t="s">
        <v>258</v>
      </c>
      <c r="B16" s="9">
        <v>1.75</v>
      </c>
      <c r="C16" s="10" t="s">
        <v>259</v>
      </c>
      <c r="D16" s="10" t="s">
        <v>260</v>
      </c>
      <c r="E16" s="14"/>
      <c r="F16" s="23"/>
      <c r="G16" s="23"/>
      <c r="H16" s="23"/>
      <c r="I16" s="23"/>
      <c r="J16" s="23">
        <v>10</v>
      </c>
      <c r="K16" s="23"/>
      <c r="L16" s="23"/>
      <c r="M16" s="14"/>
      <c r="N16" s="39" t="str">
        <f>IF('NIFTY Calculation'!$H$15="Eligible",'NIFTY Calculation'!$B$15,"")</f>
        <v/>
      </c>
      <c r="O16" s="39" t="str">
        <f>IF('NIFTY Calculation'!$P$15="Eligible",'NIFTY Calculation'!$J$15,"")</f>
        <v/>
      </c>
      <c r="P16" s="39" t="str">
        <f>IF('NIFTY Calculation'!$H$49="Eligible",'NIFTY Calculation'!$B$49,"")</f>
        <v/>
      </c>
      <c r="Q16" s="39" t="str">
        <f>IF('NIFTY Calculation'!$P$49="Eligible",'NIFTY Calculation'!$J$49,"")</f>
        <v/>
      </c>
    </row>
    <row r="17" spans="1:17">
      <c r="A17" s="8" t="s">
        <v>261</v>
      </c>
      <c r="B17" s="9">
        <v>1.1</v>
      </c>
      <c r="C17" s="10" t="s">
        <v>262</v>
      </c>
      <c r="D17" s="10" t="s">
        <v>263</v>
      </c>
      <c r="E17" s="14"/>
      <c r="F17" s="23"/>
      <c r="G17" s="23"/>
      <c r="H17" s="23"/>
      <c r="I17" s="23"/>
      <c r="J17" s="23">
        <v>11</v>
      </c>
      <c r="K17" s="23"/>
      <c r="L17" s="23"/>
      <c r="M17" s="14"/>
      <c r="N17" s="14"/>
      <c r="O17" s="14"/>
      <c r="P17" s="14"/>
      <c r="Q17" s="14"/>
    </row>
    <row r="18" spans="1:17">
      <c r="A18" s="8" t="s">
        <v>264</v>
      </c>
      <c r="B18" s="11">
        <v>0.05</v>
      </c>
      <c r="C18" s="10" t="s">
        <v>247</v>
      </c>
      <c r="D18" s="10" t="s">
        <v>265</v>
      </c>
      <c r="E18" s="14"/>
      <c r="F18" s="23"/>
      <c r="G18" s="23"/>
      <c r="H18" s="23"/>
      <c r="I18" s="23"/>
      <c r="J18" s="23">
        <v>12</v>
      </c>
      <c r="K18" s="23"/>
      <c r="L18" s="23"/>
      <c r="M18" s="14"/>
      <c r="N18" s="14"/>
      <c r="O18" s="14"/>
      <c r="P18" s="14"/>
      <c r="Q18" s="14"/>
    </row>
    <row r="19" spans="1:17">
      <c r="A19" s="8" t="s">
        <v>266</v>
      </c>
      <c r="B19" s="11">
        <v>0.1</v>
      </c>
      <c r="C19" s="10" t="s">
        <v>247</v>
      </c>
      <c r="D19" s="10" t="s">
        <v>267</v>
      </c>
      <c r="E19" s="14"/>
      <c r="F19" s="23"/>
      <c r="G19" s="23"/>
      <c r="H19" s="23"/>
      <c r="I19" s="23"/>
      <c r="J19" s="23">
        <v>13</v>
      </c>
      <c r="K19" s="23"/>
      <c r="L19" s="23"/>
      <c r="M19" s="14"/>
      <c r="N19" s="14"/>
      <c r="O19" s="14"/>
      <c r="P19" s="14"/>
      <c r="Q19" s="14"/>
    </row>
    <row r="20" spans="1:17">
      <c r="A20" s="8" t="s">
        <v>268</v>
      </c>
      <c r="B20" s="11">
        <v>3</v>
      </c>
      <c r="C20" s="10" t="s">
        <v>247</v>
      </c>
      <c r="D20" s="10" t="s">
        <v>269</v>
      </c>
      <c r="E20" s="14"/>
      <c r="F20" s="23"/>
      <c r="G20" s="23"/>
      <c r="H20" s="23"/>
      <c r="I20" s="23"/>
      <c r="J20" s="23">
        <v>14</v>
      </c>
      <c r="K20" s="23"/>
      <c r="L20" s="23"/>
      <c r="M20" s="14"/>
      <c r="N20" s="14"/>
      <c r="O20" s="14"/>
      <c r="P20" s="14"/>
      <c r="Q20" s="14"/>
    </row>
    <row r="21" spans="1:17">
      <c r="A21" s="8" t="s">
        <v>270</v>
      </c>
      <c r="B21" s="11">
        <v>1</v>
      </c>
      <c r="C21" s="10" t="s">
        <v>271</v>
      </c>
      <c r="D21" s="10" t="s">
        <v>272</v>
      </c>
      <c r="E21" s="14"/>
      <c r="F21" s="23"/>
      <c r="G21" s="23"/>
      <c r="H21" s="23"/>
      <c r="I21" s="23"/>
      <c r="J21" s="23">
        <v>15</v>
      </c>
      <c r="K21" s="23"/>
      <c r="L21" s="23"/>
      <c r="M21" s="14"/>
      <c r="N21" s="14"/>
      <c r="O21" s="14"/>
      <c r="P21" s="14"/>
      <c r="Q21" s="14"/>
    </row>
    <row r="22" spans="1:17">
      <c r="A22" s="8" t="s">
        <v>273</v>
      </c>
      <c r="B22" s="11">
        <v>1</v>
      </c>
      <c r="C22" s="10" t="s">
        <v>274</v>
      </c>
      <c r="D22" s="10" t="s">
        <v>275</v>
      </c>
      <c r="E22" s="14"/>
      <c r="F22" s="23"/>
      <c r="G22" s="23"/>
      <c r="H22" s="23"/>
      <c r="I22" s="23"/>
      <c r="J22" s="23">
        <v>16</v>
      </c>
      <c r="K22" s="23"/>
      <c r="L22" s="23"/>
      <c r="M22" s="14"/>
      <c r="N22" s="14"/>
      <c r="O22" s="14"/>
      <c r="P22" s="14"/>
      <c r="Q22" s="14"/>
    </row>
    <row r="23" spans="1:17">
      <c r="A23" s="8" t="s">
        <v>169</v>
      </c>
      <c r="B23" s="13">
        <v>320000</v>
      </c>
      <c r="C23" s="10" t="s">
        <v>276</v>
      </c>
      <c r="D23" s="10" t="s">
        <v>277</v>
      </c>
      <c r="E23" s="14"/>
      <c r="F23" s="23"/>
      <c r="G23" s="23"/>
      <c r="H23" s="23"/>
      <c r="I23" s="23"/>
      <c r="J23" s="23">
        <v>17</v>
      </c>
      <c r="K23" s="23"/>
      <c r="L23" s="23"/>
      <c r="M23" s="14"/>
      <c r="N23" s="14"/>
      <c r="O23" s="14"/>
      <c r="P23" s="14"/>
      <c r="Q23" s="14"/>
    </row>
    <row r="24" spans="1:17">
      <c r="A24" s="8" t="s">
        <v>278</v>
      </c>
      <c r="B24" s="11">
        <v>200</v>
      </c>
      <c r="C24" s="10" t="s">
        <v>279</v>
      </c>
      <c r="D24" s="10" t="s">
        <v>280</v>
      </c>
      <c r="E24" s="14"/>
      <c r="F24" s="23"/>
      <c r="G24" s="23"/>
      <c r="H24" s="23"/>
      <c r="I24" s="23"/>
      <c r="J24" s="23">
        <v>18</v>
      </c>
      <c r="K24" s="23"/>
      <c r="L24" s="23"/>
      <c r="M24" s="14"/>
      <c r="N24" s="14"/>
      <c r="O24" s="14"/>
      <c r="P24" s="14"/>
      <c r="Q24" s="14"/>
    </row>
    <row r="25" spans="1:17">
      <c r="A25" s="14"/>
      <c r="B25" s="14"/>
      <c r="C25" s="14"/>
      <c r="D25" s="14"/>
      <c r="E25" s="14"/>
      <c r="F25" s="23"/>
      <c r="G25" s="23"/>
      <c r="H25" s="23"/>
      <c r="I25" s="23"/>
      <c r="J25" s="23">
        <v>19</v>
      </c>
      <c r="K25" s="23"/>
      <c r="L25" s="23"/>
      <c r="M25" s="14"/>
      <c r="N25" s="14"/>
      <c r="O25" s="14"/>
      <c r="P25" s="14"/>
      <c r="Q25" s="14"/>
    </row>
    <row r="26" ht="17.55" spans="1:17">
      <c r="A26" s="14"/>
      <c r="B26" s="14"/>
      <c r="C26" s="14"/>
      <c r="D26" s="14"/>
      <c r="E26" s="14"/>
      <c r="F26" s="23"/>
      <c r="G26" s="23"/>
      <c r="H26" s="23"/>
      <c r="I26" s="23"/>
      <c r="J26" s="23">
        <v>20</v>
      </c>
      <c r="K26" s="23"/>
      <c r="L26" s="23"/>
      <c r="M26" s="14"/>
      <c r="N26" s="14"/>
      <c r="O26" s="14"/>
      <c r="P26" s="14"/>
      <c r="Q26" s="14"/>
    </row>
    <row r="27" ht="17.55" spans="1:17">
      <c r="A27" s="15" t="s">
        <v>281</v>
      </c>
      <c r="B27" s="16"/>
      <c r="C27" s="16"/>
      <c r="D27" s="17"/>
      <c r="E27" s="14"/>
      <c r="F27" s="24" t="s">
        <v>282</v>
      </c>
      <c r="G27" s="25"/>
      <c r="H27" s="25"/>
      <c r="I27" s="25"/>
      <c r="J27" s="25">
        <v>21</v>
      </c>
      <c r="K27" s="25"/>
      <c r="L27" s="25"/>
      <c r="M27" s="16"/>
      <c r="N27" s="16"/>
      <c r="O27" s="16"/>
      <c r="P27" s="16"/>
      <c r="Q27" s="17"/>
    </row>
    <row r="28" ht="24" customHeight="1" spans="1:17">
      <c r="A28" s="7" t="s">
        <v>283</v>
      </c>
      <c r="B28" s="7" t="s">
        <v>284</v>
      </c>
      <c r="C28" s="7" t="s">
        <v>285</v>
      </c>
      <c r="D28" s="7" t="s">
        <v>286</v>
      </c>
      <c r="E28" s="14"/>
      <c r="F28" s="26" t="s">
        <v>287</v>
      </c>
      <c r="G28" s="27"/>
      <c r="H28" s="27"/>
      <c r="I28" s="27"/>
      <c r="J28" s="27">
        <v>22</v>
      </c>
      <c r="K28" s="27"/>
      <c r="L28" s="27"/>
      <c r="M28" s="40"/>
      <c r="N28" s="40"/>
      <c r="O28" s="40"/>
      <c r="P28" s="40"/>
      <c r="Q28" s="47"/>
    </row>
    <row r="29" ht="24" customHeight="1" spans="1:17">
      <c r="A29" s="18" t="s">
        <v>288</v>
      </c>
      <c r="B29" s="19">
        <v>46283</v>
      </c>
      <c r="C29" s="18" t="s">
        <v>289</v>
      </c>
      <c r="D29" s="18" t="s">
        <v>290</v>
      </c>
      <c r="E29" s="14"/>
      <c r="F29" s="28"/>
      <c r="G29" s="29"/>
      <c r="H29" s="29"/>
      <c r="I29" s="29"/>
      <c r="J29" s="29">
        <v>23</v>
      </c>
      <c r="K29" s="29"/>
      <c r="L29" s="29"/>
      <c r="M29" s="41"/>
      <c r="N29" s="41"/>
      <c r="O29" s="41"/>
      <c r="P29" s="41"/>
      <c r="Q29" s="48"/>
    </row>
    <row r="30" ht="24" customHeight="1" spans="1:17">
      <c r="A30" s="18" t="s">
        <v>291</v>
      </c>
      <c r="B30" s="19">
        <v>46283</v>
      </c>
      <c r="C30" s="18" t="s">
        <v>292</v>
      </c>
      <c r="D30" s="18" t="s">
        <v>293</v>
      </c>
      <c r="E30" s="14"/>
      <c r="F30" s="30"/>
      <c r="G30" s="31"/>
      <c r="H30" s="31"/>
      <c r="I30" s="31"/>
      <c r="J30" s="31">
        <v>24</v>
      </c>
      <c r="K30" s="31"/>
      <c r="L30" s="31"/>
      <c r="M30" s="42"/>
      <c r="N30" s="42"/>
      <c r="O30" s="42"/>
      <c r="P30" s="42"/>
      <c r="Q30" s="49"/>
    </row>
    <row r="31" spans="1:17">
      <c r="A31" s="14"/>
      <c r="B31" s="14"/>
      <c r="C31" s="14"/>
      <c r="D31" s="14"/>
      <c r="E31" s="14"/>
      <c r="F31" s="23"/>
      <c r="G31" s="23"/>
      <c r="H31" s="23"/>
      <c r="I31" s="23"/>
      <c r="J31" s="23">
        <v>25</v>
      </c>
      <c r="K31" s="23"/>
      <c r="L31" s="23"/>
      <c r="M31" s="14"/>
      <c r="N31" s="14"/>
      <c r="O31" s="14"/>
      <c r="P31" s="14"/>
      <c r="Q31" s="14"/>
    </row>
    <row r="32" spans="1:17">
      <c r="A32" s="14"/>
      <c r="B32" s="14"/>
      <c r="C32" s="14"/>
      <c r="D32" s="14"/>
      <c r="E32" s="14"/>
      <c r="F32" s="23"/>
      <c r="G32" s="23"/>
      <c r="H32" s="23"/>
      <c r="I32" s="23"/>
      <c r="J32" s="23">
        <v>26</v>
      </c>
      <c r="K32" s="23"/>
      <c r="L32" s="23"/>
      <c r="M32" s="14"/>
      <c r="N32" s="14"/>
      <c r="O32" s="14"/>
      <c r="P32" s="14"/>
      <c r="Q32" s="14"/>
    </row>
    <row r="33" spans="1:17">
      <c r="A33" s="14"/>
      <c r="B33" s="14"/>
      <c r="C33" s="14"/>
      <c r="D33" s="14"/>
      <c r="E33" s="14"/>
      <c r="F33" s="23"/>
      <c r="G33" s="23"/>
      <c r="H33" s="23"/>
      <c r="I33" s="23"/>
      <c r="J33" s="23">
        <v>27</v>
      </c>
      <c r="K33" s="23"/>
      <c r="L33" s="23"/>
      <c r="M33" s="14"/>
      <c r="N33" s="14"/>
      <c r="O33" s="14"/>
      <c r="P33" s="14"/>
      <c r="Q33" s="14"/>
    </row>
    <row r="34" spans="1:17">
      <c r="A34" s="14"/>
      <c r="B34" s="14"/>
      <c r="C34" s="14"/>
      <c r="D34" s="14"/>
      <c r="E34" s="14"/>
      <c r="F34" s="23"/>
      <c r="G34" s="23"/>
      <c r="H34" s="23"/>
      <c r="I34" s="23"/>
      <c r="J34" s="23">
        <v>28</v>
      </c>
      <c r="K34" s="23"/>
      <c r="L34" s="23"/>
      <c r="M34" s="14"/>
      <c r="N34" s="14"/>
      <c r="O34" s="14"/>
      <c r="P34" s="14"/>
      <c r="Q34" s="14"/>
    </row>
    <row r="35" spans="1:17">
      <c r="A35" s="14"/>
      <c r="B35" s="14"/>
      <c r="C35" s="14"/>
      <c r="D35" s="14"/>
      <c r="E35" s="14"/>
      <c r="F35" s="23"/>
      <c r="G35" s="23"/>
      <c r="H35" s="23"/>
      <c r="I35" s="23"/>
      <c r="J35" s="23">
        <v>29</v>
      </c>
      <c r="K35" s="23"/>
      <c r="L35" s="23"/>
      <c r="M35" s="14"/>
      <c r="N35" s="14"/>
      <c r="O35" s="14"/>
      <c r="P35" s="14"/>
      <c r="Q35" s="14"/>
    </row>
    <row r="36" spans="1:17">
      <c r="A36" s="14"/>
      <c r="B36" s="14"/>
      <c r="C36" s="14"/>
      <c r="D36" s="14"/>
      <c r="E36" s="14"/>
      <c r="F36" s="23"/>
      <c r="G36" s="23"/>
      <c r="H36" s="23"/>
      <c r="I36" s="23"/>
      <c r="J36" s="23">
        <v>30</v>
      </c>
      <c r="K36" s="23"/>
      <c r="L36" s="23"/>
      <c r="M36" s="14"/>
      <c r="N36" s="14"/>
      <c r="O36" s="14"/>
      <c r="P36" s="14"/>
      <c r="Q36" s="14"/>
    </row>
    <row r="37" spans="1:17">
      <c r="A37" s="14"/>
      <c r="B37" s="14"/>
      <c r="C37" s="14"/>
      <c r="D37" s="14"/>
      <c r="E37" s="14"/>
      <c r="F37" s="14"/>
      <c r="G37" s="14"/>
      <c r="H37" s="14"/>
      <c r="I37" s="14"/>
      <c r="J37" s="14"/>
      <c r="K37" s="14"/>
      <c r="L37" s="14"/>
      <c r="M37" s="14"/>
      <c r="N37" s="14"/>
      <c r="O37" s="14"/>
      <c r="P37" s="14"/>
      <c r="Q37" s="14"/>
    </row>
    <row r="38" spans="1:17">
      <c r="A38" s="14"/>
      <c r="B38" s="14"/>
      <c r="C38" s="14"/>
      <c r="D38" s="14"/>
      <c r="E38" s="14"/>
      <c r="F38" s="14"/>
      <c r="G38" s="14"/>
      <c r="H38" s="14"/>
      <c r="I38" s="14"/>
      <c r="J38" s="14"/>
      <c r="K38" s="14"/>
      <c r="L38" s="14"/>
      <c r="M38" s="14"/>
      <c r="N38" s="14"/>
      <c r="O38" s="14"/>
      <c r="P38" s="14"/>
      <c r="Q38" s="14"/>
    </row>
    <row r="39" spans="1:17">
      <c r="A39" s="14"/>
      <c r="B39" s="14"/>
      <c r="C39" s="14"/>
      <c r="D39" s="14"/>
      <c r="E39" s="14"/>
      <c r="F39" s="14"/>
      <c r="G39" s="14"/>
      <c r="H39" s="14"/>
      <c r="I39" s="14"/>
      <c r="J39" s="14"/>
      <c r="K39" s="14"/>
      <c r="L39" s="14"/>
      <c r="M39" s="14"/>
      <c r="N39" s="14"/>
      <c r="O39" s="14"/>
      <c r="P39" s="14"/>
      <c r="Q39" s="14"/>
    </row>
    <row r="40" spans="1:17">
      <c r="A40" s="14"/>
      <c r="B40" s="14"/>
      <c r="C40" s="14"/>
      <c r="D40" s="14"/>
      <c r="E40" s="14"/>
      <c r="F40" s="14"/>
      <c r="G40" s="14"/>
      <c r="H40" s="14"/>
      <c r="I40" s="14"/>
      <c r="J40" s="14"/>
      <c r="K40" s="14"/>
      <c r="L40" s="14"/>
      <c r="M40" s="14"/>
      <c r="N40" s="14"/>
      <c r="O40" s="14"/>
      <c r="P40" s="14"/>
      <c r="Q40" s="14"/>
    </row>
    <row r="41" ht="20" customHeight="1" spans="1:17">
      <c r="A41" s="1"/>
      <c r="B41" s="1"/>
      <c r="C41" s="20" t="s">
        <v>47</v>
      </c>
      <c r="D41" s="20"/>
      <c r="E41" s="20"/>
      <c r="F41" s="20"/>
      <c r="G41" s="20"/>
      <c r="H41" s="20"/>
      <c r="I41" s="20"/>
      <c r="J41" s="20"/>
      <c r="K41" s="20"/>
      <c r="L41" s="20"/>
      <c r="M41" s="20"/>
      <c r="N41" s="20"/>
      <c r="O41" s="20"/>
      <c r="P41" s="1"/>
      <c r="Q41" s="1"/>
    </row>
    <row r="42" ht="20" customHeight="1" spans="1:17">
      <c r="A42" s="1"/>
      <c r="B42" s="1"/>
      <c r="C42" s="21" t="s">
        <v>48</v>
      </c>
      <c r="D42" s="21"/>
      <c r="E42" s="21"/>
      <c r="F42" s="21"/>
      <c r="G42" s="21"/>
      <c r="H42" s="21"/>
      <c r="I42" s="21"/>
      <c r="J42" s="21"/>
      <c r="K42" s="21"/>
      <c r="L42" s="21"/>
      <c r="M42" s="21"/>
      <c r="N42" s="21"/>
      <c r="O42" s="21"/>
      <c r="P42" s="1"/>
      <c r="Q42" s="1"/>
    </row>
    <row r="43" ht="20" customHeight="1" spans="1:17">
      <c r="A43" s="1"/>
      <c r="B43" s="1"/>
      <c r="C43" s="21" t="s">
        <v>49</v>
      </c>
      <c r="D43" s="21"/>
      <c r="E43" s="21"/>
      <c r="F43" s="21"/>
      <c r="G43" s="21"/>
      <c r="H43" s="21"/>
      <c r="I43" s="21"/>
      <c r="J43" s="21"/>
      <c r="K43" s="21"/>
      <c r="L43" s="21"/>
      <c r="M43" s="21"/>
      <c r="N43" s="21"/>
      <c r="O43" s="21"/>
      <c r="P43" s="1"/>
      <c r="Q43" s="1"/>
    </row>
    <row r="44" ht="20" customHeight="1" spans="1:17">
      <c r="A44" s="1"/>
      <c r="B44" s="1"/>
      <c r="C44" s="22" t="s">
        <v>50</v>
      </c>
      <c r="D44" s="22"/>
      <c r="E44" s="22"/>
      <c r="F44" s="22"/>
      <c r="G44" s="22"/>
      <c r="H44" s="22"/>
      <c r="I44" s="22"/>
      <c r="J44" s="22"/>
      <c r="K44" s="22"/>
      <c r="L44" s="22"/>
      <c r="M44" s="22"/>
      <c r="N44" s="22"/>
      <c r="O44" s="22"/>
      <c r="P44" s="1"/>
      <c r="Q44" s="1"/>
    </row>
  </sheetData>
  <sheetProtection algorithmName="SHA-512" hashValue="dagoYAFbTvQTIV2bU7s/+D48ozv71IobKqTcrmmooBOF3p33u8Pvz2HDBE01T42/RnJoK67uKE0/z5vHqwy0Cg==" saltValue="h4RPJ9O3LLNMMJe2mk60eQ==" spinCount="100000" sheet="1" objects="1"/>
  <mergeCells count="12">
    <mergeCell ref="C1:L1"/>
    <mergeCell ref="C2:L2"/>
    <mergeCell ref="C3:L3"/>
    <mergeCell ref="A5:Q5"/>
    <mergeCell ref="A27:D27"/>
    <mergeCell ref="F27:Q27"/>
    <mergeCell ref="C41:O41"/>
    <mergeCell ref="C42:O42"/>
    <mergeCell ref="C43:O43"/>
    <mergeCell ref="C44:O44"/>
    <mergeCell ref="M1:Q3"/>
    <mergeCell ref="F28:Q30"/>
  </mergeCells>
  <pageMargins left="0.7" right="0.7" top="0.75" bottom="0.75" header="0.3" footer="0.3"/>
  <headerFooter/>
  <ignoredErrors>
    <ignoredError sqref="C14:C17 C11"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Home</vt:lpstr>
      <vt:lpstr>NIFTY Calculation</vt:lpstr>
      <vt:lpstr>NIFTY Orders</vt:lpstr>
      <vt:lpstr>NIFTY Tracking</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subash</cp:lastModifiedBy>
  <dcterms:created xsi:type="dcterms:W3CDTF">2026-09-20T09:08:00Z</dcterms:created>
  <dcterms:modified xsi:type="dcterms:W3CDTF">2026-09-23T17:07:09Z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583C18C8CDEA3CFE2FA1B16AB2D1A56C_43</vt:lpwstr>
  </property>
  <property fmtid="{D5CDD505-2E9C-101B-9397-08002B2CF9AE}" pid="3" name="KSOProductBuildVer">
    <vt:lpwstr>1033-12.1.23155.23155</vt:lpwstr>
  </property>
</Properties>
</file>