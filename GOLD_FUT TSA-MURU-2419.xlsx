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00" firstSheet="5" activeTab="8"/>
  </bookViews>
  <sheets>
    <sheet name="Home" sheetId="1" r:id="rId1"/>
    <sheet name="GOLDTEN Calculation" sheetId="2" r:id="rId2"/>
    <sheet name="GOLDTEN Orders" sheetId="3" r:id="rId3"/>
    <sheet name="GOLDTEN Tracking" sheetId="4" r:id="rId4"/>
    <sheet name="GOLDM Calculation" sheetId="5" r:id="rId5"/>
    <sheet name="GOLDM Orders" sheetId="6" r:id="rId6"/>
    <sheet name="GOLDM Tracking" sheetId="7" r:id="rId7"/>
    <sheet name="GOLD Calculation" sheetId="8" r:id="rId8"/>
    <sheet name="GOLD Orders" sheetId="9" r:id="rId9"/>
    <sheet name="GOLD Tracking" sheetId="10" r:id="rId10"/>
    <sheet name="Settings" sheetId="11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<sst xmlns="http://schemas.openxmlformats.org/spreadsheetml/2006/main" count="2390" uniqueCount="252">
  <si>
    <t>TRADING SECRETS ACADEMY PVT LTD</t>
  </si>
  <si>
    <t>GOLDTEN  |  GOLDM  |  GOLD</t>
  </si>
  <si>
    <t>Quality, Trust, Consistency &amp; Ethics</t>
  </si>
  <si>
    <t>MCX GOLD FUTURES — PROFESSIONAL TRADING WORKBOOK</t>
  </si>
  <si>
    <t>MCX GOLDTEN</t>
  </si>
  <si>
    <t>MCX GOLDM</t>
  </si>
  <si>
    <t>MCX GOLD</t>
  </si>
  <si>
    <t>Open Calculation</t>
  </si>
  <si>
    <t>Open Orders</t>
  </si>
  <si>
    <t>Open Tracking</t>
  </si>
  <si>
    <t>10</t>
  </si>
  <si>
    <t>PORTFOLIO OVERVIEW</t>
  </si>
  <si>
    <t>Capital Used (₹)</t>
  </si>
  <si>
    <t>Total Profit / Loss (₹)</t>
  </si>
  <si>
    <t>Portfolio Return</t>
  </si>
  <si>
    <t>Completed Trades</t>
  </si>
  <si>
    <t>Winning Trades</t>
  </si>
  <si>
    <t>PRODUCT STATUS</t>
  </si>
  <si>
    <t>Product</t>
  </si>
  <si>
    <t>Active Contract</t>
  </si>
  <si>
    <t>Next Date</t>
  </si>
  <si>
    <t>Buy Setup</t>
  </si>
  <si>
    <t>Buy Status</t>
  </si>
  <si>
    <t>Sell Setup</t>
  </si>
  <si>
    <t>Sell Status</t>
  </si>
  <si>
    <t>Total P&amp;L (₹)</t>
  </si>
  <si>
    <t>Return</t>
  </si>
  <si>
    <t>DAILY WORKFLOW
1. Calculation: enter contract and four-day data.
2. Orders: select setup/status and enter market prices.
3. Tracking: record trade and exit results.</t>
  </si>
  <si>
    <t>INPUT COLOUR GUIDE</t>
  </si>
  <si>
    <t>BLUE
Select from dropdown</t>
  </si>
  <si>
    <t>YELLOW
Enter manually</t>
  </si>
  <si>
    <t>GREY / WHITE
Calculated automatically</t>
  </si>
  <si>
    <t>GREEN / RED
Buy / Sell workflow</t>
  </si>
  <si>
    <t>This workbook is a calculation and workflow tool. Verify exchange rules, broker requirements and live market conditions before placing any order.</t>
  </si>
  <si>
    <t>TRADING SECRETS ACADEMY PVT LTD  |  Quality, Trust, Consistency &amp; Ethics</t>
  </si>
  <si>
    <t>Office Support: Mrs. Sathyavani +91 90425 87730 | Mrs. Suganya +91 80569 25382</t>
  </si>
  <si>
    <t>Calculations &amp; Live Market Support: Mr. Vanaraja +91 7200575175 | Mr. Gokul +91 7200575154</t>
  </si>
  <si>
    <t>Registered: Sivaganga 630611 | Head Office: West Tambaram, Chennai 600045</t>
  </si>
  <si>
    <t>MCX GOLDTEN
CALCULATION</t>
  </si>
  <si>
    <t>CALCULATION &amp; TRADING LEVELS</t>
  </si>
  <si>
    <t>CONTRACT &amp; TRADING DATE INPUTS</t>
  </si>
  <si>
    <t>Next Trading Date</t>
  </si>
  <si>
    <t>Contract 1</t>
  </si>
  <si>
    <t>SEP</t>
  </si>
  <si>
    <t>Contract 1 Expiry</t>
  </si>
  <si>
    <t>Contract 2</t>
  </si>
  <si>
    <t>OCT</t>
  </si>
  <si>
    <t>Contract 2 Expiry</t>
  </si>
  <si>
    <t>Switch Date</t>
  </si>
  <si>
    <t>Selected Contract</t>
  </si>
  <si>
    <t>FOUR-DAY HIGH / LOW INPUTS</t>
  </si>
  <si>
    <t>Day</t>
  </si>
  <si>
    <t>Date</t>
  </si>
  <si>
    <t>High</t>
  </si>
  <si>
    <t>Low</t>
  </si>
  <si>
    <t>Summary Level</t>
  </si>
  <si>
    <t>Value</t>
  </si>
  <si>
    <t>Day 01</t>
  </si>
  <si>
    <t>4DHH</t>
  </si>
  <si>
    <t>Day 02</t>
  </si>
  <si>
    <t>4DLL</t>
  </si>
  <si>
    <t>Day 03</t>
  </si>
  <si>
    <t>2DHH</t>
  </si>
  <si>
    <t>Day 04</t>
  </si>
  <si>
    <t>2DLL</t>
  </si>
  <si>
    <t>NORMAL BUY</t>
  </si>
  <si>
    <t>NORMAL SELL</t>
  </si>
  <si>
    <t>Entry</t>
  </si>
  <si>
    <t>Target</t>
  </si>
  <si>
    <t>Stoploss 1</t>
  </si>
  <si>
    <t>Stoploss 2</t>
  </si>
  <si>
    <t>NORMAL CALCULATION LEVELS — AUTO-LINKED TO ORDERS</t>
  </si>
  <si>
    <t>Setup</t>
  </si>
  <si>
    <t>Order Date</t>
  </si>
  <si>
    <t>Contract</t>
  </si>
  <si>
    <t>Trade</t>
  </si>
  <si>
    <t>Normal Buy Levels</t>
  </si>
  <si>
    <t>Buy</t>
  </si>
  <si>
    <t>Normal Sell Levels</t>
  </si>
  <si>
    <t>Sell</t>
  </si>
  <si>
    <t>GAP-UP BUY &amp; GAP-DOWN SELL LEVELS</t>
  </si>
  <si>
    <t>GAP-UP BUY</t>
  </si>
  <si>
    <t>GAP-DOWN SELL</t>
  </si>
  <si>
    <t>First 15-Minute High</t>
  </si>
  <si>
    <t>First 15-Minute Low</t>
  </si>
  <si>
    <t>GAP CALCULATION LEVELS — AUTO-LINKED TO ORDERS</t>
  </si>
  <si>
    <t>Gap result cells stay blank until the corresponding first 15-minute value is entered.</t>
  </si>
  <si>
    <t>Gap Up Buy Levels</t>
  </si>
  <si>
    <t>Gap Down Sell Levels</t>
  </si>
  <si>
    <t>LEGEND:  Yellow = manual input  |  Blue/grey = calculated  |  Green = Buy  |  Red = Sell</t>
  </si>
  <si>
    <t>MCX GOLDTEN
ORDERS</t>
  </si>
  <si>
    <t>ORDER SELECTION, MISSED CHECKS &amp; TICKETS</t>
  </si>
  <si>
    <t>Number of Lots</t>
  </si>
  <si>
    <t>Market Opening Price</t>
  </si>
  <si>
    <t>First 10-Minute High</t>
  </si>
  <si>
    <t>Trading Date</t>
  </si>
  <si>
    <t>First 10-Minute Low</t>
  </si>
  <si>
    <t>Input Status</t>
  </si>
  <si>
    <t>No Holdings</t>
  </si>
  <si>
    <t>Sell Holding</t>
  </si>
  <si>
    <t>Target Triggered</t>
  </si>
  <si>
    <t>SOURCE LEVELS FROM MATCHING CALCULATION SHEET</t>
  </si>
  <si>
    <t>SL1</t>
  </si>
  <si>
    <t>SL2</t>
  </si>
  <si>
    <t>Availability</t>
  </si>
  <si>
    <t>Normal Buy</t>
  </si>
  <si>
    <t>Normal Sell</t>
  </si>
  <si>
    <t>Gap Up Buy</t>
  </si>
  <si>
    <t>Gap Down Sell</t>
  </si>
  <si>
    <t>SELECTED TRADING LEVELS &amp; STATUS</t>
  </si>
  <si>
    <t>Status</t>
  </si>
  <si>
    <t>Selected Setup</t>
  </si>
  <si>
    <t>Check</t>
  </si>
  <si>
    <t>Order Direction</t>
  </si>
  <si>
    <t>Compare Input</t>
  </si>
  <si>
    <t>Selected Level</t>
  </si>
  <si>
    <t>Result</t>
  </si>
  <si>
    <t>Instruction</t>
  </si>
  <si>
    <t>Final Value</t>
  </si>
  <si>
    <t>Buy Entry</t>
  </si>
  <si>
    <t>First 10-Min High</t>
  </si>
  <si>
    <t>Selected Buy Entry</t>
  </si>
  <si>
    <t>Sell Entry</t>
  </si>
  <si>
    <t>First 10-Min Low</t>
  </si>
  <si>
    <t>Selected Sell Entry</t>
  </si>
  <si>
    <t>Buy Target</t>
  </si>
  <si>
    <t>Opening Price</t>
  </si>
  <si>
    <t>Selected Buy Target</t>
  </si>
  <si>
    <t>Sell Target</t>
  </si>
  <si>
    <t>Selected Sell Target</t>
  </si>
  <si>
    <t>Buy SL1</t>
  </si>
  <si>
    <t>Selected Buy SL1</t>
  </si>
  <si>
    <t>Buy SL2</t>
  </si>
  <si>
    <t>Selected Buy SL2</t>
  </si>
  <si>
    <t>Sell SL1</t>
  </si>
  <si>
    <t>Selected Sell SL1</t>
  </si>
  <si>
    <t>Sell SL2</t>
  </si>
  <si>
    <t>Selected Sell SL2</t>
  </si>
  <si>
    <t>BUY TRADE ORDER TICKET</t>
  </si>
  <si>
    <t>Level</t>
  </si>
  <si>
    <t>Direction</t>
  </si>
  <si>
    <t>Order Type</t>
  </si>
  <si>
    <t>Lots</t>
  </si>
  <si>
    <t>Trigger Price</t>
  </si>
  <si>
    <t>Price</t>
  </si>
  <si>
    <t>Limit Price</t>
  </si>
  <si>
    <t>Placing Time</t>
  </si>
  <si>
    <t>Stoploss Order</t>
  </si>
  <si>
    <t>Limit Order</t>
  </si>
  <si>
    <t>SELL TRADE ORDER TICKET</t>
  </si>
  <si>
    <t>OPERATING CHECK: select A21/A22 setup, B9/B10 position source and C9/C10 trade stage. Only populated ticket rows are actionable; MISSED suppresses that order.</t>
  </si>
  <si>
    <t>OPERATING CHECK: select the setup and status first, enter opening / 10-minute prices, then act only on populated ticket rows. A MISSED result suppresses the related actionable order.</t>
  </si>
  <si>
    <t>MCX GOLDTEN
200-TRADE REGISTER</t>
  </si>
  <si>
    <t>TRADE TRACKING &amp; PERFORMANCE</t>
  </si>
  <si>
    <t>WORKFLOW
1. Enter trade details and original levels.  2. Enter requested 2-day / 4-day or gap inputs when needed.  3. Select Exit 1 and Exit 2.  4. The sheet calculates each leg and reconciles Total P&amp;L automatically.</t>
  </si>
  <si>
    <t>OVERALL PERFORMANCE</t>
  </si>
  <si>
    <t>TRADE QUALITY</t>
  </si>
  <si>
    <t>TRADING INPUTS</t>
  </si>
  <si>
    <t>Overall Profit / Loss (₹)</t>
  </si>
  <si>
    <t>Losing Trades</t>
  </si>
  <si>
    <t>Lot Size</t>
  </si>
  <si>
    <t>Return %</t>
  </si>
  <si>
    <t>Win Rate</t>
  </si>
  <si>
    <t>Open / Incomplete</t>
  </si>
  <si>
    <t>TRADE DETAILS</t>
  </si>
  <si>
    <t>STOP-LOSS RECALCULATION</t>
  </si>
  <si>
    <t>EXIT RESULTS</t>
  </si>
  <si>
    <t>FINAL RESULT</t>
  </si>
  <si>
    <t>S.No</t>
  </si>
  <si>
    <t>Trade Buy or Sell</t>
  </si>
  <si>
    <t>SL1 Required Input</t>
  </si>
  <si>
    <t>SL1 Recalculation Input</t>
  </si>
  <si>
    <t>Stoploss 1 Recalculation</t>
  </si>
  <si>
    <t>SL2 Required Input</t>
  </si>
  <si>
    <t>SL2 Recalculation Input</t>
  </si>
  <si>
    <t>Stoploss 2 Recalculation</t>
  </si>
  <si>
    <t>Gap SL1 Required Input</t>
  </si>
  <si>
    <t>Gap SL1 Input</t>
  </si>
  <si>
    <t>Gap Stoploss 1 Calculation</t>
  </si>
  <si>
    <t>Gap SL2 Required Input</t>
  </si>
  <si>
    <t>Gap SL2 Input</t>
  </si>
  <si>
    <t>Gap Stoploss 2 Calculation</t>
  </si>
  <si>
    <t>Exit 1 Selection</t>
  </si>
  <si>
    <t>Exit 1 Profit &amp; Loss</t>
  </si>
  <si>
    <t>Exit 2 Selection</t>
  </si>
  <si>
    <t>Exit 2 Profit &amp; Loss</t>
  </si>
  <si>
    <t>Total P&amp;L</t>
  </si>
  <si>
    <t>Rollover Price</t>
  </si>
  <si>
    <t>Target Hit</t>
  </si>
  <si>
    <t>Stoploss 2 Hit</t>
  </si>
  <si>
    <t>MCX GOLDM
CALCULATION</t>
  </si>
  <si>
    <t>NOV</t>
  </si>
  <si>
    <t>MCX GOLDM
ORDERS</t>
  </si>
  <si>
    <t/>
  </si>
  <si>
    <t>MCX GOLDM
200-TRADE REGISTER</t>
  </si>
  <si>
    <t>MCX GOLD
CALCULATION</t>
  </si>
  <si>
    <t>DEC</t>
  </si>
  <si>
    <t>MCX GOLD
ORDERS</t>
  </si>
  <si>
    <t>Entry Triggered</t>
  </si>
  <si>
    <t>MCX GOLD
200-TRADE REGISTER</t>
  </si>
  <si>
    <t>Rollover</t>
  </si>
  <si>
    <t>MCX GOLD FUTURES
CONTROL CENTER</t>
  </si>
  <si>
    <t>WORKBOOK SETTINGS &amp; CONTROL LISTS</t>
  </si>
  <si>
    <t>DROPDOWN LISTS</t>
  </si>
  <si>
    <t>METHOD PARAMETERS — LOCKED</t>
  </si>
  <si>
    <t>Trade Stage</t>
  </si>
  <si>
    <t>Exit 1</t>
  </si>
  <si>
    <t>Exit 2</t>
  </si>
  <si>
    <t>Buy Position</t>
  </si>
  <si>
    <t>Sell Position</t>
  </si>
  <si>
    <t>Entry Buffer</t>
  </si>
  <si>
    <t>0.12%</t>
  </si>
  <si>
    <t>Applied to breakout entry</t>
  </si>
  <si>
    <t>Target Distance</t>
  </si>
  <si>
    <t>1.50%</t>
  </si>
  <si>
    <t>Applied from selected entry</t>
  </si>
  <si>
    <t>Stoploss 1 Hit</t>
  </si>
  <si>
    <t>Gap Down Stoploss 2 Hit</t>
  </si>
  <si>
    <t>Buy Holding</t>
  </si>
  <si>
    <t>Stop-Loss Distance</t>
  </si>
  <si>
    <t>Maximum SL distance</t>
  </si>
  <si>
    <t>Stoploss 1 Triggered</t>
  </si>
  <si>
    <t>Gap Down Stoploss 1 Hit</t>
  </si>
  <si>
    <t>Gap Up Stoploss 2 Hit</t>
  </si>
  <si>
    <t>Order Price Buffer</t>
  </si>
  <si>
    <t>0.10%</t>
  </si>
  <si>
    <t>Stop-order price buffer</t>
  </si>
  <si>
    <t>Stoploss 2 Triggered</t>
  </si>
  <si>
    <t>Gap Up Stoploss 1 Hit</t>
  </si>
  <si>
    <t>Rounding Unit</t>
  </si>
  <si>
    <t>₹1</t>
  </si>
  <si>
    <t>Final order level rounding</t>
  </si>
  <si>
    <t>Contract Switch Lead</t>
  </si>
  <si>
    <t>Working days</t>
  </si>
  <si>
    <t>Before Contract 1 expiry</t>
  </si>
  <si>
    <t>VERSION HISTORY</t>
  </si>
  <si>
    <t>Version</t>
  </si>
  <si>
    <t>Owner</t>
  </si>
  <si>
    <t>Summary</t>
  </si>
  <si>
    <t>v1.0 Professional</t>
  </si>
  <si>
    <t>Trading Secrets Academy</t>
  </si>
  <si>
    <t>Professional rebuild; linked calculations, selected setups, corrected missed checks and protected formulas</t>
  </si>
  <si>
    <t>Source</t>
  </si>
  <si>
    <t>Existing workbook</t>
  </si>
  <si>
    <t>Historical inputs and trade records carried forward</t>
  </si>
  <si>
    <t>PRODUCT DEFAULTS</t>
  </si>
  <si>
    <t>Default Capital</t>
  </si>
  <si>
    <t>Tick / Round</t>
  </si>
  <si>
    <t>GOLDTEN</t>
  </si>
  <si>
    <t>GOLDM</t>
  </si>
  <si>
    <t>GOLD</t>
  </si>
  <si>
    <t>Control note: operational formulas are protected. Blue cells are dropdowns, yellow cells are manual inputs, and grey cells are calculated.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</si>
</sst>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₹&quot;#,##0"/>
    <numFmt numFmtId="177" formatCode="dd\-mmm\-yyyy"/>
    <numFmt numFmtId="178" formatCode="#,##0;[Red]\(#,##0.00\);\-"/>
    <numFmt numFmtId="179" formatCode="0.0%"/>
    <numFmt numFmtId="180" formatCode="#,##0.00;[Red]\(#,##0.00\);\-"/>
  </numFmts>
  <fonts count="41">
    <font>
      <sz val="11"/>
      <name val="Carlito"/>
      <charset val="134"/>
    </font>
    <font>
      <sz val="10"/>
      <color rgb="FF222222"/>
      <name val="Arial"/>
      <charset val="134"/>
    </font>
    <font>
      <b/>
      <sz val="15"/>
      <color rgb="FFFFFFFF"/>
      <name val="Arial"/>
      <charset val="134"/>
    </font>
    <font>
      <i/>
      <sz val="10"/>
      <color rgb="FF00B050"/>
      <name val="Arial"/>
      <charset val="134"/>
    </font>
    <font>
      <b/>
      <sz val="12"/>
      <color rgb="FF00B050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222222"/>
      <name val="Arial"/>
      <charset val="134"/>
    </font>
    <font>
      <b/>
      <sz val="9"/>
      <color rgb="FF00B050"/>
      <name val="Arial"/>
      <charset val="134"/>
    </font>
    <font>
      <sz val="8"/>
      <color rgb="FFFFFFFF"/>
      <name val="Arial"/>
      <charset val="134"/>
    </font>
    <font>
      <sz val="8"/>
      <color rgb="FFD1D5DB"/>
      <name val="Arial"/>
      <charset val="134"/>
    </font>
    <font>
      <sz val="9"/>
      <color rgb="FF222222"/>
      <name val="Arial"/>
      <charset val="134"/>
    </font>
    <font>
      <b/>
      <sz val="10"/>
      <color rgb="FF1F4E78"/>
      <name val="Arial"/>
      <charset val="134"/>
    </font>
    <font>
      <sz val="10"/>
      <color rgb="FF006100"/>
      <name val="Arial"/>
      <charset val="134"/>
    </font>
    <font>
      <b/>
      <sz val="10"/>
      <color theme="0"/>
      <name val="Arial"/>
      <charset val="134"/>
    </font>
    <font>
      <b/>
      <sz val="10"/>
      <color rgb="FF006100"/>
      <name val="Arial"/>
      <charset val="134"/>
    </font>
    <font>
      <b/>
      <sz val="10"/>
      <color rgb="FF9C0006"/>
      <name val="Arial"/>
      <charset val="134"/>
    </font>
    <font>
      <b/>
      <sz val="9"/>
      <color rgb="FF222222"/>
      <name val="Arial"/>
      <charset val="134"/>
    </font>
    <font>
      <i/>
      <sz val="9"/>
      <color rgb="FF222222"/>
      <name val="Arial"/>
      <charset val="134"/>
    </font>
    <font>
      <sz val="10"/>
      <color rgb="FF9C0006"/>
      <name val="Arial"/>
      <charset val="134"/>
    </font>
    <font>
      <b/>
      <sz val="14"/>
      <color rgb="FF006100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b/>
      <name val="Arial"/>
      <sz val="8"/>
      <color rgb="FFE6EDF3"/>
      <family val="2"/>
    </font>
  </fonts>
  <fills count="49">
    <fill>
      <patternFill patternType="none"/>
    </fill>
    <fill>
      <patternFill patternType="gray125"/>
    </fill>
    <fill>
      <patternFill patternType="solid">
        <fgColor rgb="FF080B0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F293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84">
    <border>
      <left/>
      <right/>
      <top/>
      <bottom/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rgb="FFA5A5A5"/>
      </left>
      <right/>
      <top style="medium">
        <color rgb="FFA5A5A5"/>
      </top>
      <bottom/>
      <diagonal/>
    </border>
    <border>
      <left/>
      <right/>
      <top style="medium">
        <color rgb="FFA5A5A5"/>
      </top>
      <bottom/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medium">
        <color rgb="FF00B050"/>
      </right>
      <top/>
      <bottom/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/>
      <right style="medium">
        <color rgb="FFA5A5A5"/>
      </right>
      <top style="medium">
        <color rgb="FFA5A5A5"/>
      </top>
      <bottom/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theme="1" tint="0.5"/>
      </left>
      <right/>
      <top style="medium">
        <color theme="1" tint="0.5"/>
      </top>
      <bottom/>
      <diagonal/>
    </border>
    <border>
      <left/>
      <right/>
      <top style="medium">
        <color theme="1" tint="0.5"/>
      </top>
      <bottom/>
      <diagonal/>
    </border>
    <border>
      <left/>
      <right style="medium">
        <color theme="1" tint="0.5"/>
      </right>
      <top style="medium">
        <color theme="1" tint="0.5"/>
      </top>
      <bottom/>
      <diagonal/>
    </border>
    <border>
      <left style="medium">
        <color theme="1" tint="0.5"/>
      </left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 tint="0.5"/>
      </left>
      <right/>
      <top/>
      <bottom style="medium">
        <color theme="1" tint="0.5"/>
      </bottom>
      <diagonal/>
    </border>
    <border>
      <left/>
      <right style="thin">
        <color rgb="FFA5A5A5"/>
      </right>
      <top/>
      <bottom style="medium">
        <color theme="1" tint="0.5"/>
      </bottom>
      <diagonal/>
    </border>
    <border>
      <left style="thin">
        <color rgb="FFA5A5A5"/>
      </left>
      <right/>
      <top/>
      <bottom style="medium">
        <color theme="1" tint="0.5"/>
      </bottom>
      <diagonal/>
    </border>
    <border>
      <left/>
      <right style="medium">
        <color theme="1" tint="0.5"/>
      </right>
      <top/>
      <bottom style="medium">
        <color theme="1" tint="0.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theme="1" tint="0.5"/>
      </left>
      <right/>
      <top style="thin">
        <color theme="1" tint="0.5"/>
      </top>
      <bottom/>
      <diagonal/>
    </border>
    <border>
      <left/>
      <right style="thin">
        <color theme="1" tint="0.5"/>
      </right>
      <top style="thin">
        <color theme="1" tint="0.5"/>
      </top>
      <bottom/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/>
      <top/>
      <bottom/>
      <diagonal/>
    </border>
    <border>
      <left/>
      <right style="thin">
        <color theme="1" tint="0.5"/>
      </right>
      <top/>
      <bottom/>
      <diagonal/>
    </border>
    <border>
      <left style="thin">
        <color theme="1" tint="0.5"/>
      </left>
      <right/>
      <top/>
      <bottom style="thin">
        <color theme="1" tint="0.5"/>
      </bottom>
      <diagonal/>
    </border>
    <border>
      <left/>
      <right style="thin">
        <color theme="1" tint="0.5"/>
      </right>
      <top/>
      <bottom style="thin">
        <color theme="1" tint="0.5"/>
      </bottom>
      <diagonal/>
    </border>
    <border>
      <left/>
      <right/>
      <top style="thin">
        <color theme="1" tint="0.5"/>
      </top>
      <bottom/>
      <diagonal/>
    </border>
    <border>
      <left/>
      <right style="thin">
        <color theme="1" tint="0.5"/>
      </right>
      <top style="thin">
        <color theme="1" tint="0.5"/>
      </top>
      <bottom style="medium">
        <color rgb="FFA5A5A5"/>
      </bottom>
      <diagonal/>
    </border>
    <border>
      <left style="thin">
        <color rgb="FFA5A5A5"/>
      </left>
      <right style="thin">
        <color theme="1" tint="0.5"/>
      </right>
      <top style="thin">
        <color rgb="FFA5A5A5"/>
      </top>
      <bottom style="thin">
        <color rgb="FFA5A5A5"/>
      </bottom>
      <diagonal/>
    </border>
    <border>
      <left/>
      <right/>
      <top/>
      <bottom style="thin">
        <color theme="1" tint="0.5"/>
      </bottom>
      <diagonal/>
    </border>
    <border>
      <left style="thin">
        <color rgb="FFA5A5A5"/>
      </left>
      <right style="thin">
        <color theme="1" tint="0.5"/>
      </right>
      <top style="thin">
        <color rgb="FFA5A5A5"/>
      </top>
      <bottom style="thin">
        <color theme="1" tint="0.5"/>
      </bottom>
      <diagonal/>
    </border>
    <border>
      <left style="medium">
        <color rgb="FFA5A5A5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rgb="FFA5A5A5"/>
      </right>
      <top/>
      <bottom/>
      <diagonal/>
    </border>
    <border>
      <left style="medium">
        <color theme="1" tint="0.5"/>
      </left>
      <right style="thin">
        <color rgb="FFA5A5A5"/>
      </right>
      <top style="medium">
        <color theme="1" tint="0.5"/>
      </top>
      <bottom style="thin">
        <color rgb="FFA5A5A5"/>
      </bottom>
      <diagonal/>
    </border>
    <border>
      <left style="medium">
        <color rgb="FFFFFFFF"/>
      </left>
      <right style="medium">
        <color theme="1" tint="0.5"/>
      </right>
      <top style="medium">
        <color theme="1" tint="0.5"/>
      </top>
      <bottom style="medium">
        <color rgb="FFFFFFFF"/>
      </bottom>
      <diagonal/>
    </border>
    <border>
      <left style="medium">
        <color theme="1" tint="0.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theme="1" tint="0.5"/>
      </right>
      <top style="thin">
        <color rgb="FFA5A5A5"/>
      </top>
      <bottom style="thin">
        <color rgb="FFA5A5A5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theme="2" tint="-0.1"/>
      </left>
      <right style="medium">
        <color theme="2" tint="-0.1"/>
      </right>
      <top style="medium">
        <color theme="2" tint="-0.1"/>
      </top>
      <bottom style="medium">
        <color rgb="FFFFFFFF"/>
      </bottom>
      <diagonal/>
    </border>
    <border>
      <left style="medium">
        <color theme="1" tint="0.5"/>
      </left>
      <right style="thin">
        <color rgb="FFA5A5A5"/>
      </right>
      <top style="thin">
        <color rgb="FFA5A5A5"/>
      </top>
      <bottom style="medium">
        <color theme="1" tint="0.5"/>
      </bottom>
      <diagonal/>
    </border>
    <border>
      <left style="medium">
        <color rgb="FFFFFFFF"/>
      </left>
      <right/>
      <top style="medium">
        <color rgb="FFFFFFFF"/>
      </top>
      <bottom style="medium">
        <color theme="1" tint="0.5"/>
      </bottom>
      <diagonal/>
    </border>
    <border>
      <left style="medium">
        <color theme="2" tint="-0.1"/>
      </left>
      <right style="medium">
        <color theme="2" tint="-0.1"/>
      </right>
      <top style="medium">
        <color rgb="FFFFFFFF"/>
      </top>
      <bottom style="medium">
        <color theme="2" tint="-0.1"/>
      </bottom>
      <diagonal/>
    </border>
    <border>
      <left style="thin">
        <color rgb="FFA5A5A5"/>
      </left>
      <right style="thin">
        <color rgb="FFA5A5A5"/>
      </right>
      <top style="medium">
        <color theme="1" tint="0.5"/>
      </top>
      <bottom style="thin">
        <color rgb="FFA5A5A5"/>
      </bottom>
      <diagonal/>
    </border>
    <border>
      <left style="medium">
        <color theme="1" tint="0.5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theme="1" tint="0.5"/>
      </left>
      <right style="medium">
        <color rgb="FFFFFFFF"/>
      </right>
      <top style="medium">
        <color rgb="FFFFFFFF"/>
      </top>
      <bottom style="medium">
        <color theme="1" tint="0.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theme="1" tint="0.5"/>
      </bottom>
      <diagonal/>
    </border>
    <border>
      <left style="thin">
        <color rgb="FFA5A5A5"/>
      </left>
      <right style="medium">
        <color theme="1" tint="0.5"/>
      </right>
      <top style="medium">
        <color theme="1" tint="0.5"/>
      </top>
      <bottom style="thin">
        <color rgb="FFA5A5A5"/>
      </bottom>
      <diagonal/>
    </border>
    <border>
      <left style="thin">
        <color rgb="FFA5A5A5"/>
      </left>
      <right style="medium">
        <color theme="1" tint="0.5"/>
      </right>
      <top style="thin">
        <color rgb="FFA5A5A5"/>
      </top>
      <bottom style="medium">
        <color theme="1" tint="0.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medium">
        <color rgb="FF9C0006"/>
      </left>
      <right/>
      <top style="medium">
        <color rgb="FF9C0006"/>
      </top>
      <bottom/>
      <diagonal/>
    </border>
    <border>
      <left/>
      <right/>
      <top style="medium">
        <color rgb="FF9C0006"/>
      </top>
      <bottom/>
      <diagonal/>
    </border>
    <border>
      <left/>
      <right style="medium">
        <color rgb="FF9C0006"/>
      </right>
      <top style="medium">
        <color rgb="FF9C0006"/>
      </top>
      <bottom/>
      <diagonal/>
    </border>
    <border>
      <left style="medium">
        <color rgb="FF9C0006"/>
      </left>
      <right/>
      <top/>
      <bottom/>
      <diagonal/>
    </border>
    <border>
      <left/>
      <right style="medium">
        <color rgb="FF9C0006"/>
      </right>
      <top/>
      <bottom/>
      <diagonal/>
    </border>
    <border>
      <left style="medium">
        <color rgb="FF9C0006"/>
      </left>
      <right/>
      <top/>
      <bottom style="medium">
        <color rgb="FF9C0006"/>
      </bottom>
      <diagonal/>
    </border>
    <border>
      <left/>
      <right/>
      <top/>
      <bottom style="medium">
        <color rgb="FF9C0006"/>
      </bottom>
      <diagonal/>
    </border>
    <border>
      <left/>
      <right style="medium">
        <color rgb="FF9C0006"/>
      </right>
      <top/>
      <bottom style="medium">
        <color rgb="FF9C000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20" borderId="7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7" applyNumberFormat="0" applyFill="0" applyAlignment="0" applyProtection="0">
      <alignment vertical="center"/>
    </xf>
    <xf numFmtId="0" fontId="28" fillId="0" borderId="77" applyNumberFormat="0" applyFill="0" applyAlignment="0" applyProtection="0">
      <alignment vertical="center"/>
    </xf>
    <xf numFmtId="0" fontId="29" fillId="0" borderId="7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1" borderId="79" applyNumberFormat="0" applyAlignment="0" applyProtection="0">
      <alignment vertical="center"/>
    </xf>
    <xf numFmtId="0" fontId="31" fillId="22" borderId="80" applyNumberFormat="0" applyAlignment="0" applyProtection="0">
      <alignment vertical="center"/>
    </xf>
    <xf numFmtId="0" fontId="32" fillId="22" borderId="79" applyNumberFormat="0" applyAlignment="0" applyProtection="0">
      <alignment vertical="center"/>
    </xf>
    <xf numFmtId="0" fontId="33" fillId="23" borderId="81" applyNumberFormat="0" applyAlignment="0" applyProtection="0">
      <alignment vertical="center"/>
    </xf>
    <xf numFmtId="0" fontId="34" fillId="0" borderId="82" applyNumberFormat="0" applyFill="0" applyAlignment="0" applyProtection="0">
      <alignment vertical="center"/>
    </xf>
    <xf numFmtId="0" fontId="35" fillId="0" borderId="83" applyNumberFormat="0" applyFill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</cellStyleXfs>
  <cellXfs count="263"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/>
    <xf numFmtId="0" fontId="5" fillId="3" borderId="1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 wrapText="1"/>
    </xf>
    <xf numFmtId="0" fontId="1" fillId="5" borderId="3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/>
    </xf>
    <xf numFmtId="0" fontId="1" fillId="6" borderId="3" xfId="0" applyNumberFormat="1" applyFont="1" applyFill="1" applyBorder="1" applyAlignment="1">
      <alignment horizontal="center" vertical="center"/>
    </xf>
    <xf numFmtId="176" fontId="1" fillId="6" borderId="3" xfId="0" applyNumberFormat="1" applyFont="1" applyFill="1" applyBorder="1" applyAlignment="1">
      <alignment horizontal="center" vertical="center"/>
    </xf>
    <xf numFmtId="0" fontId="7" fillId="7" borderId="4" xfId="0" applyNumberFormat="1" applyFont="1" applyFill="1" applyBorder="1" applyAlignment="1">
      <alignment horizontal="center" vertical="center" wrapText="1"/>
    </xf>
    <xf numFmtId="0" fontId="7" fillId="7" borderId="5" xfId="0" applyNumberFormat="1" applyFont="1" applyFill="1" applyBorder="1" applyAlignment="1">
      <alignment horizontal="center" vertical="center" wrapText="1"/>
    </xf>
    <xf numFmtId="0" fontId="7" fillId="7" borderId="6" xfId="0" applyNumberFormat="1" applyFont="1" applyFill="1" applyBorder="1" applyAlignment="1">
      <alignment horizontal="center" vertical="center" wrapText="1"/>
    </xf>
    <xf numFmtId="0" fontId="7" fillId="7" borderId="7" xfId="0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 wrapText="1"/>
    </xf>
    <xf numFmtId="0" fontId="10" fillId="2" borderId="0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0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 wrapText="1"/>
    </xf>
    <xf numFmtId="0" fontId="5" fillId="8" borderId="1" xfId="0" applyNumberFormat="1" applyFont="1" applyFill="1" applyBorder="1" applyAlignment="1">
      <alignment horizontal="center" vertical="center"/>
    </xf>
    <xf numFmtId="0" fontId="5" fillId="8" borderId="2" xfId="0" applyNumberFormat="1" applyFont="1" applyFill="1" applyBorder="1" applyAlignment="1">
      <alignment horizontal="center" vertical="center"/>
    </xf>
    <xf numFmtId="0" fontId="1" fillId="6" borderId="3" xfId="0" applyNumberFormat="1" applyFont="1" applyFill="1" applyBorder="1" applyAlignment="1">
      <alignment vertical="center" wrapText="1"/>
    </xf>
    <xf numFmtId="10" fontId="1" fillId="6" borderId="3" xfId="0" applyNumberFormat="1" applyFont="1" applyFill="1" applyBorder="1" applyAlignment="1">
      <alignment vertical="center" wrapText="1"/>
    </xf>
    <xf numFmtId="1" fontId="1" fillId="6" borderId="3" xfId="0" applyNumberFormat="1" applyFont="1" applyFill="1" applyBorder="1" applyAlignment="1">
      <alignment vertical="center" wrapText="1"/>
    </xf>
    <xf numFmtId="0" fontId="11" fillId="6" borderId="3" xfId="0" applyNumberFormat="1" applyFont="1" applyFill="1" applyBorder="1" applyAlignment="1">
      <alignment vertical="center" wrapText="1"/>
    </xf>
    <xf numFmtId="177" fontId="11" fillId="6" borderId="3" xfId="0" applyNumberFormat="1" applyFont="1" applyFill="1" applyBorder="1" applyAlignment="1">
      <alignment vertical="center" wrapText="1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5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8" borderId="8" xfId="0" applyNumberFormat="1" applyFont="1" applyFill="1" applyBorder="1" applyAlignment="1">
      <alignment horizontal="center" vertical="center"/>
    </xf>
    <xf numFmtId="0" fontId="7" fillId="7" borderId="17" xfId="0" applyNumberFormat="1" applyFont="1" applyFill="1" applyBorder="1" applyAlignment="1">
      <alignment horizontal="center" vertical="center" wrapText="1"/>
    </xf>
    <xf numFmtId="0" fontId="7" fillId="7" borderId="18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 applyProtection="1">
      <alignment vertical="center"/>
      <protection hidden="1"/>
    </xf>
    <xf numFmtId="0" fontId="2" fillId="2" borderId="0" xfId="0" applyNumberFormat="1" applyFont="1" applyFill="1" applyBorder="1" applyAlignment="1" applyProtection="1">
      <alignment horizontal="center" vertical="center"/>
      <protection hidden="1"/>
    </xf>
    <xf numFmtId="0" fontId="3" fillId="2" borderId="0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NumberFormat="1" applyFont="1" applyFill="1" applyBorder="1" applyAlignment="1" applyProtection="1">
      <alignment horizontal="center" vertical="center"/>
      <protection hidden="1"/>
    </xf>
    <xf numFmtId="0" fontId="1" fillId="9" borderId="0" xfId="0" applyNumberFormat="1" applyFont="1" applyFill="1" applyAlignment="1" applyProtection="1">
      <alignment horizontal="center"/>
      <protection hidden="1"/>
    </xf>
    <xf numFmtId="0" fontId="1" fillId="0" borderId="0" xfId="0" applyNumberFormat="1" applyFont="1" applyFill="1" applyBorder="1" applyProtection="1">
      <protection hidden="1"/>
    </xf>
    <xf numFmtId="0" fontId="0" fillId="0" borderId="0" xfId="0" applyProtection="1">
      <protection hidden="1"/>
    </xf>
    <xf numFmtId="0" fontId="5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3" borderId="20" xfId="0" applyNumberFormat="1" applyFont="1" applyFill="1" applyBorder="1" applyAlignment="1" applyProtection="1">
      <alignment horizontal="center" vertical="center"/>
      <protection hidden="1"/>
    </xf>
    <xf numFmtId="0" fontId="5" fillId="3" borderId="21" xfId="0" applyNumberFormat="1" applyFont="1" applyFill="1" applyBorder="1" applyAlignment="1" applyProtection="1">
      <alignment horizontal="center" vertical="center"/>
      <protection hidden="1"/>
    </xf>
    <xf numFmtId="0" fontId="7" fillId="6" borderId="22" xfId="0" applyNumberFormat="1" applyFont="1" applyFill="1" applyBorder="1" applyAlignment="1" applyProtection="1">
      <alignment horizontal="center"/>
      <protection hidden="1"/>
    </xf>
    <xf numFmtId="0" fontId="7" fillId="6" borderId="0" xfId="0" applyNumberFormat="1" applyFont="1" applyFill="1" applyBorder="1" applyProtection="1">
      <protection hidden="1"/>
    </xf>
    <xf numFmtId="1" fontId="6" fillId="3" borderId="23" xfId="0" applyNumberFormat="1" applyFont="1" applyFill="1" applyBorder="1" applyAlignment="1" applyProtection="1">
      <alignment horizontal="center" vertical="center"/>
      <protection locked="0" hidden="1"/>
    </xf>
    <xf numFmtId="1" fontId="6" fillId="3" borderId="24" xfId="0" applyNumberFormat="1" applyFont="1" applyFill="1" applyBorder="1" applyAlignment="1" applyProtection="1">
      <alignment horizontal="center" vertical="center"/>
      <protection locked="0" hidden="1"/>
    </xf>
    <xf numFmtId="0" fontId="7" fillId="6" borderId="25" xfId="0" applyNumberFormat="1" applyFont="1" applyFill="1" applyBorder="1" applyAlignment="1" applyProtection="1">
      <alignment horizontal="center"/>
      <protection hidden="1"/>
    </xf>
    <xf numFmtId="0" fontId="7" fillId="6" borderId="26" xfId="0" applyNumberFormat="1" applyFont="1" applyFill="1" applyBorder="1" applyProtection="1">
      <protection hidden="1"/>
    </xf>
    <xf numFmtId="1" fontId="12" fillId="10" borderId="27" xfId="0" applyNumberFormat="1" applyFont="1" applyFill="1" applyBorder="1" applyAlignment="1" applyProtection="1">
      <alignment horizontal="center" vertical="center"/>
      <protection locked="0" hidden="1"/>
    </xf>
    <xf numFmtId="1" fontId="12" fillId="10" borderId="28" xfId="0" applyNumberFormat="1" applyFont="1" applyFill="1" applyBorder="1" applyAlignment="1" applyProtection="1">
      <alignment horizontal="center" vertical="center"/>
      <protection locked="0" hidden="1"/>
    </xf>
    <xf numFmtId="0" fontId="5" fillId="4" borderId="1" xfId="0" applyNumberFormat="1" applyFont="1" applyFill="1" applyBorder="1" applyAlignment="1" applyProtection="1">
      <alignment horizontal="center" vertical="center"/>
      <protection hidden="1"/>
    </xf>
    <xf numFmtId="0" fontId="5" fillId="4" borderId="2" xfId="0" applyNumberFormat="1" applyFont="1" applyFill="1" applyBorder="1" applyAlignment="1" applyProtection="1">
      <alignment horizontal="center" vertical="center"/>
      <protection hidden="1"/>
    </xf>
    <xf numFmtId="0" fontId="6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11" fillId="6" borderId="29" xfId="0" applyNumberFormat="1" applyFont="1" applyFill="1" applyBorder="1" applyAlignment="1" applyProtection="1">
      <alignment horizontal="center" vertical="center"/>
      <protection hidden="1"/>
    </xf>
    <xf numFmtId="177" fontId="12" fillId="10" borderId="3" xfId="0" applyNumberFormat="1" applyFont="1" applyFill="1" applyBorder="1" applyAlignment="1" applyProtection="1">
      <alignment horizontal="center" vertical="center"/>
      <protection locked="0" hidden="1"/>
    </xf>
    <xf numFmtId="0" fontId="12" fillId="10" borderId="3" xfId="0" applyNumberFormat="1" applyFont="1" applyFill="1" applyBorder="1" applyAlignment="1" applyProtection="1">
      <alignment horizontal="center" vertical="center"/>
      <protection locked="0" hidden="1"/>
    </xf>
    <xf numFmtId="0" fontId="6" fillId="3" borderId="30" xfId="0" applyNumberFormat="1" applyFont="1" applyFill="1" applyBorder="1" applyAlignment="1" applyProtection="1">
      <alignment horizontal="center" vertical="center"/>
      <protection locked="0" hidden="1"/>
    </xf>
    <xf numFmtId="0" fontId="5" fillId="8" borderId="4" xfId="0" applyNumberFormat="1" applyFont="1" applyFill="1" applyBorder="1" applyAlignment="1" applyProtection="1">
      <alignment horizontal="center" vertical="center"/>
      <protection hidden="1"/>
    </xf>
    <xf numFmtId="0" fontId="5" fillId="8" borderId="5" xfId="0" applyNumberFormat="1" applyFont="1" applyFill="1" applyBorder="1" applyAlignment="1" applyProtection="1">
      <alignment horizontal="center" vertical="center"/>
      <protection hidden="1"/>
    </xf>
    <xf numFmtId="0" fontId="5" fillId="8" borderId="17" xfId="0" applyNumberFormat="1" applyFont="1" applyFill="1" applyBorder="1" applyAlignment="1" applyProtection="1">
      <alignment horizontal="center" vertical="center"/>
      <protection hidden="1"/>
    </xf>
    <xf numFmtId="0" fontId="7" fillId="6" borderId="31" xfId="0" applyNumberFormat="1" applyFont="1" applyFill="1" applyBorder="1" applyAlignment="1" applyProtection="1">
      <alignment horizontal="center"/>
      <protection hidden="1"/>
    </xf>
    <xf numFmtId="0" fontId="7" fillId="6" borderId="32" xfId="0" applyNumberFormat="1" applyFont="1" applyFill="1" applyBorder="1" applyAlignment="1" applyProtection="1">
      <alignment horizontal="center"/>
      <protection hidden="1"/>
    </xf>
    <xf numFmtId="178" fontId="12" fillId="10" borderId="33" xfId="0" applyNumberFormat="1" applyFont="1" applyFill="1" applyBorder="1" applyAlignment="1" applyProtection="1">
      <alignment horizontal="center" vertical="center"/>
      <protection locked="0" hidden="1"/>
    </xf>
    <xf numFmtId="0" fontId="7" fillId="6" borderId="34" xfId="0" applyNumberFormat="1" applyFont="1" applyFill="1" applyBorder="1" applyAlignment="1" applyProtection="1">
      <alignment horizontal="center"/>
      <protection hidden="1"/>
    </xf>
    <xf numFmtId="0" fontId="7" fillId="6" borderId="35" xfId="0" applyNumberFormat="1" applyFont="1" applyFill="1" applyBorder="1" applyAlignment="1" applyProtection="1">
      <alignment horizontal="center"/>
      <protection hidden="1"/>
    </xf>
    <xf numFmtId="178" fontId="13" fillId="5" borderId="33" xfId="0" applyNumberFormat="1" applyFont="1" applyFill="1" applyBorder="1" applyAlignment="1" applyProtection="1">
      <alignment horizontal="center" vertical="center"/>
      <protection hidden="1"/>
    </xf>
    <xf numFmtId="179" fontId="13" fillId="5" borderId="33" xfId="0" applyNumberFormat="1" applyFont="1" applyFill="1" applyBorder="1" applyAlignment="1" applyProtection="1">
      <alignment horizontal="center" vertical="center"/>
      <protection hidden="1"/>
    </xf>
    <xf numFmtId="0" fontId="7" fillId="6" borderId="36" xfId="0" applyNumberFormat="1" applyFont="1" applyFill="1" applyBorder="1" applyAlignment="1" applyProtection="1">
      <alignment horizontal="center"/>
      <protection hidden="1"/>
    </xf>
    <xf numFmtId="0" fontId="7" fillId="6" borderId="37" xfId="0" applyNumberFormat="1" applyFont="1" applyFill="1" applyBorder="1" applyAlignment="1" applyProtection="1">
      <alignment horizontal="center"/>
      <protection hidden="1"/>
    </xf>
    <xf numFmtId="1" fontId="13" fillId="5" borderId="33" xfId="0" applyNumberFormat="1" applyFont="1" applyFill="1" applyBorder="1" applyAlignment="1" applyProtection="1">
      <alignment horizontal="center" vertical="center"/>
      <protection hidden="1"/>
    </xf>
    <xf numFmtId="0" fontId="5" fillId="4" borderId="8" xfId="0" applyNumberFormat="1" applyFont="1" applyFill="1" applyBorder="1" applyAlignment="1" applyProtection="1">
      <alignment horizontal="center" vertical="center"/>
      <protection hidden="1"/>
    </xf>
    <xf numFmtId="3" fontId="12" fillId="10" borderId="3" xfId="0" applyNumberFormat="1" applyFont="1" applyFill="1" applyBorder="1" applyAlignment="1" applyProtection="1">
      <alignment horizontal="center" vertical="center"/>
      <protection locked="0" hidden="1"/>
    </xf>
    <xf numFmtId="0" fontId="5" fillId="4" borderId="31" xfId="0" applyNumberFormat="1" applyFont="1" applyFill="1" applyBorder="1" applyAlignment="1" applyProtection="1">
      <alignment horizontal="center" vertical="center"/>
      <protection hidden="1"/>
    </xf>
    <xf numFmtId="0" fontId="5" fillId="4" borderId="38" xfId="0" applyNumberFormat="1" applyFont="1" applyFill="1" applyBorder="1" applyAlignment="1" applyProtection="1">
      <alignment horizontal="center" vertical="center"/>
      <protection hidden="1"/>
    </xf>
    <xf numFmtId="0" fontId="5" fillId="4" borderId="39" xfId="0" applyNumberFormat="1" applyFont="1" applyFill="1" applyBorder="1" applyAlignment="1" applyProtection="1">
      <alignment horizontal="center" vertical="center"/>
      <protection hidden="1"/>
    </xf>
    <xf numFmtId="0" fontId="7" fillId="6" borderId="0" xfId="0" applyNumberFormat="1" applyFont="1" applyFill="1" applyAlignment="1" applyProtection="1">
      <alignment horizontal="center"/>
      <protection hidden="1"/>
    </xf>
    <xf numFmtId="1" fontId="13" fillId="5" borderId="40" xfId="0" applyNumberFormat="1" applyFont="1" applyFill="1" applyBorder="1" applyAlignment="1" applyProtection="1">
      <alignment horizontal="center" vertical="center"/>
      <protection hidden="1"/>
    </xf>
    <xf numFmtId="9" fontId="13" fillId="5" borderId="40" xfId="0" applyNumberFormat="1" applyFont="1" applyFill="1" applyBorder="1" applyAlignment="1" applyProtection="1">
      <alignment horizontal="center" vertical="center"/>
      <protection hidden="1"/>
    </xf>
    <xf numFmtId="0" fontId="7" fillId="6" borderId="41" xfId="0" applyNumberFormat="1" applyFont="1" applyFill="1" applyBorder="1" applyAlignment="1" applyProtection="1">
      <alignment horizontal="center"/>
      <protection hidden="1"/>
    </xf>
    <xf numFmtId="1" fontId="13" fillId="5" borderId="42" xfId="0" applyNumberFormat="1" applyFont="1" applyFill="1" applyBorder="1" applyAlignment="1" applyProtection="1">
      <alignment horizontal="center" vertical="center"/>
      <protection hidden="1"/>
    </xf>
    <xf numFmtId="0" fontId="5" fillId="3" borderId="1" xfId="0" applyNumberFormat="1" applyFont="1" applyFill="1" applyBorder="1" applyAlignment="1" applyProtection="1">
      <alignment horizontal="center" vertical="center"/>
      <protection hidden="1"/>
    </xf>
    <xf numFmtId="0" fontId="5" fillId="3" borderId="2" xfId="0" applyNumberFormat="1" applyFont="1" applyFill="1" applyBorder="1" applyAlignment="1" applyProtection="1">
      <alignment horizontal="center" vertical="center"/>
      <protection hidden="1"/>
    </xf>
    <xf numFmtId="0" fontId="1" fillId="6" borderId="3" xfId="0" applyNumberFormat="1" applyFont="1" applyFill="1" applyBorder="1" applyAlignment="1" applyProtection="1">
      <alignment horizontal="center" vertical="center"/>
      <protection hidden="1"/>
    </xf>
    <xf numFmtId="3" fontId="1" fillId="6" borderId="3" xfId="0" applyNumberFormat="1" applyFont="1" applyFill="1" applyBorder="1" applyAlignment="1" applyProtection="1">
      <alignment horizontal="center" vertical="center"/>
      <protection hidden="1"/>
    </xf>
    <xf numFmtId="4" fontId="1" fillId="6" borderId="3" xfId="0" applyNumberFormat="1" applyFont="1" applyFill="1" applyBorder="1" applyAlignment="1" applyProtection="1">
      <alignment horizontal="center" vertical="center"/>
      <protection hidden="1"/>
    </xf>
    <xf numFmtId="0" fontId="1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5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43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0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6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7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8" xfId="0" applyNumberFormat="1" applyFont="1" applyFill="1" applyBorder="1" applyAlignment="1" applyProtection="1">
      <alignment horizontal="center" vertical="center"/>
      <protection hidden="1"/>
    </xf>
    <xf numFmtId="0" fontId="5" fillId="4" borderId="9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1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8" borderId="1" xfId="0" applyNumberFormat="1" applyFont="1" applyFill="1" applyBorder="1" applyAlignment="1" applyProtection="1">
      <alignment horizontal="center" vertical="center"/>
      <protection hidden="1"/>
    </xf>
    <xf numFmtId="0" fontId="5" fillId="8" borderId="2" xfId="0" applyNumberFormat="1" applyFont="1" applyFill="1" applyBorder="1" applyAlignment="1" applyProtection="1">
      <alignment horizontal="center" vertical="center"/>
      <protection hidden="1"/>
    </xf>
    <xf numFmtId="0" fontId="5" fillId="8" borderId="8" xfId="0" applyNumberFormat="1" applyFont="1" applyFill="1" applyBorder="1" applyAlignment="1" applyProtection="1">
      <alignment horizontal="center" vertical="center"/>
      <protection hidden="1"/>
    </xf>
    <xf numFmtId="178" fontId="1" fillId="6" borderId="3" xfId="0" applyNumberFormat="1" applyFont="1" applyFill="1" applyBorder="1" applyAlignment="1" applyProtection="1">
      <alignment horizontal="center" vertical="center"/>
      <protection hidden="1"/>
    </xf>
    <xf numFmtId="180" fontId="6" fillId="3" borderId="30" xfId="0" applyNumberFormat="1" applyFont="1" applyFill="1" applyBorder="1" applyAlignment="1" applyProtection="1">
      <alignment horizontal="center" vertical="center"/>
      <protection locked="0" hidden="1"/>
    </xf>
    <xf numFmtId="0" fontId="5" fillId="4" borderId="10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4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0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5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3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6" xfId="0" applyNumberFormat="1" applyFont="1" applyFill="1" applyBorder="1" applyAlignment="1" applyProtection="1">
      <alignment horizontal="center" vertical="center" wrapText="1"/>
      <protection hidden="1"/>
    </xf>
    <xf numFmtId="0" fontId="1" fillId="9" borderId="44" xfId="0" applyNumberFormat="1" applyFont="1" applyFill="1" applyBorder="1" applyAlignment="1" applyProtection="1">
      <alignment horizontal="center"/>
      <protection hidden="1"/>
    </xf>
    <xf numFmtId="0" fontId="1" fillId="7" borderId="17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45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18" xfId="0" applyNumberFormat="1" applyFont="1" applyFill="1" applyBorder="1" applyAlignment="1" applyProtection="1">
      <alignment horizontal="center" vertical="center" wrapText="1"/>
      <protection hidden="1"/>
    </xf>
    <xf numFmtId="0" fontId="5" fillId="11" borderId="1" xfId="0" applyNumberFormat="1" applyFont="1" applyFill="1" applyBorder="1" applyAlignment="1" applyProtection="1">
      <alignment horizontal="center" vertical="center"/>
      <protection hidden="1"/>
    </xf>
    <xf numFmtId="0" fontId="5" fillId="11" borderId="8" xfId="0" applyNumberFormat="1" applyFont="1" applyFill="1" applyBorder="1" applyAlignment="1" applyProtection="1">
      <alignment horizontal="center" vertical="center"/>
      <protection hidden="1"/>
    </xf>
    <xf numFmtId="0" fontId="8" fillId="2" borderId="0" xfId="0" applyNumberFormat="1" applyFont="1" applyFill="1" applyBorder="1" applyAlignment="1" applyProtection="1">
      <alignment horizontal="center" vertical="center"/>
      <protection hidden="1"/>
    </xf>
    <xf numFmtId="0" fontId="9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10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0" xfId="0" applyNumberFormat="1" applyFont="1" applyFill="1" applyBorder="1" applyProtection="1">
      <protection hidden="1"/>
    </xf>
    <xf numFmtId="0" fontId="2" fillId="2" borderId="0" xfId="0" applyNumberFormat="1" applyFont="1" applyFill="1" applyAlignment="1" applyProtection="1">
      <alignment horizontal="center" vertical="center"/>
      <protection hidden="1"/>
    </xf>
    <xf numFmtId="0" fontId="3" fillId="2" borderId="0" xfId="0" applyNumberFormat="1" applyFont="1" applyFill="1" applyAlignment="1" applyProtection="1">
      <alignment horizontal="center" vertical="center"/>
      <protection hidden="1"/>
    </xf>
    <xf numFmtId="0" fontId="4" fillId="2" borderId="0" xfId="0" applyNumberFormat="1" applyFont="1" applyFill="1" applyAlignment="1" applyProtection="1">
      <alignment horizontal="center" vertical="center"/>
      <protection hidden="1"/>
    </xf>
    <xf numFmtId="0" fontId="7" fillId="9" borderId="0" xfId="0" applyNumberFormat="1" applyFont="1" applyFill="1" applyAlignment="1" applyProtection="1">
      <alignment horizontal="center" vertical="center"/>
      <protection hidden="1"/>
    </xf>
    <xf numFmtId="0" fontId="7" fillId="6" borderId="46" xfId="0" applyNumberFormat="1" applyFont="1" applyFill="1" applyBorder="1" applyAlignment="1" applyProtection="1">
      <alignment vertical="center"/>
      <protection hidden="1"/>
    </xf>
    <xf numFmtId="0" fontId="6" fillId="3" borderId="47" xfId="0" applyNumberFormat="1" applyFont="1" applyFill="1" applyBorder="1" applyAlignment="1" applyProtection="1">
      <alignment horizontal="center" vertical="center"/>
      <protection locked="0" hidden="1"/>
    </xf>
    <xf numFmtId="0" fontId="7" fillId="6" borderId="48" xfId="0" applyNumberFormat="1" applyFont="1" applyFill="1" applyBorder="1" applyAlignment="1" applyProtection="1">
      <alignment vertical="center"/>
      <protection hidden="1"/>
    </xf>
    <xf numFmtId="3" fontId="12" fillId="10" borderId="49" xfId="0" applyNumberFormat="1" applyFont="1" applyFill="1" applyBorder="1" applyAlignment="1" applyProtection="1">
      <alignment horizontal="center" vertical="center"/>
      <protection locked="0" hidden="1"/>
    </xf>
    <xf numFmtId="0" fontId="14" fillId="12" borderId="48" xfId="0" applyNumberFormat="1" applyFont="1" applyFill="1" applyBorder="1" applyAlignment="1" applyProtection="1">
      <alignment vertical="center"/>
      <protection hidden="1"/>
    </xf>
    <xf numFmtId="0" fontId="6" fillId="3" borderId="50" xfId="0" applyNumberFormat="1" applyFont="1" applyFill="1" applyBorder="1" applyAlignment="1" applyProtection="1">
      <alignment horizontal="center" vertical="center"/>
      <protection locked="0" hidden="1"/>
    </xf>
    <xf numFmtId="0" fontId="6" fillId="3" borderId="51" xfId="0" applyNumberFormat="1" applyFont="1" applyFill="1" applyBorder="1" applyAlignment="1" applyProtection="1">
      <alignment horizontal="center" vertical="center"/>
      <protection locked="0" hidden="1"/>
    </xf>
    <xf numFmtId="0" fontId="14" fillId="13" borderId="52" xfId="0" applyNumberFormat="1" applyFont="1" applyFill="1" applyBorder="1" applyAlignment="1" applyProtection="1">
      <alignment vertical="center"/>
      <protection hidden="1"/>
    </xf>
    <xf numFmtId="0" fontId="6" fillId="3" borderId="53" xfId="0" applyNumberFormat="1" applyFont="1" applyFill="1" applyBorder="1" applyAlignment="1" applyProtection="1">
      <alignment horizontal="center" vertical="center"/>
      <protection locked="0" hidden="1"/>
    </xf>
    <xf numFmtId="0" fontId="6" fillId="3" borderId="54" xfId="0" applyNumberFormat="1" applyFont="1" applyFill="1" applyBorder="1" applyAlignment="1" applyProtection="1">
      <alignment horizontal="center" vertical="center"/>
      <protection locked="0" hidden="1"/>
    </xf>
    <xf numFmtId="0" fontId="7" fillId="0" borderId="0" xfId="0" applyNumberFormat="1" applyFont="1" applyFill="1" applyBorder="1" applyAlignment="1" applyProtection="1">
      <alignment vertical="center"/>
      <protection hidden="1"/>
    </xf>
    <xf numFmtId="0" fontId="11" fillId="6" borderId="3" xfId="0" applyNumberFormat="1" applyFont="1" applyFill="1" applyBorder="1" applyAlignment="1" applyProtection="1">
      <alignment horizontal="center" vertical="center"/>
      <protection hidden="1"/>
    </xf>
    <xf numFmtId="3" fontId="11" fillId="6" borderId="3" xfId="0" applyNumberFormat="1" applyFont="1" applyFill="1" applyBorder="1" applyAlignment="1" applyProtection="1">
      <alignment horizontal="center" vertical="center"/>
      <protection hidden="1"/>
    </xf>
    <xf numFmtId="0" fontId="5" fillId="3" borderId="4" xfId="0" applyNumberFormat="1" applyFont="1" applyFill="1" applyBorder="1" applyAlignment="1" applyProtection="1">
      <alignment horizontal="center" vertical="center"/>
      <protection hidden="1"/>
    </xf>
    <xf numFmtId="0" fontId="5" fillId="3" borderId="5" xfId="0" applyNumberFormat="1" applyFont="1" applyFill="1" applyBorder="1" applyAlignment="1" applyProtection="1">
      <alignment horizontal="center" vertical="center"/>
      <protection hidden="1"/>
    </xf>
    <xf numFmtId="0" fontId="6" fillId="4" borderId="46" xfId="0" applyNumberFormat="1" applyFont="1" applyFill="1" applyBorder="1" applyAlignment="1" applyProtection="1">
      <alignment horizontal="center" vertical="center" wrapText="1"/>
      <protection hidden="1"/>
    </xf>
    <xf numFmtId="0" fontId="6" fillId="4" borderId="55" xfId="0" applyNumberFormat="1" applyFont="1" applyFill="1" applyBorder="1" applyAlignment="1" applyProtection="1">
      <alignment horizontal="center" vertical="center" wrapText="1"/>
      <protection hidden="1"/>
    </xf>
    <xf numFmtId="0" fontId="6" fillId="3" borderId="56" xfId="0" applyNumberFormat="1" applyFont="1" applyFill="1" applyBorder="1" applyAlignment="1" applyProtection="1">
      <alignment horizontal="center" vertical="center"/>
      <protection locked="0" hidden="1"/>
    </xf>
    <xf numFmtId="3" fontId="15" fillId="14" borderId="3" xfId="0" applyNumberFormat="1" applyFont="1" applyFill="1" applyBorder="1" applyAlignment="1" applyProtection="1">
      <alignment horizontal="center" vertical="center"/>
      <protection hidden="1"/>
    </xf>
    <xf numFmtId="0" fontId="6" fillId="3" borderId="57" xfId="0" applyNumberFormat="1" applyFont="1" applyFill="1" applyBorder="1" applyAlignment="1" applyProtection="1">
      <alignment horizontal="center" vertical="center"/>
      <protection locked="0" hidden="1"/>
    </xf>
    <xf numFmtId="3" fontId="16" fillId="15" borderId="58" xfId="0" applyNumberFormat="1" applyFont="1" applyFill="1" applyBorder="1" applyAlignment="1" applyProtection="1">
      <alignment horizontal="center" vertical="center"/>
      <protection hidden="1"/>
    </xf>
    <xf numFmtId="0" fontId="11" fillId="6" borderId="3" xfId="0" applyNumberFormat="1" applyFont="1" applyFill="1" applyBorder="1" applyAlignment="1" applyProtection="1">
      <alignment vertical="center"/>
      <protection hidden="1"/>
    </xf>
    <xf numFmtId="0" fontId="11" fillId="6" borderId="3" xfId="0" applyNumberFormat="1" applyFont="1" applyFill="1" applyBorder="1" applyAlignment="1" applyProtection="1">
      <alignment horizontal="center" vertical="center" wrapText="1"/>
      <protection hidden="1"/>
    </xf>
    <xf numFmtId="3" fontId="11" fillId="6" borderId="3" xfId="0" applyNumberFormat="1" applyFont="1" applyFill="1" applyBorder="1" applyAlignment="1" applyProtection="1">
      <alignment horizontal="center" vertical="center" wrapText="1"/>
      <protection hidden="1"/>
    </xf>
    <xf numFmtId="3" fontId="1" fillId="0" borderId="0" xfId="0" applyNumberFormat="1" applyFont="1" applyFill="1" applyBorder="1" applyProtection="1">
      <protection hidden="1"/>
    </xf>
    <xf numFmtId="0" fontId="5" fillId="16" borderId="1" xfId="0" applyNumberFormat="1" applyFont="1" applyFill="1" applyBorder="1" applyAlignment="1" applyProtection="1">
      <alignment horizontal="center" vertical="center"/>
      <protection hidden="1"/>
    </xf>
    <xf numFmtId="0" fontId="5" fillId="16" borderId="2" xfId="0" applyNumberFormat="1" applyFont="1" applyFill="1" applyBorder="1" applyAlignment="1" applyProtection="1">
      <alignment horizontal="center" vertical="center"/>
      <protection hidden="1"/>
    </xf>
    <xf numFmtId="3" fontId="5" fillId="16" borderId="2" xfId="0" applyNumberFormat="1" applyFont="1" applyFill="1" applyBorder="1" applyAlignment="1" applyProtection="1">
      <alignment horizontal="center" vertical="center"/>
      <protection hidden="1"/>
    </xf>
    <xf numFmtId="3" fontId="6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5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43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0" xfId="0" applyNumberFormat="1" applyFont="1" applyFill="1" applyBorder="1" applyAlignment="1" applyProtection="1">
      <alignment horizontal="center" vertical="center" wrapText="1"/>
      <protection hidden="1"/>
    </xf>
    <xf numFmtId="0" fontId="8" fillId="2" borderId="0" xfId="0" applyNumberFormat="1" applyFont="1" applyFill="1" applyAlignment="1" applyProtection="1">
      <alignment horizontal="center" vertical="center"/>
      <protection hidden="1"/>
    </xf>
    <xf numFmtId="0" fontId="9" fillId="2" borderId="0" xfId="0" applyNumberFormat="1" applyFont="1" applyFill="1" applyAlignment="1" applyProtection="1">
      <alignment horizontal="center" vertical="center" wrapText="1"/>
      <protection hidden="1"/>
    </xf>
    <xf numFmtId="0" fontId="10" fillId="2" borderId="0" xfId="0" applyNumberFormat="1" applyFont="1" applyFill="1" applyAlignment="1" applyProtection="1">
      <alignment horizontal="center" vertical="center" wrapText="1"/>
      <protection hidden="1"/>
    </xf>
    <xf numFmtId="0" fontId="13" fillId="5" borderId="59" xfId="0" applyNumberFormat="1" applyFont="1" applyFill="1" applyBorder="1" applyAlignment="1" applyProtection="1">
      <alignment horizontal="center" vertical="center"/>
      <protection hidden="1"/>
    </xf>
    <xf numFmtId="0" fontId="13" fillId="5" borderId="49" xfId="0" applyNumberFormat="1" applyFont="1" applyFill="1" applyBorder="1" applyAlignment="1" applyProtection="1">
      <alignment horizontal="center" vertical="center"/>
      <protection hidden="1"/>
    </xf>
    <xf numFmtId="177" fontId="13" fillId="5" borderId="49" xfId="0" applyNumberFormat="1" applyFont="1" applyFill="1" applyBorder="1" applyAlignment="1" applyProtection="1">
      <alignment horizontal="center" vertical="center"/>
      <protection hidden="1"/>
    </xf>
    <xf numFmtId="0" fontId="7" fillId="6" borderId="52" xfId="0" applyNumberFormat="1" applyFont="1" applyFill="1" applyBorder="1" applyAlignment="1" applyProtection="1">
      <alignment vertical="center"/>
      <protection hidden="1"/>
    </xf>
    <xf numFmtId="0" fontId="13" fillId="5" borderId="60" xfId="0" applyNumberFormat="1" applyFont="1" applyFill="1" applyBorder="1" applyAlignment="1" applyProtection="1">
      <alignment horizontal="center" vertical="center"/>
      <protection hidden="1"/>
    </xf>
    <xf numFmtId="0" fontId="6" fillId="0" borderId="0" xfId="0" applyNumberFormat="1" applyFont="1" applyFill="1" applyBorder="1" applyAlignment="1" applyProtection="1">
      <alignment horizontal="center" vertical="center"/>
      <protection hidden="1"/>
    </xf>
    <xf numFmtId="0" fontId="6" fillId="4" borderId="59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3" xfId="0" applyNumberFormat="1" applyFont="1" applyFill="1" applyBorder="1" applyAlignment="1" applyProtection="1">
      <alignment horizontal="center" vertical="center"/>
      <protection hidden="1"/>
    </xf>
    <xf numFmtId="0" fontId="15" fillId="14" borderId="49" xfId="0" applyNumberFormat="1" applyFont="1" applyFill="1" applyBorder="1" applyAlignment="1" applyProtection="1">
      <alignment horizontal="center" vertical="center"/>
      <protection hidden="1"/>
    </xf>
    <xf numFmtId="0" fontId="16" fillId="15" borderId="58" xfId="0" applyNumberFormat="1" applyFont="1" applyFill="1" applyBorder="1" applyAlignment="1" applyProtection="1">
      <alignment horizontal="center" vertical="center"/>
      <protection hidden="1"/>
    </xf>
    <xf numFmtId="0" fontId="16" fillId="15" borderId="60" xfId="0" applyNumberFormat="1" applyFont="1" applyFill="1" applyBorder="1" applyAlignment="1" applyProtection="1">
      <alignment horizontal="center" vertical="center"/>
      <protection hidden="1"/>
    </xf>
    <xf numFmtId="0" fontId="11" fillId="17" borderId="3" xfId="0" applyNumberFormat="1" applyFont="1" applyFill="1" applyBorder="1" applyAlignment="1" applyProtection="1">
      <alignment horizontal="center" vertical="center" wrapText="1"/>
      <protection hidden="1"/>
    </xf>
    <xf numFmtId="3" fontId="13" fillId="5" borderId="3" xfId="0" applyNumberFormat="1" applyFont="1" applyFill="1" applyBorder="1" applyAlignment="1" applyProtection="1">
      <alignment horizontal="right" vertical="center"/>
      <protection hidden="1"/>
    </xf>
    <xf numFmtId="0" fontId="6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5" fillId="16" borderId="8" xfId="0" applyNumberFormat="1" applyFont="1" applyFill="1" applyBorder="1" applyAlignment="1" applyProtection="1">
      <alignment horizontal="center" vertical="center"/>
      <protection hidden="1"/>
    </xf>
    <xf numFmtId="0" fontId="17" fillId="7" borderId="17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45" xfId="0" applyNumberFormat="1" applyFont="1" applyFill="1" applyBorder="1" applyAlignment="1" applyProtection="1">
      <alignment horizontal="center" vertical="center" wrapText="1"/>
      <protection hidden="1"/>
    </xf>
    <xf numFmtId="0" fontId="5" fillId="9" borderId="0" xfId="0" applyNumberFormat="1" applyFont="1" applyFill="1" applyAlignment="1" applyProtection="1">
      <alignment horizontal="center" vertical="center"/>
      <protection hidden="1"/>
    </xf>
    <xf numFmtId="0" fontId="5" fillId="8" borderId="33" xfId="0" applyNumberFormat="1" applyFont="1" applyFill="1" applyBorder="1" applyAlignment="1" applyProtection="1">
      <alignment horizontal="center" vertical="center"/>
      <protection hidden="1"/>
    </xf>
    <xf numFmtId="0" fontId="7" fillId="6" borderId="33" xfId="0" applyNumberFormat="1" applyFont="1" applyFill="1" applyBorder="1" applyAlignment="1" applyProtection="1">
      <alignment vertical="center"/>
      <protection hidden="1"/>
    </xf>
    <xf numFmtId="177" fontId="12" fillId="10" borderId="33" xfId="0" applyNumberFormat="1" applyFont="1" applyFill="1" applyBorder="1" applyAlignment="1" applyProtection="1">
      <alignment horizontal="center" vertical="center"/>
      <protection locked="0" hidden="1"/>
    </xf>
    <xf numFmtId="0" fontId="12" fillId="10" borderId="33" xfId="0" applyNumberFormat="1" applyFont="1" applyFill="1" applyBorder="1" applyAlignment="1" applyProtection="1">
      <alignment horizontal="center" vertical="center"/>
      <protection locked="0" hidden="1"/>
    </xf>
    <xf numFmtId="177" fontId="13" fillId="5" borderId="33" xfId="0" applyNumberFormat="1" applyFont="1" applyFill="1" applyBorder="1" applyAlignment="1" applyProtection="1">
      <alignment horizontal="center" vertical="center"/>
      <protection hidden="1"/>
    </xf>
    <xf numFmtId="0" fontId="13" fillId="5" borderId="33" xfId="0" applyNumberFormat="1" applyFont="1" applyFill="1" applyBorder="1" applyAlignment="1" applyProtection="1">
      <alignment horizontal="center" vertical="center"/>
      <protection hidden="1"/>
    </xf>
    <xf numFmtId="0" fontId="7" fillId="6" borderId="3" xfId="0" applyNumberFormat="1" applyFont="1" applyFill="1" applyBorder="1" applyAlignment="1" applyProtection="1">
      <alignment horizontal="center" vertical="center"/>
      <protection hidden="1"/>
    </xf>
    <xf numFmtId="0" fontId="15" fillId="14" borderId="61" xfId="0" applyNumberFormat="1" applyFont="1" applyFill="1" applyBorder="1" applyProtection="1">
      <protection hidden="1"/>
    </xf>
    <xf numFmtId="3" fontId="13" fillId="14" borderId="33" xfId="0" applyNumberFormat="1" applyFont="1" applyFill="1" applyBorder="1" applyAlignment="1" applyProtection="1">
      <alignment horizontal="center" vertical="center"/>
      <protection hidden="1"/>
    </xf>
    <xf numFmtId="177" fontId="11" fillId="6" borderId="3" xfId="0" applyNumberFormat="1" applyFont="1" applyFill="1" applyBorder="1" applyAlignment="1" applyProtection="1">
      <alignment horizontal="center" vertical="center"/>
      <protection hidden="1"/>
    </xf>
    <xf numFmtId="3" fontId="12" fillId="10" borderId="33" xfId="0" applyNumberFormat="1" applyFont="1" applyFill="1" applyBorder="1" applyAlignment="1" applyProtection="1">
      <alignment horizontal="center" vertical="center"/>
      <protection locked="0" hidden="1"/>
    </xf>
    <xf numFmtId="0" fontId="18" fillId="7" borderId="0" xfId="0" applyNumberFormat="1" applyFont="1" applyFill="1" applyBorder="1" applyAlignment="1" applyProtection="1">
      <alignment horizontal="center" vertical="center"/>
      <protection hidden="1"/>
    </xf>
    <xf numFmtId="0" fontId="17" fillId="6" borderId="61" xfId="0" applyNumberFormat="1" applyFont="1" applyFill="1" applyBorder="1" applyAlignment="1" applyProtection="1">
      <alignment horizontal="center" vertical="center"/>
      <protection hidden="1"/>
    </xf>
    <xf numFmtId="0" fontId="17" fillId="6" borderId="62" xfId="0" applyNumberFormat="1" applyFont="1" applyFill="1" applyBorder="1" applyAlignment="1" applyProtection="1">
      <alignment horizontal="center" vertical="center"/>
      <protection hidden="1"/>
    </xf>
    <xf numFmtId="0" fontId="5" fillId="0" borderId="0" xfId="0" applyNumberFormat="1" applyFont="1" applyFill="1" applyBorder="1" applyAlignment="1" applyProtection="1">
      <alignment vertical="center"/>
      <protection hidden="1"/>
    </xf>
    <xf numFmtId="0" fontId="7" fillId="0" borderId="0" xfId="0" applyNumberFormat="1" applyFont="1" applyFill="1" applyBorder="1" applyAlignment="1" applyProtection="1">
      <protection hidden="1"/>
    </xf>
    <xf numFmtId="10" fontId="13" fillId="0" borderId="0" xfId="0" applyNumberFormat="1" applyFont="1" applyFill="1" applyBorder="1" applyAlignment="1" applyProtection="1">
      <alignment vertical="center"/>
      <protection hidden="1"/>
    </xf>
    <xf numFmtId="1" fontId="13" fillId="0" borderId="0" xfId="0" applyNumberFormat="1" applyFont="1" applyFill="1" applyBorder="1" applyAlignment="1" applyProtection="1">
      <alignment vertical="center"/>
      <protection hidden="1"/>
    </xf>
    <xf numFmtId="0" fontId="13" fillId="0" borderId="0" xfId="0" applyNumberFormat="1" applyFont="1" applyFill="1" applyBorder="1" applyAlignment="1" applyProtection="1">
      <alignment vertical="center"/>
      <protection hidden="1"/>
    </xf>
    <xf numFmtId="0" fontId="7" fillId="6" borderId="3" xfId="0" applyNumberFormat="1" applyFont="1" applyFill="1" applyBorder="1" applyProtection="1">
      <protection hidden="1"/>
    </xf>
    <xf numFmtId="0" fontId="5" fillId="16" borderId="5" xfId="0" applyNumberFormat="1" applyFont="1" applyFill="1" applyBorder="1" applyAlignment="1" applyProtection="1">
      <alignment horizontal="center" vertical="center"/>
      <protection hidden="1"/>
    </xf>
    <xf numFmtId="0" fontId="16" fillId="15" borderId="61" xfId="0" applyNumberFormat="1" applyFont="1" applyFill="1" applyBorder="1" applyProtection="1">
      <protection hidden="1"/>
    </xf>
    <xf numFmtId="3" fontId="19" fillId="15" borderId="33" xfId="0" applyNumberFormat="1" applyFont="1" applyFill="1" applyBorder="1" applyAlignment="1" applyProtection="1">
      <alignment horizontal="center" vertical="center"/>
      <protection hidden="1"/>
    </xf>
    <xf numFmtId="0" fontId="11" fillId="0" borderId="0" xfId="0" applyNumberFormat="1" applyFont="1" applyFill="1" applyBorder="1" applyAlignment="1" applyProtection="1">
      <alignment vertical="center" wrapText="1"/>
      <protection hidden="1"/>
    </xf>
    <xf numFmtId="0" fontId="5" fillId="16" borderId="17" xfId="0" applyNumberFormat="1" applyFont="1" applyFill="1" applyBorder="1" applyAlignment="1" applyProtection="1">
      <alignment horizontal="center" vertical="center"/>
      <protection hidden="1"/>
    </xf>
    <xf numFmtId="0" fontId="17" fillId="6" borderId="63" xfId="0" applyNumberFormat="1" applyFont="1" applyFill="1" applyBorder="1" applyAlignment="1" applyProtection="1">
      <alignment horizontal="center" vertical="center"/>
      <protection hidden="1"/>
    </xf>
    <xf numFmtId="178" fontId="1" fillId="6" borderId="3" xfId="0" applyNumberFormat="1" applyFont="1" applyFill="1" applyBorder="1" applyAlignment="1" applyProtection="1">
      <alignment horizontal="right" vertical="center"/>
      <protection hidden="1"/>
    </xf>
    <xf numFmtId="0" fontId="6" fillId="3" borderId="30" xfId="0" applyNumberFormat="1" applyFont="1" applyFill="1" applyBorder="1" applyAlignment="1" applyProtection="1">
      <alignment horizontal="center" vertical="center"/>
      <protection hidden="1"/>
    </xf>
    <xf numFmtId="0" fontId="15" fillId="5" borderId="61" xfId="0" applyNumberFormat="1" applyFont="1" applyFill="1" applyBorder="1" applyAlignment="1" applyProtection="1">
      <alignment horizontal="center" vertical="center"/>
      <protection hidden="1"/>
    </xf>
    <xf numFmtId="0" fontId="15" fillId="5" borderId="62" xfId="0" applyNumberFormat="1" applyFont="1" applyFill="1" applyBorder="1" applyAlignment="1" applyProtection="1">
      <alignment horizontal="center" vertical="center"/>
      <protection hidden="1"/>
    </xf>
    <xf numFmtId="0" fontId="15" fillId="5" borderId="63" xfId="0" applyNumberFormat="1" applyFont="1" applyFill="1" applyBorder="1" applyAlignment="1" applyProtection="1">
      <alignment horizontal="center" vertical="center"/>
      <protection hidden="1"/>
    </xf>
    <xf numFmtId="0" fontId="7" fillId="6" borderId="64" xfId="0" applyNumberFormat="1" applyFont="1" applyFill="1" applyBorder="1" applyAlignment="1" applyProtection="1">
      <alignment horizontal="center" vertical="center" wrapText="1"/>
      <protection hidden="1"/>
    </xf>
    <xf numFmtId="0" fontId="7" fillId="6" borderId="65" xfId="0" applyNumberFormat="1" applyFont="1" applyFill="1" applyBorder="1" applyAlignment="1" applyProtection="1">
      <alignment horizontal="center" vertical="center" wrapText="1"/>
      <protection hidden="1"/>
    </xf>
    <xf numFmtId="0" fontId="7" fillId="6" borderId="66" xfId="0" applyNumberFormat="1" applyFont="1" applyFill="1" applyBorder="1" applyAlignment="1" applyProtection="1">
      <alignment horizontal="center" vertical="center" wrapText="1"/>
      <protection hidden="1"/>
    </xf>
    <xf numFmtId="0" fontId="7" fillId="6" borderId="67" xfId="0" applyNumberFormat="1" applyFont="1" applyFill="1" applyBorder="1" applyAlignment="1" applyProtection="1">
      <alignment horizontal="center" vertical="center" wrapText="1"/>
      <protection hidden="1"/>
    </xf>
    <xf numFmtId="3" fontId="20" fillId="5" borderId="4" xfId="0" applyNumberFormat="1" applyFont="1" applyFill="1" applyBorder="1" applyAlignment="1" applyProtection="1">
      <alignment horizontal="center" vertical="center"/>
      <protection hidden="1"/>
    </xf>
    <xf numFmtId="0" fontId="20" fillId="5" borderId="17" xfId="0" applyNumberFormat="1" applyFont="1" applyFill="1" applyBorder="1" applyAlignment="1" applyProtection="1">
      <alignment horizontal="center" vertical="center"/>
      <protection hidden="1"/>
    </xf>
    <xf numFmtId="180" fontId="20" fillId="5" borderId="4" xfId="0" applyNumberFormat="1" applyFont="1" applyFill="1" applyBorder="1" applyAlignment="1" applyProtection="1">
      <alignment horizontal="center" vertical="center"/>
      <protection hidden="1"/>
    </xf>
    <xf numFmtId="0" fontId="20" fillId="5" borderId="6" xfId="0" applyNumberFormat="1" applyFont="1" applyFill="1" applyBorder="1" applyAlignment="1" applyProtection="1">
      <alignment horizontal="center" vertical="center"/>
      <protection hidden="1"/>
    </xf>
    <xf numFmtId="0" fontId="20" fillId="5" borderId="18" xfId="0" applyNumberFormat="1" applyFont="1" applyFill="1" applyBorder="1" applyAlignment="1" applyProtection="1">
      <alignment horizontal="center" vertical="center"/>
      <protection hidden="1"/>
    </xf>
    <xf numFmtId="0" fontId="6" fillId="12" borderId="3" xfId="0" applyNumberFormat="1" applyFont="1" applyFill="1" applyBorder="1" applyAlignment="1" applyProtection="1">
      <alignment horizontal="center" vertical="center" wrapText="1"/>
      <protection hidden="1"/>
    </xf>
    <xf numFmtId="177" fontId="1" fillId="6" borderId="3" xfId="0" applyNumberFormat="1" applyFont="1" applyFill="1" applyBorder="1" applyAlignment="1" applyProtection="1">
      <alignment horizontal="center" vertical="center"/>
      <protection hidden="1"/>
    </xf>
    <xf numFmtId="0" fontId="1" fillId="18" borderId="3" xfId="0" applyNumberFormat="1" applyFont="1" applyFill="1" applyBorder="1" applyAlignment="1" applyProtection="1">
      <alignment horizontal="center" vertical="center"/>
      <protection hidden="1"/>
    </xf>
    <xf numFmtId="0" fontId="12" fillId="10" borderId="3" xfId="0" applyNumberFormat="1" applyFont="1" applyFill="1" applyBorder="1" applyAlignment="1" applyProtection="1">
      <alignment horizontal="center" vertical="center"/>
      <protection hidden="1"/>
    </xf>
    <xf numFmtId="0" fontId="17" fillId="7" borderId="61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62" xfId="0" applyNumberFormat="1" applyFont="1" applyFill="1" applyBorder="1" applyAlignment="1" applyProtection="1">
      <alignment horizontal="center" vertical="center" wrapText="1"/>
      <protection hidden="1"/>
    </xf>
    <xf numFmtId="0" fontId="5" fillId="11" borderId="2" xfId="0" applyNumberFormat="1" applyFont="1" applyFill="1" applyBorder="1" applyAlignment="1" applyProtection="1">
      <alignment horizontal="center" vertical="center"/>
      <protection hidden="1"/>
    </xf>
    <xf numFmtId="10" fontId="20" fillId="5" borderId="4" xfId="0" applyNumberFormat="1" applyFont="1" applyFill="1" applyBorder="1" applyAlignment="1" applyProtection="1">
      <alignment horizontal="center" vertical="center"/>
      <protection hidden="1"/>
    </xf>
    <xf numFmtId="1" fontId="20" fillId="5" borderId="4" xfId="0" applyNumberFormat="1" applyFont="1" applyFill="1" applyBorder="1" applyAlignment="1" applyProtection="1">
      <alignment horizontal="center" vertical="center"/>
      <protection hidden="1"/>
    </xf>
    <xf numFmtId="1" fontId="20" fillId="5" borderId="17" xfId="0" applyNumberFormat="1" applyFont="1" applyFill="1" applyBorder="1" applyAlignment="1" applyProtection="1">
      <alignment horizontal="center" vertical="center"/>
      <protection hidden="1"/>
    </xf>
    <xf numFmtId="0" fontId="6" fillId="13" borderId="3" xfId="0" applyNumberFormat="1" applyFont="1" applyFill="1" applyBorder="1" applyAlignment="1" applyProtection="1">
      <alignment horizontal="center" vertical="center" wrapText="1"/>
      <protection hidden="1"/>
    </xf>
    <xf numFmtId="0" fontId="1" fillId="19" borderId="3" xfId="0" applyNumberFormat="1" applyFont="1" applyFill="1" applyBorder="1" applyAlignment="1" applyProtection="1">
      <alignment horizontal="center" vertical="center"/>
      <protection hidden="1"/>
    </xf>
    <xf numFmtId="180" fontId="1" fillId="6" borderId="3" xfId="0" applyNumberFormat="1" applyFont="1" applyFill="1" applyBorder="1" applyAlignment="1" applyProtection="1">
      <alignment horizontal="center" vertical="center"/>
      <protection hidden="1"/>
    </xf>
    <xf numFmtId="0" fontId="1" fillId="6" borderId="3" xfId="0" applyNumberFormat="1" applyFont="1" applyFill="1" applyBorder="1" applyAlignment="1" applyProtection="1">
      <alignment horizontal="right" vertical="center"/>
      <protection hidden="1"/>
    </xf>
    <xf numFmtId="0" fontId="1" fillId="7" borderId="4" xfId="0" applyNumberFormat="1" applyFont="1" applyFill="1" applyBorder="1" applyAlignment="1" applyProtection="1">
      <alignment horizontal="left" vertical="center" wrapText="1"/>
      <protection hidden="1"/>
    </xf>
    <xf numFmtId="0" fontId="1" fillId="7" borderId="5" xfId="0" applyNumberFormat="1" applyFont="1" applyFill="1" applyBorder="1" applyAlignment="1" applyProtection="1">
      <alignment horizontal="left" vertical="center" wrapText="1"/>
      <protection hidden="1"/>
    </xf>
    <xf numFmtId="0" fontId="1" fillId="7" borderId="17" xfId="0" applyNumberFormat="1" applyFont="1" applyFill="1" applyBorder="1" applyAlignment="1" applyProtection="1">
      <alignment horizontal="left" vertical="center" wrapText="1"/>
      <protection hidden="1"/>
    </xf>
    <xf numFmtId="10" fontId="1" fillId="6" borderId="3" xfId="0" applyNumberFormat="1" applyFont="1" applyFill="1" applyBorder="1" applyAlignment="1" applyProtection="1">
      <alignment horizontal="center" vertical="center"/>
      <protection hidden="1"/>
    </xf>
    <xf numFmtId="0" fontId="1" fillId="7" borderId="43" xfId="0" applyNumberFormat="1" applyFont="1" applyFill="1" applyBorder="1" applyAlignment="1" applyProtection="1">
      <alignment horizontal="left" vertical="center" wrapText="1"/>
      <protection hidden="1"/>
    </xf>
    <xf numFmtId="0" fontId="1" fillId="7" borderId="0" xfId="0" applyNumberFormat="1" applyFont="1" applyFill="1" applyBorder="1" applyAlignment="1" applyProtection="1">
      <alignment horizontal="left" vertical="center" wrapText="1"/>
      <protection hidden="1"/>
    </xf>
    <xf numFmtId="0" fontId="1" fillId="7" borderId="45" xfId="0" applyNumberFormat="1" applyFont="1" applyFill="1" applyBorder="1" applyAlignment="1" applyProtection="1">
      <alignment horizontal="left" vertical="center" wrapText="1"/>
      <protection hidden="1"/>
    </xf>
    <xf numFmtId="0" fontId="1" fillId="7" borderId="6" xfId="0" applyNumberFormat="1" applyFont="1" applyFill="1" applyBorder="1" applyAlignment="1" applyProtection="1">
      <alignment horizontal="left" vertical="center" wrapText="1"/>
      <protection hidden="1"/>
    </xf>
    <xf numFmtId="0" fontId="1" fillId="7" borderId="7" xfId="0" applyNumberFormat="1" applyFont="1" applyFill="1" applyBorder="1" applyAlignment="1" applyProtection="1">
      <alignment horizontal="left" vertical="center" wrapText="1"/>
      <protection hidden="1"/>
    </xf>
    <xf numFmtId="0" fontId="1" fillId="7" borderId="18" xfId="0" applyNumberFormat="1" applyFont="1" applyFill="1" applyBorder="1" applyAlignment="1" applyProtection="1">
      <alignment horizontal="left" vertical="center" wrapText="1"/>
      <protection hidden="1"/>
    </xf>
    <xf numFmtId="0" fontId="15" fillId="14" borderId="68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69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70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71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0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72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73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74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75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63" xfId="0" applyNumberFormat="1" applyFont="1" applyFill="1" applyBorder="1" applyAlignment="1" applyProtection="1">
      <alignment horizontal="center" vertical="center" wrapText="1"/>
      <protection hidden="1"/>
    </xf>
    <xf numFmtId="0" fillId="9" borderId="0" xfId="0" applyNumberFormat="1" applyFill="1" applyAlignment="1" fontId="40" applyFont="1">
      <alignment horizontal="center"/>
    </xf>
    <xf numFmtId="0" fillId="9" borderId="0" xfId="0" applyNumberFormat="1" applyFill="1" applyAlignment="1" fontId="40" applyFont="1">
      <alignment horizontal="center" vertical="center"/>
    </xf>
    <xf numFmtId="0" fillId="9" borderId="0" xfId="0" applyNumberFormat="1" applyFill="1" applyAlignment="1" fontId="40" applyFont="1">
      <alignment horizontal="center" vertical="center"/>
    </xf>
    <xf numFmtId="0" fillId="0" borderId="0" xfId="0" applyNumberFormat="1" applyFill="1" applyBorder="1" fontId="4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12700</xdr:colOff>
      <xdr:row>0</xdr:row>
      <xdr:rowOff>12700</xdr:rowOff>
    </xdr:from>
    <xdr:ext cx="1162685" cy="968375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1162685" cy="968375"/>
        </a:xfrm>
        <a:prstGeom prst="rect">
          <a:avLst/>
        </a:prstGeom>
      </xdr:spPr>
    </xdr:pic>
    <xdr:clientData/>
  </xdr:oneCellAnchor>
  <xdr:oneCellAnchor>
    <xdr:from>
      <xdr:col>10</xdr:col>
      <xdr:colOff>1029970</xdr:colOff>
      <xdr:row>33</xdr:row>
      <xdr:rowOff>160020</xdr:rowOff>
    </xdr:from>
    <xdr:ext cx="1209675" cy="975360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92610" y="7573645"/>
          <a:ext cx="1209675" cy="975360"/>
        </a:xfrm>
        <a:prstGeom prst="rect">
          <a:avLst/>
        </a:prstGeom>
      </xdr:spPr>
    </xdr:pic>
    <xdr:clientData/>
  </xdr:oneCellAnchor>
  <xdr:oneCellAnchor>
    <xdr:from>
      <xdr:col>0</xdr:col>
      <xdr:colOff>635</xdr:colOff>
      <xdr:row>34</xdr:row>
      <xdr:rowOff>33020</xdr:rowOff>
    </xdr:from>
    <xdr:ext cx="1209675" cy="975360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7660005"/>
          <a:ext cx="1209675" cy="9753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12700</xdr:colOff>
      <xdr:row>0</xdr:row>
      <xdr:rowOff>12700</xdr:rowOff>
    </xdr:from>
    <xdr:ext cx="1138555" cy="941705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1138555" cy="941705"/>
        </a:xfrm>
        <a:prstGeom prst="rect">
          <a:avLst/>
        </a:prstGeom>
      </xdr:spPr>
    </xdr:pic>
    <xdr:clientData/>
  </xdr:oneCellAnchor>
  <xdr:oneCellAnchor>
    <xdr:from>
      <xdr:col>8</xdr:col>
      <xdr:colOff>750570</xdr:colOff>
      <xdr:row>48</xdr:row>
      <xdr:rowOff>0</xdr:rowOff>
    </xdr:from>
    <xdr:ext cx="1137285" cy="91630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42195" y="10556875"/>
          <a:ext cx="1137285" cy="916305"/>
        </a:xfrm>
        <a:prstGeom prst="rect">
          <a:avLst/>
        </a:prstGeom>
      </xdr:spPr>
    </xdr:pic>
    <xdr:clientData/>
  </xdr:oneCellAnchor>
  <xdr:oneCellAnchor>
    <xdr:from>
      <xdr:col>0</xdr:col>
      <xdr:colOff>12065</xdr:colOff>
      <xdr:row>48</xdr:row>
      <xdr:rowOff>15875</xdr:rowOff>
    </xdr:from>
    <xdr:ext cx="1137285" cy="91630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0572750"/>
          <a:ext cx="1137285" cy="91630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66040</xdr:colOff>
      <xdr:row>0</xdr:row>
      <xdr:rowOff>12700</xdr:rowOff>
    </xdr:from>
    <xdr:ext cx="1293495" cy="1050290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" y="12700"/>
          <a:ext cx="1293495" cy="1050290"/>
        </a:xfrm>
        <a:prstGeom prst="rect">
          <a:avLst/>
        </a:prstGeom>
      </xdr:spPr>
    </xdr:pic>
    <xdr:clientData/>
  </xdr:oneCellAnchor>
  <xdr:oneCellAnchor>
    <xdr:from>
      <xdr:col>8</xdr:col>
      <xdr:colOff>753110</xdr:colOff>
      <xdr:row>52</xdr:row>
      <xdr:rowOff>20955</xdr:rowOff>
    </xdr:from>
    <xdr:ext cx="1126490" cy="91249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59790" y="11468735"/>
          <a:ext cx="1126490" cy="912495"/>
        </a:xfrm>
        <a:prstGeom prst="rect">
          <a:avLst/>
        </a:prstGeom>
      </xdr:spPr>
    </xdr:pic>
    <xdr:clientData/>
  </xdr:oneCellAnchor>
  <xdr:oneCellAnchor>
    <xdr:from>
      <xdr:col>0</xdr:col>
      <xdr:colOff>12700</xdr:colOff>
      <xdr:row>52</xdr:row>
      <xdr:rowOff>20955</xdr:rowOff>
    </xdr:from>
    <xdr:ext cx="1126490" cy="91249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1468735"/>
          <a:ext cx="1126490" cy="91249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0</xdr:row>
      <xdr:rowOff>635</xdr:rowOff>
    </xdr:from>
    <xdr:ext cx="1282700" cy="1076960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282700" cy="1076960"/>
        </a:xfrm>
        <a:prstGeom prst="rect">
          <a:avLst/>
        </a:prstGeom>
      </xdr:spPr>
    </xdr:pic>
    <xdr:clientData/>
  </xdr:oneCellAnchor>
  <xdr:oneCellAnchor>
    <xdr:from>
      <xdr:col>24</xdr:col>
      <xdr:colOff>676275</xdr:colOff>
      <xdr:row>214</xdr:row>
      <xdr:rowOff>211455</xdr:rowOff>
    </xdr:from>
    <xdr:ext cx="1148080" cy="92773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47650" y="54757955"/>
          <a:ext cx="1148080" cy="927735"/>
        </a:xfrm>
        <a:prstGeom prst="rect">
          <a:avLst/>
        </a:prstGeom>
      </xdr:spPr>
    </xdr:pic>
    <xdr:clientData/>
  </xdr:oneCellAnchor>
  <xdr:oneCellAnchor>
    <xdr:from>
      <xdr:col>0</xdr:col>
      <xdr:colOff>635</xdr:colOff>
      <xdr:row>215</xdr:row>
      <xdr:rowOff>16510</xdr:rowOff>
    </xdr:from>
    <xdr:ext cx="1148080" cy="92773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4776370"/>
          <a:ext cx="1148080" cy="92773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12668</xdr:colOff>
      <xdr:row>0</xdr:row>
      <xdr:rowOff>12668</xdr:rowOff>
    </xdr:from>
    <xdr:ext cx="1138523" cy="941737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2065"/>
          <a:ext cx="1138555" cy="942340"/>
        </a:xfrm>
        <a:prstGeom prst="rect">
          <a:avLst/>
        </a:prstGeom>
      </xdr:spPr>
    </xdr:pic>
    <xdr:clientData/>
  </xdr:oneCellAnchor>
  <xdr:oneCellAnchor>
    <xdr:from>
      <xdr:col>8</xdr:col>
      <xdr:colOff>750570</xdr:colOff>
      <xdr:row>48</xdr:row>
      <xdr:rowOff>0</xdr:rowOff>
    </xdr:from>
    <xdr:ext cx="1137285" cy="91630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42195" y="10556875"/>
          <a:ext cx="1137285" cy="916305"/>
        </a:xfrm>
        <a:prstGeom prst="rect">
          <a:avLst/>
        </a:prstGeom>
      </xdr:spPr>
    </xdr:pic>
    <xdr:clientData/>
  </xdr:oneCellAnchor>
  <xdr:oneCellAnchor>
    <xdr:from>
      <xdr:col>0</xdr:col>
      <xdr:colOff>12097</xdr:colOff>
      <xdr:row>48</xdr:row>
      <xdr:rowOff>15907</xdr:rowOff>
    </xdr:from>
    <xdr:ext cx="1137285" cy="91630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0572750"/>
          <a:ext cx="1137285" cy="91630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66008</xdr:colOff>
      <xdr:row>0</xdr:row>
      <xdr:rowOff>12668</xdr:rowOff>
    </xdr:from>
    <xdr:ext cx="1293495" cy="1050322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405" y="12065"/>
          <a:ext cx="1293495" cy="1050925"/>
        </a:xfrm>
        <a:prstGeom prst="rect">
          <a:avLst/>
        </a:prstGeom>
      </xdr:spPr>
    </xdr:pic>
    <xdr:clientData/>
  </xdr:oneCellAnchor>
  <xdr:oneCellAnchor>
    <xdr:from>
      <xdr:col>8</xdr:col>
      <xdr:colOff>753142</xdr:colOff>
      <xdr:row>52</xdr:row>
      <xdr:rowOff>20955</xdr:rowOff>
    </xdr:from>
    <xdr:ext cx="1126522" cy="91249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72820" y="11488420"/>
          <a:ext cx="1126490" cy="912495"/>
        </a:xfrm>
        <a:prstGeom prst="rect">
          <a:avLst/>
        </a:prstGeom>
      </xdr:spPr>
    </xdr:pic>
    <xdr:clientData/>
  </xdr:oneCellAnchor>
  <xdr:oneCellAnchor>
    <xdr:from>
      <xdr:col>0</xdr:col>
      <xdr:colOff>12668</xdr:colOff>
      <xdr:row>52</xdr:row>
      <xdr:rowOff>20955</xdr:rowOff>
    </xdr:from>
    <xdr:ext cx="1126522" cy="91249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1488420"/>
          <a:ext cx="1127125" cy="91249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667</xdr:colOff>
      <xdr:row>0</xdr:row>
      <xdr:rowOff>667</xdr:rowOff>
    </xdr:from>
    <xdr:ext cx="1282732" cy="1076992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282700" cy="1076960"/>
        </a:xfrm>
        <a:prstGeom prst="rect">
          <a:avLst/>
        </a:prstGeom>
      </xdr:spPr>
    </xdr:pic>
    <xdr:clientData/>
  </xdr:oneCellAnchor>
  <xdr:oneCellAnchor>
    <xdr:from>
      <xdr:col>24</xdr:col>
      <xdr:colOff>676275</xdr:colOff>
      <xdr:row>214</xdr:row>
      <xdr:rowOff>211455</xdr:rowOff>
    </xdr:from>
    <xdr:ext cx="1148048" cy="92773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49580" y="54757955"/>
          <a:ext cx="1147445" cy="927735"/>
        </a:xfrm>
        <a:prstGeom prst="rect">
          <a:avLst/>
        </a:prstGeom>
      </xdr:spPr>
    </xdr:pic>
    <xdr:clientData/>
  </xdr:oneCellAnchor>
  <xdr:oneCellAnchor>
    <xdr:from>
      <xdr:col>0</xdr:col>
      <xdr:colOff>667</xdr:colOff>
      <xdr:row>215</xdr:row>
      <xdr:rowOff>16478</xdr:rowOff>
    </xdr:from>
    <xdr:ext cx="1148048" cy="92773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4775735"/>
          <a:ext cx="1148080" cy="92773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12668</xdr:colOff>
      <xdr:row>0</xdr:row>
      <xdr:rowOff>12668</xdr:rowOff>
    </xdr:from>
    <xdr:ext cx="1138523" cy="941737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2065"/>
          <a:ext cx="1138555" cy="942340"/>
        </a:xfrm>
        <a:prstGeom prst="rect">
          <a:avLst/>
        </a:prstGeom>
      </xdr:spPr>
    </xdr:pic>
    <xdr:clientData/>
  </xdr:oneCellAnchor>
  <xdr:oneCellAnchor>
    <xdr:from>
      <xdr:col>8</xdr:col>
      <xdr:colOff>750570</xdr:colOff>
      <xdr:row>48</xdr:row>
      <xdr:rowOff>0</xdr:rowOff>
    </xdr:from>
    <xdr:ext cx="1137285" cy="91630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42195" y="10556875"/>
          <a:ext cx="1137285" cy="916305"/>
        </a:xfrm>
        <a:prstGeom prst="rect">
          <a:avLst/>
        </a:prstGeom>
      </xdr:spPr>
    </xdr:pic>
    <xdr:clientData/>
  </xdr:oneCellAnchor>
  <xdr:oneCellAnchor>
    <xdr:from>
      <xdr:col>0</xdr:col>
      <xdr:colOff>12097</xdr:colOff>
      <xdr:row>48</xdr:row>
      <xdr:rowOff>15907</xdr:rowOff>
    </xdr:from>
    <xdr:ext cx="1137285" cy="91630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0572750"/>
          <a:ext cx="1137285" cy="91630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66008</xdr:colOff>
      <xdr:row>0</xdr:row>
      <xdr:rowOff>12668</xdr:rowOff>
    </xdr:from>
    <xdr:ext cx="1293495" cy="1050322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405" y="12065"/>
          <a:ext cx="1293495" cy="1050925"/>
        </a:xfrm>
        <a:prstGeom prst="rect">
          <a:avLst/>
        </a:prstGeom>
      </xdr:spPr>
    </xdr:pic>
    <xdr:clientData/>
  </xdr:oneCellAnchor>
  <xdr:oneCellAnchor>
    <xdr:from>
      <xdr:col>8</xdr:col>
      <xdr:colOff>753142</xdr:colOff>
      <xdr:row>52</xdr:row>
      <xdr:rowOff>20955</xdr:rowOff>
    </xdr:from>
    <xdr:ext cx="1126522" cy="91249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62025" y="11469370"/>
          <a:ext cx="1126490" cy="912495"/>
        </a:xfrm>
        <a:prstGeom prst="rect">
          <a:avLst/>
        </a:prstGeom>
      </xdr:spPr>
    </xdr:pic>
    <xdr:clientData/>
  </xdr:oneCellAnchor>
  <xdr:oneCellAnchor>
    <xdr:from>
      <xdr:col>0</xdr:col>
      <xdr:colOff>12668</xdr:colOff>
      <xdr:row>52</xdr:row>
      <xdr:rowOff>20955</xdr:rowOff>
    </xdr:from>
    <xdr:ext cx="1126522" cy="91249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1469370"/>
          <a:ext cx="1127125" cy="91249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667</xdr:colOff>
      <xdr:row>0</xdr:row>
      <xdr:rowOff>667</xdr:rowOff>
    </xdr:from>
    <xdr:ext cx="1282732" cy="1076992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282700" cy="1076960"/>
        </a:xfrm>
        <a:prstGeom prst="rect">
          <a:avLst/>
        </a:prstGeom>
      </xdr:spPr>
    </xdr:pic>
    <xdr:clientData/>
  </xdr:oneCellAnchor>
  <xdr:oneCellAnchor>
    <xdr:from>
      <xdr:col>24</xdr:col>
      <xdr:colOff>676275</xdr:colOff>
      <xdr:row>214</xdr:row>
      <xdr:rowOff>211455</xdr:rowOff>
    </xdr:from>
    <xdr:ext cx="1148048" cy="92773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595580" y="54748430"/>
          <a:ext cx="1147445" cy="927735"/>
        </a:xfrm>
        <a:prstGeom prst="rect">
          <a:avLst/>
        </a:prstGeom>
      </xdr:spPr>
    </xdr:pic>
    <xdr:clientData/>
  </xdr:oneCellAnchor>
  <xdr:oneCellAnchor>
    <xdr:from>
      <xdr:col>0</xdr:col>
      <xdr:colOff>667</xdr:colOff>
      <xdr:row>215</xdr:row>
      <xdr:rowOff>16478</xdr:rowOff>
    </xdr:from>
    <xdr:ext cx="1148048" cy="92773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4766210"/>
          <a:ext cx="1148080" cy="92773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12700</xdr:colOff>
      <xdr:row>0</xdr:row>
      <xdr:rowOff>12700</xdr:rowOff>
    </xdr:from>
    <xdr:ext cx="1061085" cy="889000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1061085" cy="889000"/>
        </a:xfrm>
        <a:prstGeom prst="rect">
          <a:avLst/>
        </a:prstGeom>
      </xdr:spPr>
    </xdr:pic>
    <xdr:clientData/>
  </xdr:oneCellAnchor>
  <xdr:oneCellAnchor>
    <xdr:from>
      <xdr:col>12</xdr:col>
      <xdr:colOff>662305</xdr:colOff>
      <xdr:row>29</xdr:row>
      <xdr:rowOff>199390</xdr:rowOff>
    </xdr:from>
    <xdr:ext cx="1196340" cy="985520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74215" y="7301230"/>
          <a:ext cx="1196340" cy="985520"/>
        </a:xfrm>
        <a:prstGeom prst="rect">
          <a:avLst/>
        </a:prstGeom>
      </xdr:spPr>
    </xdr:pic>
    <xdr:clientData/>
  </xdr:oneCellAnchor>
  <xdr:oneCellAnchor>
    <xdr:from>
      <xdr:col>0</xdr:col>
      <xdr:colOff>635</xdr:colOff>
      <xdr:row>30</xdr:row>
      <xdr:rowOff>42545</xdr:rowOff>
    </xdr:from>
    <xdr:ext cx="1196340" cy="985520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7357745"/>
          <a:ext cx="1196340" cy="9855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2933"/>
  </sheetPr>
  <dimension ref="A1:L38"/>
  <sheetViews>
    <sheetView showGridLines="0" zoomScale="111" zoomScaleNormal="111" workbookViewId="0">
      <pane ySplit="4" topLeftCell="A5" activePane="bottomLeft" state="frozen"/>
      <selection/>
      <selection pane="bottomLeft" activeCell="C6" sqref="C6"/>
    </sheetView>
  </sheetViews>
  <sheetFormatPr defaultColWidth="9" defaultRowHeight="16.8"/>
  <cols>
    <col min="1" max="1" width="18" customWidth="1"/>
    <col min="2" max="4" width="16" customWidth="1"/>
    <col min="5" max="5" width="18" customWidth="1"/>
    <col min="6" max="8" width="16" customWidth="1"/>
    <col min="9" max="9" width="18" customWidth="1"/>
    <col min="10" max="11" width="16" customWidth="1"/>
    <col min="12" max="12" width="18" customWidth="1"/>
  </cols>
  <sheetData>
    <row r="1" ht="23" customHeight="1" spans="1:12">
      <c r="A1" s="43"/>
      <c r="B1" s="43"/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113" t="s">
        <v>1</v>
      </c>
      <c r="K1" s="113" t="s">
        <v>1</v>
      </c>
      <c r="L1" s="113" t="s">
        <v>1</v>
      </c>
    </row>
    <row r="2" ht="21" customHeight="1" spans="1:12">
      <c r="A2" s="43"/>
      <c r="B2" s="43"/>
      <c r="C2" s="45" t="s">
        <v>2</v>
      </c>
      <c r="D2" s="45" t="s">
        <v>2</v>
      </c>
      <c r="E2" s="45" t="s">
        <v>2</v>
      </c>
      <c r="F2" s="45" t="s">
        <v>2</v>
      </c>
      <c r="G2" s="45" t="s">
        <v>2</v>
      </c>
      <c r="H2" s="45" t="s">
        <v>2</v>
      </c>
      <c r="I2" s="45" t="s">
        <v>2</v>
      </c>
      <c r="J2" s="113" t="s">
        <v>1</v>
      </c>
      <c r="K2" s="113" t="s">
        <v>1</v>
      </c>
      <c r="L2" s="113" t="s">
        <v>1</v>
      </c>
    </row>
    <row r="3" ht="23" customHeight="1" spans="1:12">
      <c r="A3" s="43"/>
      <c r="B3" s="43"/>
      <c r="C3" s="46" t="s">
        <v>3</v>
      </c>
      <c r="D3" s="46" t="s">
        <v>3</v>
      </c>
      <c r="E3" s="46" t="s">
        <v>3</v>
      </c>
      <c r="F3" s="46" t="s">
        <v>3</v>
      </c>
      <c r="G3" s="46" t="s">
        <v>3</v>
      </c>
      <c r="H3" s="46" t="s">
        <v>3</v>
      </c>
      <c r="I3" s="46" t="s">
        <v>3</v>
      </c>
      <c r="J3" s="113" t="s">
        <v>1</v>
      </c>
      <c r="K3" s="113" t="s">
        <v>1</v>
      </c>
      <c r="L3" s="113" t="s">
        <v>1</v>
      </c>
    </row>
    <row r="4" spans="1:12">
      <c r="A4" s="259" t="inlineStr">
        <is>
          <t xml:space="preserve">Licence Number: TSA-MURU-2419    |    Name: MURUGAN M    |    Mail ID: muruganm56789@gmail.com    |    Contact Number: 8610022419</t>
        </is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2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ht="17.55" spans="1:12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</row>
    <row r="7" ht="17.55" spans="1:12">
      <c r="A7" s="106" t="s">
        <v>4</v>
      </c>
      <c r="B7" s="107" t="s">
        <v>4</v>
      </c>
      <c r="C7" s="107" t="s">
        <v>4</v>
      </c>
      <c r="D7" s="108" t="s">
        <v>4</v>
      </c>
      <c r="E7" s="121" t="s">
        <v>5</v>
      </c>
      <c r="F7" s="231" t="s">
        <v>5</v>
      </c>
      <c r="G7" s="231" t="s">
        <v>5</v>
      </c>
      <c r="H7" s="122" t="s">
        <v>5</v>
      </c>
      <c r="I7" s="106" t="s">
        <v>6</v>
      </c>
      <c r="J7" s="107" t="s">
        <v>6</v>
      </c>
      <c r="K7" s="107" t="s">
        <v>6</v>
      </c>
      <c r="L7" s="108" t="s">
        <v>6</v>
      </c>
    </row>
    <row r="8" ht="17.55" spans="1:12">
      <c r="A8" s="212" t="s">
        <v>7</v>
      </c>
      <c r="B8" s="212" t="s">
        <v>7</v>
      </c>
      <c r="C8" s="212" t="s">
        <v>7</v>
      </c>
      <c r="D8" s="212" t="s">
        <v>7</v>
      </c>
      <c r="E8" s="212" t="s">
        <v>7</v>
      </c>
      <c r="F8" s="212" t="s">
        <v>7</v>
      </c>
      <c r="G8" s="212" t="s">
        <v>7</v>
      </c>
      <c r="H8" s="212" t="s">
        <v>7</v>
      </c>
      <c r="I8" s="212" t="s">
        <v>7</v>
      </c>
      <c r="J8" s="212" t="s">
        <v>7</v>
      </c>
      <c r="K8" s="212" t="s">
        <v>7</v>
      </c>
      <c r="L8" s="212" t="s">
        <v>7</v>
      </c>
    </row>
    <row r="9" ht="17.55" spans="1:12">
      <c r="A9" s="212" t="s">
        <v>8</v>
      </c>
      <c r="B9" s="212" t="s">
        <v>8</v>
      </c>
      <c r="C9" s="212" t="s">
        <v>8</v>
      </c>
      <c r="D9" s="212" t="s">
        <v>8</v>
      </c>
      <c r="E9" s="212" t="s">
        <v>8</v>
      </c>
      <c r="F9" s="212" t="s">
        <v>8</v>
      </c>
      <c r="G9" s="212" t="s">
        <v>8</v>
      </c>
      <c r="H9" s="212" t="s">
        <v>8</v>
      </c>
      <c r="I9" s="212" t="s">
        <v>8</v>
      </c>
      <c r="J9" s="212" t="s">
        <v>8</v>
      </c>
      <c r="K9" s="212" t="s">
        <v>8</v>
      </c>
      <c r="L9" s="212" t="s">
        <v>8</v>
      </c>
    </row>
    <row r="10" ht="17.55" spans="1:12">
      <c r="A10" s="212" t="s">
        <v>9</v>
      </c>
      <c r="B10" s="212" t="s">
        <v>9</v>
      </c>
      <c r="C10" s="212" t="s">
        <v>9</v>
      </c>
      <c r="D10" s="212" t="s">
        <v>9</v>
      </c>
      <c r="E10" s="212" t="s">
        <v>9</v>
      </c>
      <c r="F10" s="212" t="s">
        <v>9</v>
      </c>
      <c r="G10" s="212" t="s">
        <v>9</v>
      </c>
      <c r="H10" s="212" t="s">
        <v>9</v>
      </c>
      <c r="I10" s="212" t="s">
        <v>9</v>
      </c>
      <c r="J10" s="212" t="s">
        <v>9</v>
      </c>
      <c r="K10" s="212" t="s">
        <v>9</v>
      </c>
      <c r="L10" s="212" t="s">
        <v>9</v>
      </c>
    </row>
    <row r="11" spans="1:12">
      <c r="A11" s="213" t="str">
        <f>IF('GOLDTEN Calculation'!B12="","Active Contract: input required","Active Contract: "&amp;'GOLDTEN Calculation'!B12)</f>
        <v>Active Contract: OCT</v>
      </c>
      <c r="B11" s="214" t="s">
        <v>10</v>
      </c>
      <c r="C11" s="214" t="s">
        <v>10</v>
      </c>
      <c r="D11" s="215" t="s">
        <v>10</v>
      </c>
      <c r="E11" s="213" t="str">
        <f>IF('GOLDM Calculation'!B12="","Active Contract: input required","Active Contract: "&amp;'GOLDM Calculation'!B12)</f>
        <v>Active Contract: OCT</v>
      </c>
      <c r="F11" s="214" t="s">
        <v>10</v>
      </c>
      <c r="G11" s="214" t="s">
        <v>10</v>
      </c>
      <c r="H11" s="215" t="s">
        <v>10</v>
      </c>
      <c r="I11" s="213" t="str">
        <f>IF('GOLD Calculation'!B12="","Active Contract: input required","Active Contract: "&amp;'GOLD Calculation'!B12)</f>
        <v>Active Contract: OCT</v>
      </c>
      <c r="J11" s="214" t="s">
        <v>10</v>
      </c>
      <c r="K11" s="214" t="s">
        <v>10</v>
      </c>
      <c r="L11" s="215" t="s">
        <v>10</v>
      </c>
    </row>
    <row r="12" spans="1:1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</row>
    <row r="13" ht="17.55" spans="1:12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</row>
    <row r="14" ht="17.55" spans="1:12">
      <c r="A14" s="61" t="s">
        <v>11</v>
      </c>
      <c r="B14" s="62" t="s">
        <v>11</v>
      </c>
      <c r="C14" s="62" t="s">
        <v>11</v>
      </c>
      <c r="D14" s="62" t="s">
        <v>11</v>
      </c>
      <c r="E14" s="62" t="s">
        <v>11</v>
      </c>
      <c r="F14" s="62" t="s">
        <v>11</v>
      </c>
      <c r="G14" s="62" t="s">
        <v>11</v>
      </c>
      <c r="H14" s="62" t="s">
        <v>11</v>
      </c>
      <c r="I14" s="62" t="s">
        <v>11</v>
      </c>
      <c r="J14" s="62" t="s">
        <v>11</v>
      </c>
      <c r="K14" s="62" t="s">
        <v>11</v>
      </c>
      <c r="L14" s="81" t="s">
        <v>11</v>
      </c>
    </row>
    <row r="15" spans="1:12">
      <c r="A15" s="216" t="s">
        <v>12</v>
      </c>
      <c r="B15" s="217" t="s">
        <v>12</v>
      </c>
      <c r="C15" s="216" t="s">
        <v>13</v>
      </c>
      <c r="D15" s="217" t="s">
        <v>13</v>
      </c>
      <c r="E15" s="216" t="s">
        <v>14</v>
      </c>
      <c r="F15" s="217" t="s">
        <v>14</v>
      </c>
      <c r="G15" s="216" t="s">
        <v>15</v>
      </c>
      <c r="H15" s="217" t="s">
        <v>15</v>
      </c>
      <c r="I15" s="216" t="s">
        <v>16</v>
      </c>
      <c r="J15" s="217" t="s">
        <v>16</v>
      </c>
      <c r="K15" s="48"/>
      <c r="L15" s="48"/>
    </row>
    <row r="16" ht="17.55" spans="1:12">
      <c r="A16" s="218" t="s">
        <v>12</v>
      </c>
      <c r="B16" s="219" t="s">
        <v>12</v>
      </c>
      <c r="C16" s="218" t="s">
        <v>13</v>
      </c>
      <c r="D16" s="219" t="s">
        <v>13</v>
      </c>
      <c r="E16" s="218" t="s">
        <v>14</v>
      </c>
      <c r="F16" s="219" t="s">
        <v>14</v>
      </c>
      <c r="G16" s="218" t="s">
        <v>15</v>
      </c>
      <c r="H16" s="219" t="s">
        <v>15</v>
      </c>
      <c r="I16" s="218" t="s">
        <v>16</v>
      </c>
      <c r="J16" s="219" t="s">
        <v>16</v>
      </c>
      <c r="K16" s="48"/>
      <c r="L16" s="48"/>
    </row>
    <row r="17" spans="1:12">
      <c r="A17" s="220">
        <f>SUM('GOLDTEN Tracking'!H7,'GOLDM Tracking'!H7,'GOLD Tracking'!H7)</f>
        <v>900000</v>
      </c>
      <c r="B17" s="221" t="s">
        <v>10</v>
      </c>
      <c r="C17" s="222">
        <f>SUM('GOLDTEN Tracking'!H8,'GOLDM Tracking'!H8,'GOLD Tracking'!H8)</f>
        <v>224718.026444</v>
      </c>
      <c r="D17" s="221" t="s">
        <v>10</v>
      </c>
      <c r="E17" s="232">
        <f>IF(A17=0,"",C17/A17)</f>
        <v>0.249686696048889</v>
      </c>
      <c r="F17" s="221" t="s">
        <v>10</v>
      </c>
      <c r="G17" s="233">
        <f>SUM('GOLDTEN Tracking'!H10,'GOLDM Tracking'!H10,'GOLD Tracking'!H10)</f>
        <v>5</v>
      </c>
      <c r="H17" s="234" t="s">
        <v>10</v>
      </c>
      <c r="I17" s="233">
        <f>SUM('GOLDTEN Tracking'!L7,'GOLDM Tracking'!L7,'GOLD Tracking'!L7)</f>
        <v>5</v>
      </c>
      <c r="J17" s="221" t="s">
        <v>10</v>
      </c>
      <c r="K17" s="48"/>
      <c r="L17" s="48"/>
    </row>
    <row r="18" ht="17.55" spans="1:12">
      <c r="A18" s="223" t="s">
        <v>10</v>
      </c>
      <c r="B18" s="224" t="s">
        <v>10</v>
      </c>
      <c r="C18" s="223" t="s">
        <v>10</v>
      </c>
      <c r="D18" s="224" t="s">
        <v>10</v>
      </c>
      <c r="E18" s="223" t="s">
        <v>10</v>
      </c>
      <c r="F18" s="224" t="s">
        <v>10</v>
      </c>
      <c r="G18" s="223" t="s">
        <v>10</v>
      </c>
      <c r="H18" s="224" t="s">
        <v>10</v>
      </c>
      <c r="I18" s="223" t="s">
        <v>10</v>
      </c>
      <c r="J18" s="224" t="s">
        <v>10</v>
      </c>
      <c r="K18" s="48"/>
      <c r="L18" s="48"/>
    </row>
    <row r="19" spans="1:12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</row>
    <row r="20" ht="17.55" spans="1:12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</row>
    <row r="21" ht="17.55" spans="1:12">
      <c r="A21" s="91" t="s">
        <v>17</v>
      </c>
      <c r="B21" s="92" t="s">
        <v>17</v>
      </c>
      <c r="C21" s="92" t="s">
        <v>17</v>
      </c>
      <c r="D21" s="92" t="s">
        <v>17</v>
      </c>
      <c r="E21" s="92" t="s">
        <v>17</v>
      </c>
      <c r="F21" s="92" t="s">
        <v>17</v>
      </c>
      <c r="G21" s="92" t="s">
        <v>17</v>
      </c>
      <c r="H21" s="92" t="s">
        <v>17</v>
      </c>
      <c r="I21" s="92" t="s">
        <v>17</v>
      </c>
      <c r="J21" s="92" t="s">
        <v>17</v>
      </c>
      <c r="K21" s="92" t="s">
        <v>17</v>
      </c>
      <c r="L21" s="102" t="s">
        <v>17</v>
      </c>
    </row>
    <row r="22" spans="1:12">
      <c r="A22" s="63" t="s">
        <v>18</v>
      </c>
      <c r="B22" s="63" t="s">
        <v>19</v>
      </c>
      <c r="C22" s="63" t="s">
        <v>20</v>
      </c>
      <c r="D22" s="225" t="s">
        <v>21</v>
      </c>
      <c r="E22" s="225" t="s">
        <v>22</v>
      </c>
      <c r="F22" s="235" t="s">
        <v>23</v>
      </c>
      <c r="G22" s="235" t="s">
        <v>24</v>
      </c>
      <c r="H22" s="63" t="s">
        <v>25</v>
      </c>
      <c r="I22" s="63" t="s">
        <v>26</v>
      </c>
      <c r="J22" s="239" t="s">
        <v>27</v>
      </c>
      <c r="K22" s="240" t="s">
        <v>27</v>
      </c>
      <c r="L22" s="241" t="s">
        <v>27</v>
      </c>
    </row>
    <row r="23" spans="1:12">
      <c r="A23" s="93" t="s">
        <v>4</v>
      </c>
      <c r="B23" s="93" t="str">
        <f>IF('GOLDTEN Calculation'!B12="","",'GOLDTEN Calculation'!B12)</f>
        <v>OCT</v>
      </c>
      <c r="C23" s="226">
        <f>IF('GOLDTEN Calculation'!B6="","",'GOLDTEN Calculation'!B6)</f>
        <v>46283</v>
      </c>
      <c r="D23" s="227" t="str">
        <f>'GOLDTEN Orders'!G21</f>
        <v>Normal Buy</v>
      </c>
      <c r="E23" s="227" t="str">
        <f>'GOLDTEN Orders'!F21</f>
        <v>No Holdings</v>
      </c>
      <c r="F23" s="236" t="str">
        <f>'GOLDTEN Orders'!G22</f>
        <v>Latest Tracking Sell</v>
      </c>
      <c r="G23" s="236" t="str">
        <f>'GOLDTEN Orders'!F22</f>
        <v>Target Triggered</v>
      </c>
      <c r="H23" s="237">
        <f>'GOLDTEN Tracking'!H8</f>
        <v>17529.342204</v>
      </c>
      <c r="I23" s="242">
        <f>'GOLDTEN Tracking'!H9</f>
        <v>0.17529342204</v>
      </c>
      <c r="J23" s="243" t="s">
        <v>27</v>
      </c>
      <c r="K23" s="244" t="s">
        <v>27</v>
      </c>
      <c r="L23" s="245" t="s">
        <v>27</v>
      </c>
    </row>
    <row r="24" spans="1:12">
      <c r="A24" s="93" t="s">
        <v>5</v>
      </c>
      <c r="B24" s="93" t="str">
        <f>IF('GOLDM Calculation'!B12="","",'GOLDM Calculation'!B12)</f>
        <v>OCT</v>
      </c>
      <c r="C24" s="226">
        <f>IF('GOLDM Calculation'!B6="","",'GOLDM Calculation'!B6)</f>
        <v>46275</v>
      </c>
      <c r="D24" s="227" t="str">
        <f>'GOLDM Orders'!G21</f>
        <v>Normal Buy</v>
      </c>
      <c r="E24" s="227" t="str">
        <f>'GOLDM Orders'!F21</f>
        <v>Target Triggered</v>
      </c>
      <c r="F24" s="236" t="str">
        <f>'GOLDM Orders'!G22</f>
        <v>Latest Tracking Sell</v>
      </c>
      <c r="G24" s="236" t="str">
        <f>'GOLDM Orders'!F22</f>
        <v>Sell Holding</v>
      </c>
      <c r="H24" s="237">
        <f>'GOLDM Tracking'!H8</f>
        <v>175293.42204</v>
      </c>
      <c r="I24" s="242">
        <f>'GOLDM Tracking'!H9</f>
        <v>0.21911677755</v>
      </c>
      <c r="J24" s="243" t="s">
        <v>27</v>
      </c>
      <c r="K24" s="244" t="s">
        <v>27</v>
      </c>
      <c r="L24" s="245" t="s">
        <v>27</v>
      </c>
    </row>
    <row r="25" ht="17.55" spans="1:12">
      <c r="A25" s="93" t="s">
        <v>6</v>
      </c>
      <c r="B25" s="93" t="str">
        <f>IF('GOLD Calculation'!B12="","",'GOLD Calculation'!B12)</f>
        <v>OCT</v>
      </c>
      <c r="C25" s="226">
        <f>IF('GOLD Calculation'!B6="","",'GOLD Calculation'!B6)</f>
        <v>46275</v>
      </c>
      <c r="D25" s="227" t="str">
        <f>'GOLD Orders'!G21</f>
        <v>Gap Up Buy</v>
      </c>
      <c r="E25" s="227" t="str">
        <f>'GOLD Orders'!F21</f>
        <v>Entry Triggered</v>
      </c>
      <c r="F25" s="236" t="str">
        <f>'GOLD Orders'!G22</f>
        <v>Latest Tracking Sell</v>
      </c>
      <c r="G25" s="236" t="str">
        <f>'GOLD Orders'!F22</f>
        <v>Sell Holding</v>
      </c>
      <c r="H25" s="237">
        <f>'GOLD Tracking'!H8</f>
        <v>31895.2622</v>
      </c>
      <c r="I25" s="242" t="str">
        <f>'GOLD Tracking'!H9</f>
        <v/>
      </c>
      <c r="J25" s="246" t="s">
        <v>27</v>
      </c>
      <c r="K25" s="247" t="s">
        <v>27</v>
      </c>
      <c r="L25" s="248" t="s">
        <v>27</v>
      </c>
    </row>
    <row r="26" spans="1:12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7" ht="17.55" spans="1:12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</row>
    <row r="28" ht="17.55" spans="1:12">
      <c r="A28" s="61" t="s">
        <v>28</v>
      </c>
      <c r="B28" s="62" t="s">
        <v>28</v>
      </c>
      <c r="C28" s="62" t="s">
        <v>28</v>
      </c>
      <c r="D28" s="62" t="s">
        <v>28</v>
      </c>
      <c r="E28" s="62" t="s">
        <v>28</v>
      </c>
      <c r="F28" s="62" t="s">
        <v>28</v>
      </c>
      <c r="G28" s="62" t="s">
        <v>28</v>
      </c>
      <c r="H28" s="62" t="s">
        <v>28</v>
      </c>
      <c r="I28" s="62" t="s">
        <v>28</v>
      </c>
      <c r="J28" s="62" t="s">
        <v>28</v>
      </c>
      <c r="K28" s="62" t="s">
        <v>28</v>
      </c>
      <c r="L28" s="81" t="s">
        <v>28</v>
      </c>
    </row>
    <row r="29" ht="17.55" spans="1:12">
      <c r="A29" s="212" t="s">
        <v>29</v>
      </c>
      <c r="B29" s="212" t="s">
        <v>29</v>
      </c>
      <c r="C29" s="212" t="s">
        <v>29</v>
      </c>
      <c r="D29" s="228" t="s">
        <v>30</v>
      </c>
      <c r="E29" s="228" t="s">
        <v>30</v>
      </c>
      <c r="F29" s="228" t="s">
        <v>30</v>
      </c>
      <c r="G29" s="238" t="s">
        <v>31</v>
      </c>
      <c r="H29" s="238" t="s">
        <v>31</v>
      </c>
      <c r="I29" s="238" t="s">
        <v>31</v>
      </c>
      <c r="J29" s="249" t="s">
        <v>32</v>
      </c>
      <c r="K29" s="250" t="s">
        <v>32</v>
      </c>
      <c r="L29" s="251" t="s">
        <v>32</v>
      </c>
    </row>
    <row r="30" ht="17.55" spans="1:12">
      <c r="A30" s="212" t="s">
        <v>29</v>
      </c>
      <c r="B30" s="212" t="s">
        <v>29</v>
      </c>
      <c r="C30" s="212" t="s">
        <v>29</v>
      </c>
      <c r="D30" s="228" t="s">
        <v>30</v>
      </c>
      <c r="E30" s="228" t="s">
        <v>30</v>
      </c>
      <c r="F30" s="228" t="s">
        <v>30</v>
      </c>
      <c r="G30" s="238" t="s">
        <v>31</v>
      </c>
      <c r="H30" s="238" t="s">
        <v>31</v>
      </c>
      <c r="I30" s="238" t="s">
        <v>31</v>
      </c>
      <c r="J30" s="252" t="s">
        <v>32</v>
      </c>
      <c r="K30" s="253" t="s">
        <v>32</v>
      </c>
      <c r="L30" s="254" t="s">
        <v>32</v>
      </c>
    </row>
    <row r="31" ht="17.55" spans="1:12">
      <c r="A31" s="212" t="s">
        <v>29</v>
      </c>
      <c r="B31" s="212" t="s">
        <v>29</v>
      </c>
      <c r="C31" s="212" t="s">
        <v>29</v>
      </c>
      <c r="D31" s="228" t="s">
        <v>30</v>
      </c>
      <c r="E31" s="228" t="s">
        <v>30</v>
      </c>
      <c r="F31" s="228" t="s">
        <v>30</v>
      </c>
      <c r="G31" s="238" t="s">
        <v>31</v>
      </c>
      <c r="H31" s="238" t="s">
        <v>31</v>
      </c>
      <c r="I31" s="238" t="s">
        <v>31</v>
      </c>
      <c r="J31" s="255" t="s">
        <v>32</v>
      </c>
      <c r="K31" s="256" t="s">
        <v>32</v>
      </c>
      <c r="L31" s="257" t="s">
        <v>32</v>
      </c>
    </row>
    <row r="32" spans="1:1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</row>
    <row r="33" spans="1:12">
      <c r="A33" s="229" t="s">
        <v>33</v>
      </c>
      <c r="B33" s="230" t="s">
        <v>33</v>
      </c>
      <c r="C33" s="230" t="s">
        <v>33</v>
      </c>
      <c r="D33" s="230" t="s">
        <v>33</v>
      </c>
      <c r="E33" s="230" t="s">
        <v>33</v>
      </c>
      <c r="F33" s="230" t="s">
        <v>33</v>
      </c>
      <c r="G33" s="230" t="s">
        <v>33</v>
      </c>
      <c r="H33" s="230" t="s">
        <v>33</v>
      </c>
      <c r="I33" s="230" t="s">
        <v>33</v>
      </c>
      <c r="J33" s="230" t="s">
        <v>33</v>
      </c>
      <c r="K33" s="230" t="s">
        <v>33</v>
      </c>
      <c r="L33" s="258" t="s">
        <v>33</v>
      </c>
    </row>
    <row r="34" spans="1:12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</row>
    <row r="35" ht="18" customHeight="1" spans="1:12">
      <c r="A35" s="164" t="s">
        <v>34</v>
      </c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</row>
    <row r="36" ht="18" customHeight="1" spans="1:12">
      <c r="A36" s="165" t="s">
        <v>35</v>
      </c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</row>
    <row r="37" ht="18" customHeight="1" spans="1:12">
      <c r="A37" s="165" t="s">
        <v>36</v>
      </c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</row>
    <row r="38" ht="18" customHeight="1" spans="1:12">
      <c r="A38" s="166" t="s">
        <v>37</v>
      </c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</row>
  </sheetData>
  <sheetProtection algorithmName="SHA-512" hashValue="pnH/KQDJyxo0BP9Pz4OeOI8G9pDM4XEHPAMsJcjWU7vBxVCdB0LXcsBd5dHwHPFLkolDGuzFf/KWSsT2knNYlg==" saltValue="9L+Y1EJCzw5e7N90ZX5hDQ==" spinCount="100000" sheet="1" objects="1"/>
  <mergeCells count="43">
    <mergeCell ref="C1:I1"/>
    <mergeCell ref="C2:I2"/>
    <mergeCell ref="C3:I3"/>
    <mergeCell ref="A4:L4"/>
    <mergeCell ref="A7:D7"/>
    <mergeCell ref="E7:H7"/>
    <mergeCell ref="I7:L7"/>
    <mergeCell ref="A8:D8"/>
    <mergeCell ref="E8:H8"/>
    <mergeCell ref="I8:L8"/>
    <mergeCell ref="A9:D9"/>
    <mergeCell ref="E9:H9"/>
    <mergeCell ref="I9:L9"/>
    <mergeCell ref="A10:D10"/>
    <mergeCell ref="E10:H10"/>
    <mergeCell ref="I10:L10"/>
    <mergeCell ref="A11:D11"/>
    <mergeCell ref="E11:H11"/>
    <mergeCell ref="I11:L11"/>
    <mergeCell ref="A14:L14"/>
    <mergeCell ref="A21:L21"/>
    <mergeCell ref="A28:L28"/>
    <mergeCell ref="A33:L33"/>
    <mergeCell ref="A35:L35"/>
    <mergeCell ref="A36:L36"/>
    <mergeCell ref="A37:L37"/>
    <mergeCell ref="A38:L38"/>
    <mergeCell ref="J1:L3"/>
    <mergeCell ref="A15:B16"/>
    <mergeCell ref="C15:D16"/>
    <mergeCell ref="E15:F16"/>
    <mergeCell ref="G15:H16"/>
    <mergeCell ref="I15:J16"/>
    <mergeCell ref="A17:B18"/>
    <mergeCell ref="C17:D18"/>
    <mergeCell ref="E17:F18"/>
    <mergeCell ref="G17:H18"/>
    <mergeCell ref="I17:J18"/>
    <mergeCell ref="J22:L25"/>
    <mergeCell ref="A29:C31"/>
    <mergeCell ref="D29:F31"/>
    <mergeCell ref="G29:I31"/>
    <mergeCell ref="J29:L3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J52"/>
  <sheetViews>
    <sheetView showGridLines="0" zoomScale="116" zoomScaleNormal="116" workbookViewId="0">
      <pane ySplit="4" topLeftCell="A5" activePane="bottomLeft" state="frozen"/>
      <selection/>
      <selection pane="bottomLeft" activeCell="G35" sqref="G35:J35"/>
    </sheetView>
  </sheetViews>
  <sheetFormatPr defaultColWidth="9" defaultRowHeight="16.8"/>
  <cols>
    <col min="1" max="1" width="22" customWidth="1"/>
    <col min="2" max="2" width="20.1826923076923" customWidth="1"/>
    <col min="3" max="5" width="15" customWidth="1"/>
    <col min="6" max="6" width="22" customWidth="1"/>
    <col min="7" max="8" width="15" customWidth="1"/>
    <col min="9" max="10" width="14" customWidth="1"/>
  </cols>
  <sheetData>
    <row r="1" ht="23" customHeight="1" spans="1:10">
      <c r="A1" s="127" t="s">
        <v>0</v>
      </c>
      <c r="B1" s="127"/>
      <c r="C1" s="127"/>
      <c r="D1" s="127"/>
      <c r="E1" s="127"/>
      <c r="F1" s="127"/>
      <c r="G1" s="127"/>
      <c r="H1" s="113" t="s">
        <v>38</v>
      </c>
      <c r="I1" s="113" t="s">
        <v>38</v>
      </c>
      <c r="J1" s="113" t="s">
        <v>38</v>
      </c>
    </row>
    <row r="2" ht="21" customHeight="1" spans="1:10">
      <c r="A2" s="128" t="s">
        <v>2</v>
      </c>
      <c r="B2" s="128"/>
      <c r="C2" s="128"/>
      <c r="D2" s="128"/>
      <c r="E2" s="128"/>
      <c r="F2" s="128"/>
      <c r="G2" s="128"/>
      <c r="H2" s="113" t="s">
        <v>38</v>
      </c>
      <c r="I2" s="113" t="s">
        <v>38</v>
      </c>
      <c r="J2" s="113" t="s">
        <v>38</v>
      </c>
    </row>
    <row r="3" ht="23" customHeight="1" spans="1:10">
      <c r="A3" s="129" t="s">
        <v>39</v>
      </c>
      <c r="B3" s="129"/>
      <c r="C3" s="129"/>
      <c r="D3" s="129"/>
      <c r="E3" s="129"/>
      <c r="F3" s="129"/>
      <c r="G3" s="129"/>
      <c r="H3" s="113" t="s">
        <v>38</v>
      </c>
      <c r="I3" s="113" t="s">
        <v>38</v>
      </c>
      <c r="J3" s="113" t="s">
        <v>38</v>
      </c>
    </row>
    <row r="4" spans="1:10">
      <c r="A4" s="260" t="inlineStr">
        <is>
          <t xml:space="preserve">Licence Number: TSA-MURU-2419    |    Name: MURUGAN M    |    Mail ID: muruganm56789@gmail.com    |    Contact Number: 8610022419</t>
        </is>
      </c>
      <c r="B4" s="184"/>
      <c r="C4" s="184"/>
      <c r="D4" s="184"/>
      <c r="E4" s="184"/>
      <c r="F4" s="184"/>
      <c r="G4" s="184"/>
      <c r="H4" s="184"/>
      <c r="I4" s="184"/>
      <c r="J4" s="184"/>
    </row>
    <row r="5" spans="1:10">
      <c r="A5" s="185" t="s">
        <v>40</v>
      </c>
      <c r="B5" s="185" t="s">
        <v>40</v>
      </c>
      <c r="C5" s="185" t="s">
        <v>40</v>
      </c>
      <c r="D5" s="185" t="s">
        <v>40</v>
      </c>
      <c r="E5" s="48"/>
      <c r="F5" s="199"/>
      <c r="G5" s="199"/>
      <c r="H5" s="199"/>
      <c r="I5" s="199"/>
      <c r="J5" s="199"/>
    </row>
    <row r="6" spans="1:10">
      <c r="A6" s="186" t="s">
        <v>41</v>
      </c>
      <c r="B6" s="187">
        <v>46283</v>
      </c>
      <c r="C6" s="187"/>
      <c r="D6" s="187"/>
      <c r="E6" s="48"/>
      <c r="F6" s="200"/>
      <c r="G6" s="201"/>
      <c r="H6" s="201"/>
      <c r="I6" s="201"/>
      <c r="J6" s="201"/>
    </row>
    <row r="7" spans="1:10">
      <c r="A7" s="186" t="s">
        <v>42</v>
      </c>
      <c r="B7" s="188" t="s">
        <v>43</v>
      </c>
      <c r="C7" s="188"/>
      <c r="D7" s="188"/>
      <c r="E7" s="48"/>
      <c r="F7" s="200"/>
      <c r="G7" s="201"/>
      <c r="H7" s="201"/>
      <c r="I7" s="201"/>
      <c r="J7" s="201"/>
    </row>
    <row r="8" spans="1:10">
      <c r="A8" s="186" t="s">
        <v>44</v>
      </c>
      <c r="B8" s="187">
        <v>46295</v>
      </c>
      <c r="C8" s="187"/>
      <c r="D8" s="187"/>
      <c r="E8" s="48"/>
      <c r="F8" s="200"/>
      <c r="G8" s="201"/>
      <c r="H8" s="201"/>
      <c r="I8" s="201"/>
      <c r="J8" s="201"/>
    </row>
    <row r="9" spans="1:10">
      <c r="A9" s="186" t="s">
        <v>45</v>
      </c>
      <c r="B9" s="188" t="s">
        <v>46</v>
      </c>
      <c r="C9" s="188"/>
      <c r="D9" s="188"/>
      <c r="E9" s="48"/>
      <c r="F9" s="200"/>
      <c r="G9" s="202"/>
      <c r="H9" s="202"/>
      <c r="I9" s="202"/>
      <c r="J9" s="202"/>
    </row>
    <row r="10" spans="1:10">
      <c r="A10" s="186" t="s">
        <v>47</v>
      </c>
      <c r="B10" s="187">
        <v>46325</v>
      </c>
      <c r="C10" s="187"/>
      <c r="D10" s="187"/>
      <c r="E10" s="48"/>
      <c r="F10" s="200"/>
      <c r="G10" s="202"/>
      <c r="H10" s="202"/>
      <c r="I10" s="202"/>
      <c r="J10" s="202"/>
    </row>
    <row r="11" spans="1:10">
      <c r="A11" s="186" t="s">
        <v>48</v>
      </c>
      <c r="B11" s="189">
        <f>IF(B8="","",WORKDAY(B8,-Settings!$K$11))</f>
        <v>46282</v>
      </c>
      <c r="C11" s="189"/>
      <c r="D11" s="189"/>
      <c r="E11" s="48"/>
      <c r="F11" s="200"/>
      <c r="G11" s="203"/>
      <c r="H11" s="203"/>
      <c r="I11" s="203"/>
      <c r="J11" s="203"/>
    </row>
    <row r="12" spans="1:10">
      <c r="A12" s="186" t="s">
        <v>49</v>
      </c>
      <c r="B12" s="190" t="str">
        <f>IF(OR(B6="",B11=""),"",IF(B6&gt;=B11,B9,B7))</f>
        <v>OCT</v>
      </c>
      <c r="C12" s="190"/>
      <c r="D12" s="190"/>
      <c r="E12" s="48"/>
      <c r="F12" s="200"/>
      <c r="G12" s="203"/>
      <c r="H12" s="203"/>
      <c r="I12" s="203"/>
      <c r="J12" s="203"/>
    </row>
    <row r="13" ht="17.55" spans="1:10">
      <c r="A13" s="48"/>
      <c r="B13" s="48"/>
      <c r="C13" s="48"/>
      <c r="D13" s="48"/>
      <c r="E13" s="48"/>
      <c r="F13" s="48"/>
      <c r="G13" s="48"/>
      <c r="H13" s="48"/>
      <c r="I13" s="48"/>
      <c r="J13" s="48"/>
    </row>
    <row r="14" ht="17.55" spans="1:10">
      <c r="A14" s="61" t="s">
        <v>50</v>
      </c>
      <c r="B14" s="62" t="s">
        <v>50</v>
      </c>
      <c r="C14" s="62" t="s">
        <v>50</v>
      </c>
      <c r="D14" s="62" t="s">
        <v>50</v>
      </c>
      <c r="E14" s="62" t="s">
        <v>50</v>
      </c>
      <c r="F14" s="62" t="s">
        <v>50</v>
      </c>
      <c r="G14" s="62" t="s">
        <v>50</v>
      </c>
      <c r="H14" s="62" t="s">
        <v>50</v>
      </c>
      <c r="I14" s="62" t="s">
        <v>50</v>
      </c>
      <c r="J14" s="81" t="s">
        <v>50</v>
      </c>
    </row>
    <row r="15" spans="1:10">
      <c r="A15" s="48"/>
      <c r="B15" s="48"/>
      <c r="C15" s="48"/>
      <c r="D15" s="48"/>
      <c r="E15" s="48"/>
      <c r="F15" s="48"/>
      <c r="G15" s="48"/>
      <c r="H15" s="48"/>
      <c r="I15" s="48"/>
      <c r="J15" s="48"/>
    </row>
    <row r="16" spans="1:10">
      <c r="A16" s="63" t="s">
        <v>51</v>
      </c>
      <c r="B16" s="63" t="s">
        <v>52</v>
      </c>
      <c r="C16" s="63" t="s">
        <v>53</v>
      </c>
      <c r="D16" s="63" t="s">
        <v>54</v>
      </c>
      <c r="E16" s="48"/>
      <c r="F16" s="63" t="s">
        <v>55</v>
      </c>
      <c r="G16" s="63" t="s">
        <v>56</v>
      </c>
      <c r="H16" s="48"/>
      <c r="I16" s="208"/>
      <c r="J16" s="208"/>
    </row>
    <row r="17" spans="1:10">
      <c r="A17" s="191" t="s">
        <v>57</v>
      </c>
      <c r="B17" s="65">
        <v>46282</v>
      </c>
      <c r="C17" s="82">
        <v>154770</v>
      </c>
      <c r="D17" s="82">
        <v>151666</v>
      </c>
      <c r="E17" s="48"/>
      <c r="F17" s="204" t="s">
        <v>58</v>
      </c>
      <c r="G17" s="179">
        <f>IF(COUNT(C17:C20)&lt;4,"",MAX(C17:C20))</f>
        <v>154770</v>
      </c>
      <c r="H17" s="48"/>
      <c r="I17" s="208"/>
      <c r="J17" s="208"/>
    </row>
    <row r="18" spans="1:10">
      <c r="A18" s="191" t="s">
        <v>59</v>
      </c>
      <c r="B18" s="65"/>
      <c r="C18" s="82">
        <v>154148</v>
      </c>
      <c r="D18" s="82">
        <v>150500</v>
      </c>
      <c r="E18" s="48"/>
      <c r="F18" s="204" t="s">
        <v>60</v>
      </c>
      <c r="G18" s="179">
        <f>IF(COUNT(D17:D20)&lt;4,"",MIN(D17:D20))</f>
        <v>150110</v>
      </c>
      <c r="H18" s="48"/>
      <c r="I18" s="208"/>
      <c r="J18" s="208"/>
    </row>
    <row r="19" spans="1:10">
      <c r="A19" s="191" t="s">
        <v>61</v>
      </c>
      <c r="B19" s="65"/>
      <c r="C19" s="82">
        <v>152402</v>
      </c>
      <c r="D19" s="82">
        <v>150110</v>
      </c>
      <c r="E19" s="48"/>
      <c r="F19" s="204" t="s">
        <v>62</v>
      </c>
      <c r="G19" s="179">
        <f>IF(COUNT(C19:C20)&lt;2,"",MAX(C19:C20))</f>
        <v>152402</v>
      </c>
      <c r="H19" s="48"/>
      <c r="I19" s="208"/>
      <c r="J19" s="208"/>
    </row>
    <row r="20" spans="1:10">
      <c r="A20" s="191" t="s">
        <v>63</v>
      </c>
      <c r="B20" s="65"/>
      <c r="C20" s="82">
        <v>151932</v>
      </c>
      <c r="D20" s="82">
        <v>150411</v>
      </c>
      <c r="E20" s="48"/>
      <c r="F20" s="204" t="s">
        <v>64</v>
      </c>
      <c r="G20" s="179">
        <f>IF(COUNT(D19:D20)&lt;2,"",MIN(D19:D20))</f>
        <v>150110</v>
      </c>
      <c r="H20" s="48"/>
      <c r="I20" s="208"/>
      <c r="J20" s="208"/>
    </row>
    <row r="21" ht="17.55" spans="1:10">
      <c r="A21" s="48"/>
      <c r="B21" s="48"/>
      <c r="C21" s="48"/>
      <c r="D21" s="48"/>
      <c r="E21" s="48"/>
      <c r="F21" s="48"/>
      <c r="G21" s="48"/>
      <c r="H21" s="48"/>
      <c r="I21" s="48"/>
      <c r="J21" s="48"/>
    </row>
    <row r="22" ht="17.55" spans="1:10">
      <c r="A22" s="106" t="s">
        <v>65</v>
      </c>
      <c r="B22" s="69" t="s">
        <v>65</v>
      </c>
      <c r="C22" s="69" t="s">
        <v>65</v>
      </c>
      <c r="D22" s="70" t="s">
        <v>65</v>
      </c>
      <c r="E22" s="48"/>
      <c r="F22" s="156" t="s">
        <v>66</v>
      </c>
      <c r="G22" s="205" t="s">
        <v>66</v>
      </c>
      <c r="H22" s="205" t="s">
        <v>66</v>
      </c>
      <c r="I22" s="205" t="s">
        <v>66</v>
      </c>
      <c r="J22" s="209" t="s">
        <v>66</v>
      </c>
    </row>
    <row r="23" spans="1:10">
      <c r="A23" s="192" t="s">
        <v>67</v>
      </c>
      <c r="B23" s="193">
        <f>IF(G17="","",G17*(1+Settings!$K$6))</f>
        <v>154955.724</v>
      </c>
      <c r="C23" s="193"/>
      <c r="D23" s="193"/>
      <c r="E23" s="48"/>
      <c r="F23" s="206" t="s">
        <v>67</v>
      </c>
      <c r="G23" s="207">
        <f>IF(G18="","",G18*(1-Settings!$K$6))</f>
        <v>149929.868</v>
      </c>
      <c r="H23" s="207"/>
      <c r="I23" s="207"/>
      <c r="J23" s="207"/>
    </row>
    <row r="24" spans="1:10">
      <c r="A24" s="192" t="s">
        <v>68</v>
      </c>
      <c r="B24" s="193">
        <f>IF(B23="","",B23*(1+Settings!$K$7))</f>
        <v>157280.05986</v>
      </c>
      <c r="C24" s="193"/>
      <c r="D24" s="193"/>
      <c r="E24" s="48"/>
      <c r="F24" s="206" t="s">
        <v>68</v>
      </c>
      <c r="G24" s="207">
        <f>IF(G23="","",G23*(1-Settings!$K$7))</f>
        <v>147680.91998</v>
      </c>
      <c r="H24" s="207"/>
      <c r="I24" s="207"/>
      <c r="J24" s="207"/>
    </row>
    <row r="25" spans="1:10">
      <c r="A25" s="192" t="s">
        <v>69</v>
      </c>
      <c r="B25" s="193">
        <f>IF(OR(B23="",G20=""),"",MAX(B23*(1-Settings!$K$8),G20*(1-Settings!$K$6)))</f>
        <v>152631.38814</v>
      </c>
      <c r="C25" s="193"/>
      <c r="D25" s="193"/>
      <c r="E25" s="48"/>
      <c r="F25" s="206" t="s">
        <v>69</v>
      </c>
      <c r="G25" s="207">
        <f>IF(OR(G23="",G19=""),"",MIN(G23*(1+Settings!$K$8),G19*(1+Settings!$K$6)))</f>
        <v>152178.81602</v>
      </c>
      <c r="H25" s="207"/>
      <c r="I25" s="207"/>
      <c r="J25" s="207"/>
    </row>
    <row r="26" spans="1:10">
      <c r="A26" s="192" t="s">
        <v>70</v>
      </c>
      <c r="B26" s="193">
        <f>IF(OR(B23="",G18=""),"",MAX(B23*(1-Settings!$K$8),G18*(1-Settings!$K$6)))</f>
        <v>152631.38814</v>
      </c>
      <c r="C26" s="193"/>
      <c r="D26" s="193"/>
      <c r="E26" s="48"/>
      <c r="F26" s="206" t="s">
        <v>70</v>
      </c>
      <c r="G26" s="207">
        <f>IF(OR(G23="",G17=""),"",MIN(G23*(1+Settings!$K$8),G17*(1+Settings!$K$6)))</f>
        <v>152178.81602</v>
      </c>
      <c r="H26" s="207"/>
      <c r="I26" s="207"/>
      <c r="J26" s="207"/>
    </row>
    <row r="27" spans="1:10">
      <c r="A27" s="48"/>
      <c r="B27" s="48"/>
      <c r="C27" s="48"/>
      <c r="D27" s="48"/>
      <c r="E27" s="48"/>
      <c r="F27" s="48"/>
      <c r="G27" s="48"/>
      <c r="H27" s="48"/>
      <c r="I27" s="48"/>
      <c r="J27" s="48"/>
    </row>
    <row r="28" ht="17.55" spans="1:10">
      <c r="A28" s="48"/>
      <c r="B28" s="48"/>
      <c r="C28" s="48"/>
      <c r="D28" s="48"/>
      <c r="E28" s="48"/>
      <c r="F28" s="48"/>
      <c r="G28" s="48"/>
      <c r="H28" s="48"/>
      <c r="I28" s="48"/>
      <c r="J28" s="48"/>
    </row>
    <row r="29" ht="17.55" spans="1:10">
      <c r="A29" s="61" t="s">
        <v>71</v>
      </c>
      <c r="B29" s="62" t="s">
        <v>71</v>
      </c>
      <c r="C29" s="62" t="s">
        <v>71</v>
      </c>
      <c r="D29" s="62" t="s">
        <v>71</v>
      </c>
      <c r="E29" s="62" t="s">
        <v>71</v>
      </c>
      <c r="F29" s="62" t="s">
        <v>71</v>
      </c>
      <c r="G29" s="62" t="s">
        <v>71</v>
      </c>
      <c r="H29" s="81" t="s">
        <v>71</v>
      </c>
      <c r="I29" s="48"/>
      <c r="J29" s="48"/>
    </row>
    <row r="30" spans="1:10">
      <c r="A30" s="63" t="s">
        <v>72</v>
      </c>
      <c r="B30" s="63" t="s">
        <v>73</v>
      </c>
      <c r="C30" s="63" t="s">
        <v>74</v>
      </c>
      <c r="D30" s="63" t="s">
        <v>75</v>
      </c>
      <c r="E30" s="63" t="s">
        <v>67</v>
      </c>
      <c r="F30" s="63" t="s">
        <v>68</v>
      </c>
      <c r="G30" s="63" t="s">
        <v>69</v>
      </c>
      <c r="H30" s="63" t="s">
        <v>70</v>
      </c>
      <c r="I30" s="48"/>
      <c r="J30" s="48"/>
    </row>
    <row r="31" spans="1:10">
      <c r="A31" s="142" t="s">
        <v>76</v>
      </c>
      <c r="B31" s="194">
        <f>IF(B6="","",B6)</f>
        <v>46283</v>
      </c>
      <c r="C31" s="142" t="str">
        <f>IF(B12="","",B12)</f>
        <v>OCT</v>
      </c>
      <c r="D31" s="142" t="s">
        <v>77</v>
      </c>
      <c r="E31" s="143">
        <f>B23</f>
        <v>154955.724</v>
      </c>
      <c r="F31" s="143">
        <f>B24</f>
        <v>157280.05986</v>
      </c>
      <c r="G31" s="143">
        <f>B25</f>
        <v>152631.38814</v>
      </c>
      <c r="H31" s="143">
        <f>B26</f>
        <v>152631.38814</v>
      </c>
      <c r="I31" s="48"/>
      <c r="J31" s="48"/>
    </row>
    <row r="32" ht="17.55" spans="1:10">
      <c r="A32" s="142" t="s">
        <v>78</v>
      </c>
      <c r="B32" s="194">
        <f>IF(B6="","",B6)</f>
        <v>46283</v>
      </c>
      <c r="C32" s="142" t="str">
        <f>IF(B12="","",B12)</f>
        <v>OCT</v>
      </c>
      <c r="D32" s="142" t="s">
        <v>79</v>
      </c>
      <c r="E32" s="143">
        <f>G23</f>
        <v>149929.868</v>
      </c>
      <c r="F32" s="143">
        <f>G24</f>
        <v>147680.91998</v>
      </c>
      <c r="G32" s="143">
        <f>G25</f>
        <v>152178.81602</v>
      </c>
      <c r="H32" s="143">
        <f>G26</f>
        <v>152178.81602</v>
      </c>
      <c r="I32" s="48"/>
      <c r="J32" s="48"/>
    </row>
    <row r="33" ht="17.55" spans="1:10">
      <c r="A33" s="61" t="s">
        <v>80</v>
      </c>
      <c r="B33" s="62" t="s">
        <v>80</v>
      </c>
      <c r="C33" s="62" t="s">
        <v>80</v>
      </c>
      <c r="D33" s="62" t="s">
        <v>80</v>
      </c>
      <c r="E33" s="62" t="s">
        <v>80</v>
      </c>
      <c r="F33" s="62" t="s">
        <v>80</v>
      </c>
      <c r="G33" s="62" t="s">
        <v>80</v>
      </c>
      <c r="H33" s="62" t="s">
        <v>80</v>
      </c>
      <c r="I33" s="62" t="s">
        <v>80</v>
      </c>
      <c r="J33" s="81" t="s">
        <v>80</v>
      </c>
    </row>
    <row r="34" ht="17.55" spans="1:10">
      <c r="A34" s="106" t="s">
        <v>81</v>
      </c>
      <c r="B34" s="69" t="s">
        <v>81</v>
      </c>
      <c r="C34" s="69" t="s">
        <v>81</v>
      </c>
      <c r="D34" s="70" t="s">
        <v>81</v>
      </c>
      <c r="E34" s="48"/>
      <c r="F34" s="156" t="s">
        <v>82</v>
      </c>
      <c r="G34" s="205" t="s">
        <v>82</v>
      </c>
      <c r="H34" s="205" t="s">
        <v>82</v>
      </c>
      <c r="I34" s="205" t="s">
        <v>82</v>
      </c>
      <c r="J34" s="209" t="s">
        <v>82</v>
      </c>
    </row>
    <row r="35" spans="1:10">
      <c r="A35" s="192" t="s">
        <v>83</v>
      </c>
      <c r="B35" s="195">
        <v>155090</v>
      </c>
      <c r="C35" s="195"/>
      <c r="D35" s="195"/>
      <c r="E35" s="48"/>
      <c r="F35" s="206" t="s">
        <v>84</v>
      </c>
      <c r="G35" s="195">
        <v>149000</v>
      </c>
      <c r="H35" s="195"/>
      <c r="I35" s="195"/>
      <c r="J35" s="195"/>
    </row>
    <row r="36" spans="1:10">
      <c r="A36" s="192" t="s">
        <v>67</v>
      </c>
      <c r="B36" s="193">
        <f>IF(B35="","",B35*(1+Settings!$K$6))</f>
        <v>155276.108</v>
      </c>
      <c r="C36" s="193"/>
      <c r="D36" s="193"/>
      <c r="E36" s="48"/>
      <c r="F36" s="206" t="s">
        <v>67</v>
      </c>
      <c r="G36" s="207">
        <f>IF(G35="","",G35*(1-Settings!$K$6))</f>
        <v>148821.2</v>
      </c>
      <c r="H36" s="207"/>
      <c r="I36" s="207"/>
      <c r="J36" s="207"/>
    </row>
    <row r="37" spans="1:10">
      <c r="A37" s="192" t="s">
        <v>68</v>
      </c>
      <c r="B37" s="193">
        <f>IF(B36="","",B36*(1+Settings!$K$7))</f>
        <v>157605.24962</v>
      </c>
      <c r="C37" s="193"/>
      <c r="D37" s="193"/>
      <c r="E37" s="48"/>
      <c r="F37" s="206" t="s">
        <v>68</v>
      </c>
      <c r="G37" s="207">
        <f>IF(G36="","",G36*(1-Settings!$K$7))</f>
        <v>146588.882</v>
      </c>
      <c r="H37" s="207"/>
      <c r="I37" s="207"/>
      <c r="J37" s="207"/>
    </row>
    <row r="38" spans="1:10">
      <c r="A38" s="192" t="s">
        <v>69</v>
      </c>
      <c r="B38" s="193">
        <f>IF(OR(B35="",G20=""),"",MAX(B36*(1-Settings!$K$8),G20*(1-Settings!$K$6)))</f>
        <v>152946.96638</v>
      </c>
      <c r="C38" s="193"/>
      <c r="D38" s="193"/>
      <c r="E38" s="48"/>
      <c r="F38" s="206" t="s">
        <v>69</v>
      </c>
      <c r="G38" s="207">
        <f>IF(OR(G35="",G19=""),"",MIN(G36*(1+Settings!$K$8),G19*(1+Settings!$K$6)))</f>
        <v>151053.518</v>
      </c>
      <c r="H38" s="207"/>
      <c r="I38" s="207"/>
      <c r="J38" s="207"/>
    </row>
    <row r="39" spans="1:10">
      <c r="A39" s="192" t="s">
        <v>70</v>
      </c>
      <c r="B39" s="193">
        <f>IF(OR(B35="",G18=""),"",MAX(B36*(1-Settings!$K$8),G18*(1-Settings!$K$6)))</f>
        <v>152946.96638</v>
      </c>
      <c r="C39" s="193"/>
      <c r="D39" s="193"/>
      <c r="E39" s="48"/>
      <c r="F39" s="206" t="s">
        <v>70</v>
      </c>
      <c r="G39" s="207">
        <f>IF(OR(G35="",G17=""),"",MIN(G36*(1+Settings!$K$8),G17*(1+Settings!$K$6)))</f>
        <v>151053.518</v>
      </c>
      <c r="H39" s="207"/>
      <c r="I39" s="207"/>
      <c r="J39" s="207"/>
    </row>
    <row r="40" ht="17.55" spans="1:10">
      <c r="A40" s="48"/>
      <c r="B40" s="48"/>
      <c r="C40" s="48"/>
      <c r="D40" s="48"/>
      <c r="E40" s="48"/>
      <c r="F40" s="48"/>
      <c r="G40" s="48"/>
      <c r="H40" s="48"/>
      <c r="I40" s="48"/>
      <c r="J40" s="48"/>
    </row>
    <row r="41" ht="17.55" spans="1:10">
      <c r="A41" s="61" t="s">
        <v>85</v>
      </c>
      <c r="B41" s="62" t="s">
        <v>85</v>
      </c>
      <c r="C41" s="62" t="s">
        <v>85</v>
      </c>
      <c r="D41" s="62" t="s">
        <v>85</v>
      </c>
      <c r="E41" s="62" t="s">
        <v>85</v>
      </c>
      <c r="F41" s="62" t="s">
        <v>85</v>
      </c>
      <c r="G41" s="62" t="s">
        <v>85</v>
      </c>
      <c r="H41" s="81" t="s">
        <v>85</v>
      </c>
      <c r="I41" s="48"/>
      <c r="J41" s="48"/>
    </row>
    <row r="42" spans="1:10">
      <c r="A42" s="196" t="s">
        <v>86</v>
      </c>
      <c r="B42" s="196" t="s">
        <v>86</v>
      </c>
      <c r="C42" s="196" t="s">
        <v>86</v>
      </c>
      <c r="D42" s="196" t="s">
        <v>86</v>
      </c>
      <c r="E42" s="196" t="s">
        <v>86</v>
      </c>
      <c r="F42" s="196" t="s">
        <v>86</v>
      </c>
      <c r="G42" s="196" t="s">
        <v>86</v>
      </c>
      <c r="H42" s="196" t="s">
        <v>86</v>
      </c>
      <c r="I42" s="48"/>
      <c r="J42" s="48"/>
    </row>
    <row r="43" spans="1:10">
      <c r="A43" s="63" t="s">
        <v>72</v>
      </c>
      <c r="B43" s="63" t="s">
        <v>73</v>
      </c>
      <c r="C43" s="63" t="s">
        <v>74</v>
      </c>
      <c r="D43" s="63" t="s">
        <v>75</v>
      </c>
      <c r="E43" s="63" t="s">
        <v>67</v>
      </c>
      <c r="F43" s="63" t="s">
        <v>68</v>
      </c>
      <c r="G43" s="63" t="s">
        <v>69</v>
      </c>
      <c r="H43" s="63" t="s">
        <v>70</v>
      </c>
      <c r="I43" s="48"/>
      <c r="J43" s="48"/>
    </row>
    <row r="44" spans="1:10">
      <c r="A44" s="142" t="s">
        <v>87</v>
      </c>
      <c r="B44" s="194">
        <f>IF(B6="","",B6)</f>
        <v>46283</v>
      </c>
      <c r="C44" s="142" t="str">
        <f>IF(B12="","",B12)</f>
        <v>OCT</v>
      </c>
      <c r="D44" s="142" t="s">
        <v>77</v>
      </c>
      <c r="E44" s="143">
        <f>IF(B35="","",B36)</f>
        <v>155276.108</v>
      </c>
      <c r="F44" s="143">
        <f>IF(B35="","",B37)</f>
        <v>157605.24962</v>
      </c>
      <c r="G44" s="143">
        <f>IF(B35="","",B38)</f>
        <v>152946.96638</v>
      </c>
      <c r="H44" s="143">
        <f>IF(B35="","",B39)</f>
        <v>152946.96638</v>
      </c>
      <c r="I44" s="48"/>
      <c r="J44" s="48"/>
    </row>
    <row r="45" spans="1:10">
      <c r="A45" s="142" t="s">
        <v>88</v>
      </c>
      <c r="B45" s="194">
        <f>IF(B6="","",B6)</f>
        <v>46283</v>
      </c>
      <c r="C45" s="142" t="str">
        <f>IF(B12="","",B12)</f>
        <v>OCT</v>
      </c>
      <c r="D45" s="142" t="s">
        <v>79</v>
      </c>
      <c r="E45" s="143">
        <f>IF(G35="","",G36)</f>
        <v>148821.2</v>
      </c>
      <c r="F45" s="143">
        <f>IF(G35="","",G37)</f>
        <v>146588.882</v>
      </c>
      <c r="G45" s="143">
        <f>IF(G35="","",G38)</f>
        <v>151053.518</v>
      </c>
      <c r="H45" s="143">
        <f>IF(G35="","",G39)</f>
        <v>151053.518</v>
      </c>
      <c r="I45" s="48"/>
      <c r="J45" s="48"/>
    </row>
    <row r="46" spans="1:10">
      <c r="A46" s="48"/>
      <c r="B46" s="48"/>
      <c r="C46" s="48"/>
      <c r="D46" s="48"/>
      <c r="E46" s="48"/>
      <c r="F46" s="48"/>
      <c r="G46" s="48"/>
      <c r="H46" s="48"/>
      <c r="I46" s="48"/>
      <c r="J46" s="48"/>
    </row>
    <row r="47" spans="1:10">
      <c r="A47" s="197" t="s">
        <v>89</v>
      </c>
      <c r="B47" s="198" t="s">
        <v>89</v>
      </c>
      <c r="C47" s="198" t="s">
        <v>89</v>
      </c>
      <c r="D47" s="198" t="s">
        <v>89</v>
      </c>
      <c r="E47" s="198" t="s">
        <v>89</v>
      </c>
      <c r="F47" s="198" t="s">
        <v>89</v>
      </c>
      <c r="G47" s="198" t="s">
        <v>89</v>
      </c>
      <c r="H47" s="198" t="s">
        <v>89</v>
      </c>
      <c r="I47" s="198" t="s">
        <v>89</v>
      </c>
      <c r="J47" s="210" t="s">
        <v>89</v>
      </c>
    </row>
    <row r="48" spans="1:10">
      <c r="A48" s="48"/>
      <c r="B48" s="48"/>
      <c r="C48" s="48"/>
      <c r="D48" s="48"/>
      <c r="E48" s="48"/>
      <c r="F48" s="48"/>
      <c r="G48" s="48"/>
      <c r="H48" s="48"/>
      <c r="I48" s="48"/>
      <c r="J48" s="48"/>
    </row>
    <row r="49" ht="18" customHeight="1" spans="1:10">
      <c r="A49" s="164" t="s">
        <v>34</v>
      </c>
      <c r="B49" s="164"/>
      <c r="C49" s="164"/>
      <c r="D49" s="164"/>
      <c r="E49" s="164"/>
      <c r="F49" s="164"/>
      <c r="G49" s="164"/>
      <c r="H49" s="164"/>
      <c r="I49" s="164"/>
      <c r="J49" s="164"/>
    </row>
    <row r="50" ht="18" customHeight="1" spans="1:10">
      <c r="A50" s="165" t="s">
        <v>35</v>
      </c>
      <c r="B50" s="165"/>
      <c r="C50" s="165"/>
      <c r="D50" s="165"/>
      <c r="E50" s="165"/>
      <c r="F50" s="165"/>
      <c r="G50" s="165"/>
      <c r="H50" s="165"/>
      <c r="I50" s="165"/>
      <c r="J50" s="165"/>
    </row>
    <row r="51" ht="18" customHeight="1" spans="1:10">
      <c r="A51" s="165" t="s">
        <v>36</v>
      </c>
      <c r="B51" s="165"/>
      <c r="C51" s="165"/>
      <c r="D51" s="165"/>
      <c r="E51" s="165"/>
      <c r="F51" s="165"/>
      <c r="G51" s="165"/>
      <c r="H51" s="165"/>
      <c r="I51" s="165"/>
      <c r="J51" s="165"/>
    </row>
    <row r="52" ht="18" customHeight="1" spans="1:10">
      <c r="A52" s="166" t="s">
        <v>37</v>
      </c>
      <c r="B52" s="166"/>
      <c r="C52" s="166"/>
      <c r="D52" s="166"/>
      <c r="E52" s="166"/>
      <c r="F52" s="166"/>
      <c r="G52" s="166"/>
      <c r="H52" s="166"/>
      <c r="I52" s="166"/>
      <c r="J52" s="166"/>
    </row>
  </sheetData>
  <sheetProtection algorithmName="SHA-512" hashValue="8WSPmCeXgdh2sv9vPNZ1NCb226LhJbRjz/vnnzfku/W/bD1QsUhykGpdcIsPhiEIqA/VOX2w31jcSn94nOJk6w==" saltValue="IBwPO3qsRu3cRqv7Dqvfqg==" spinCount="100000" sheet="1" objects="1"/>
  <mergeCells count="45">
    <mergeCell ref="A1:G1"/>
    <mergeCell ref="A2:G2"/>
    <mergeCell ref="A3:G3"/>
    <mergeCell ref="A4:J4"/>
    <mergeCell ref="A5:D5"/>
    <mergeCell ref="B6:D6"/>
    <mergeCell ref="B7:D7"/>
    <mergeCell ref="B8:D8"/>
    <mergeCell ref="B9:D9"/>
    <mergeCell ref="B10:D10"/>
    <mergeCell ref="B11:D11"/>
    <mergeCell ref="B12:D12"/>
    <mergeCell ref="A14:J14"/>
    <mergeCell ref="A22:D22"/>
    <mergeCell ref="F22:J22"/>
    <mergeCell ref="B23:D23"/>
    <mergeCell ref="G23:J23"/>
    <mergeCell ref="B24:D24"/>
    <mergeCell ref="G24:J24"/>
    <mergeCell ref="B25:D25"/>
    <mergeCell ref="G25:J25"/>
    <mergeCell ref="B26:D26"/>
    <mergeCell ref="G26:J26"/>
    <mergeCell ref="A29:H29"/>
    <mergeCell ref="A33:J33"/>
    <mergeCell ref="A34:D34"/>
    <mergeCell ref="F34:J34"/>
    <mergeCell ref="B35:D35"/>
    <mergeCell ref="G35:J35"/>
    <mergeCell ref="B36:D36"/>
    <mergeCell ref="G36:J36"/>
    <mergeCell ref="B37:D37"/>
    <mergeCell ref="G37:J37"/>
    <mergeCell ref="B38:D38"/>
    <mergeCell ref="G38:J38"/>
    <mergeCell ref="B39:D39"/>
    <mergeCell ref="G39:J39"/>
    <mergeCell ref="A41:H41"/>
    <mergeCell ref="A42:H42"/>
    <mergeCell ref="A47:J47"/>
    <mergeCell ref="A49:J49"/>
    <mergeCell ref="A50:J50"/>
    <mergeCell ref="A51:J51"/>
    <mergeCell ref="A52:J52"/>
    <mergeCell ref="H1:J3"/>
  </mergeCells>
  <dataValidations count="2">
    <dataValidation type="date" operator="greaterThan" sqref="B6 B8 B10 B17:B20">
      <formula1>1</formula1>
    </dataValidation>
    <dataValidation type="decimal" operator="greaterThan" sqref="B35 G35 C17:D20">
      <formula1>0</formula1>
    </dataValidation>
  </dataValidations>
  <pageMargins left="0.7" right="0.7" top="0.75" bottom="0.75" header="0.3" footer="0.3"/>
  <headerFooter/>
  <ignoredErrors>
    <ignoredError sqref="G19:G20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I56"/>
  <sheetViews>
    <sheetView showGridLines="0" zoomScale="108" zoomScaleNormal="108" workbookViewId="0">
      <pane ySplit="4" topLeftCell="A5" activePane="bottomLeft" state="frozen"/>
      <selection/>
      <selection pane="bottomLeft" activeCell="C18" sqref="C18"/>
    </sheetView>
  </sheetViews>
  <sheetFormatPr defaultColWidth="9" defaultRowHeight="16.8"/>
  <cols>
    <col min="1" max="1" width="23" customWidth="1"/>
    <col min="2" max="2" width="22.2692307692308" customWidth="1"/>
    <col min="3" max="3" width="22" customWidth="1"/>
    <col min="4" max="4" width="22.5865384615385" customWidth="1"/>
    <col min="5" max="5" width="24.8365384615385" customWidth="1"/>
    <col min="6" max="6" width="34" customWidth="1"/>
    <col min="7" max="7" width="25.3653846153846" customWidth="1"/>
    <col min="8" max="8" width="19.8653846153846" customWidth="1"/>
    <col min="9" max="9" width="29.0096153846154" customWidth="1"/>
  </cols>
  <sheetData>
    <row r="1" ht="23" customHeight="1" spans="1:9">
      <c r="A1" s="127" t="s">
        <v>0</v>
      </c>
      <c r="B1" s="127"/>
      <c r="C1" s="127"/>
      <c r="D1" s="127"/>
      <c r="E1" s="127"/>
      <c r="F1" s="127"/>
      <c r="G1" s="113" t="s">
        <v>90</v>
      </c>
      <c r="H1" s="113" t="s">
        <v>90</v>
      </c>
      <c r="I1" s="113" t="s">
        <v>90</v>
      </c>
    </row>
    <row r="2" ht="21" customHeight="1" spans="1:9">
      <c r="A2" s="128" t="s">
        <v>2</v>
      </c>
      <c r="B2" s="128"/>
      <c r="C2" s="128"/>
      <c r="D2" s="128"/>
      <c r="E2" s="128"/>
      <c r="F2" s="128"/>
      <c r="G2" s="113" t="s">
        <v>90</v>
      </c>
      <c r="H2" s="113" t="s">
        <v>90</v>
      </c>
      <c r="I2" s="113" t="s">
        <v>90</v>
      </c>
    </row>
    <row r="3" ht="23" customHeight="1" spans="1:9">
      <c r="A3" s="129" t="s">
        <v>91</v>
      </c>
      <c r="B3" s="129"/>
      <c r="C3" s="129"/>
      <c r="D3" s="129"/>
      <c r="E3" s="129"/>
      <c r="F3" s="129"/>
      <c r="G3" s="113" t="s">
        <v>90</v>
      </c>
      <c r="H3" s="113" t="s">
        <v>90</v>
      </c>
      <c r="I3" s="113" t="s">
        <v>90</v>
      </c>
    </row>
    <row r="4" ht="17.55" spans="1:9">
      <c r="A4" s="261" t="inlineStr">
        <is>
          <t xml:space="preserve">Licence Number: TSA-MURU-2419    |    Name: MURUGAN M    |    Mail ID: muruganm56789@gmail.com    |    Contact Number: 8610022419</t>
        </is>
      </c>
      <c r="B4" s="130"/>
      <c r="C4" s="130"/>
      <c r="D4" s="130"/>
      <c r="E4" s="130"/>
      <c r="F4" s="130"/>
      <c r="G4" s="130"/>
      <c r="H4" s="130"/>
      <c r="I4" s="130"/>
    </row>
    <row r="5" ht="17.55" spans="1:9">
      <c r="A5" s="131" t="s">
        <v>92</v>
      </c>
      <c r="B5" s="132">
        <v>2</v>
      </c>
      <c r="C5" s="49"/>
      <c r="D5" s="49"/>
      <c r="E5" s="131" t="s">
        <v>18</v>
      </c>
      <c r="F5" s="167" t="s">
        <v>4</v>
      </c>
      <c r="G5" s="48"/>
      <c r="H5" s="48"/>
      <c r="I5" s="48"/>
    </row>
    <row r="6" spans="1:9">
      <c r="A6" s="133" t="s">
        <v>93</v>
      </c>
      <c r="B6" s="134">
        <v>154000</v>
      </c>
      <c r="C6" s="49"/>
      <c r="D6" s="49"/>
      <c r="E6" s="133" t="s">
        <v>19</v>
      </c>
      <c r="F6" s="168" t="str">
        <f>IF('GOLDTEN Calculation'!B12="","",'GOLDTEN Calculation'!B12)</f>
        <v>OCT</v>
      </c>
      <c r="G6" s="48"/>
      <c r="H6" s="48"/>
      <c r="I6" s="48"/>
    </row>
    <row r="7" spans="1:9">
      <c r="A7" s="133" t="s">
        <v>94</v>
      </c>
      <c r="B7" s="134">
        <v>152500</v>
      </c>
      <c r="C7" s="49"/>
      <c r="D7" s="49"/>
      <c r="E7" s="133" t="s">
        <v>95</v>
      </c>
      <c r="F7" s="169">
        <f>IF('GOLDTEN Calculation'!B6="","",'GOLDTEN Calculation'!B6)</f>
        <v>46283</v>
      </c>
      <c r="G7" s="48"/>
      <c r="H7" s="48"/>
      <c r="I7" s="48"/>
    </row>
    <row r="8" ht="17.55" spans="1:9">
      <c r="A8" s="133" t="s">
        <v>96</v>
      </c>
      <c r="B8" s="134">
        <v>152800</v>
      </c>
      <c r="C8" s="49"/>
      <c r="D8" s="49"/>
      <c r="E8" s="170" t="s">
        <v>97</v>
      </c>
      <c r="F8" s="171" t="str">
        <f>IF(COUNT(B6:B8)=3,"READY","INPUT REQUIRED")</f>
        <v>READY</v>
      </c>
      <c r="G8" s="48"/>
      <c r="H8" s="48"/>
      <c r="I8" s="48"/>
    </row>
    <row r="9" ht="16" customHeight="1" spans="1:9">
      <c r="A9" s="135" t="s">
        <v>22</v>
      </c>
      <c r="B9" s="136" t="s">
        <v>98</v>
      </c>
      <c r="C9" s="137"/>
      <c r="D9" s="49"/>
      <c r="E9" s="49"/>
      <c r="F9" s="48"/>
      <c r="G9" s="48"/>
      <c r="H9" s="48"/>
      <c r="I9" s="48"/>
    </row>
    <row r="10" ht="17.55" spans="1:9">
      <c r="A10" s="138" t="s">
        <v>24</v>
      </c>
      <c r="B10" s="139" t="s">
        <v>99</v>
      </c>
      <c r="C10" s="140" t="s">
        <v>100</v>
      </c>
      <c r="D10" s="141"/>
      <c r="E10" s="172"/>
      <c r="F10" s="48"/>
      <c r="G10" s="48"/>
      <c r="H10" s="48"/>
      <c r="I10" s="48"/>
    </row>
    <row r="11" ht="17.55" spans="1:9">
      <c r="A11" s="48"/>
      <c r="B11" s="48"/>
      <c r="C11" s="48"/>
      <c r="D11" s="48"/>
      <c r="E11" s="48"/>
      <c r="F11" s="48"/>
      <c r="G11" s="48"/>
      <c r="H11" s="48"/>
      <c r="I11" s="48"/>
    </row>
    <row r="12" ht="17.55" spans="1:9">
      <c r="A12" s="61" t="s">
        <v>101</v>
      </c>
      <c r="B12" s="62" t="s">
        <v>101</v>
      </c>
      <c r="C12" s="62" t="s">
        <v>101</v>
      </c>
      <c r="D12" s="62" t="s">
        <v>101</v>
      </c>
      <c r="E12" s="62" t="s">
        <v>101</v>
      </c>
      <c r="F12" s="62" t="s">
        <v>101</v>
      </c>
      <c r="G12" s="62" t="s">
        <v>101</v>
      </c>
      <c r="H12" s="62" t="s">
        <v>101</v>
      </c>
      <c r="I12" s="81" t="s">
        <v>101</v>
      </c>
    </row>
    <row r="13" spans="1:9">
      <c r="A13" s="63" t="s">
        <v>72</v>
      </c>
      <c r="B13" s="63" t="s">
        <v>67</v>
      </c>
      <c r="C13" s="63" t="s">
        <v>68</v>
      </c>
      <c r="D13" s="63" t="s">
        <v>102</v>
      </c>
      <c r="E13" s="63" t="s">
        <v>103</v>
      </c>
      <c r="F13" s="63" t="s">
        <v>104</v>
      </c>
      <c r="G13" s="48"/>
      <c r="H13" s="48"/>
      <c r="I13" s="48"/>
    </row>
    <row r="14" spans="1:9">
      <c r="A14" s="142" t="s">
        <v>105</v>
      </c>
      <c r="B14" s="143">
        <f>IF(COUNT('GOLDTEN Calculation'!G17)=0,"",'GOLDTEN Calculation'!B23)</f>
        <v>154955.724</v>
      </c>
      <c r="C14" s="143">
        <f>IF(COUNT('GOLDTEN Calculation'!G17)=0,"",'GOLDTEN Calculation'!B24)</f>
        <v>157280.05986</v>
      </c>
      <c r="D14" s="143">
        <f>IF(COUNT('GOLDTEN Calculation'!G17)=0,"",'GOLDTEN Calculation'!B25)</f>
        <v>152631.38814</v>
      </c>
      <c r="E14" s="143">
        <f>IF(COUNT('GOLDTEN Calculation'!G17)=0,"",'GOLDTEN Calculation'!B26)</f>
        <v>152631.38814</v>
      </c>
      <c r="F14" s="142" t="str">
        <f>IF(COUNT('GOLDTEN Calculation'!G17)=0,"INPUT REQUIRED",IF(COUNT(B14:E14)=4,"READY","INPUT REQUIRED"))</f>
        <v>READY</v>
      </c>
      <c r="G14" s="48"/>
      <c r="H14" s="48"/>
      <c r="I14" s="48"/>
    </row>
    <row r="15" spans="1:9">
      <c r="A15" s="142" t="s">
        <v>106</v>
      </c>
      <c r="B15" s="143">
        <f>IF(COUNT('GOLDTEN Calculation'!G18)=0,"",'GOLDTEN Calculation'!G23)</f>
        <v>149929.868</v>
      </c>
      <c r="C15" s="143">
        <f>IF(COUNT('GOLDTEN Calculation'!G18)=0,"",'GOLDTEN Calculation'!G24)</f>
        <v>147680.91998</v>
      </c>
      <c r="D15" s="143">
        <f>IF(COUNT('GOLDTEN Calculation'!G18)=0,"",'GOLDTEN Calculation'!G25)</f>
        <v>152178.81602</v>
      </c>
      <c r="E15" s="143">
        <f>IF(COUNT('GOLDTEN Calculation'!G18)=0,"",'GOLDTEN Calculation'!G26)</f>
        <v>152178.81602</v>
      </c>
      <c r="F15" s="142" t="str">
        <f>IF(COUNT('GOLDTEN Calculation'!G18)=0,"INPUT REQUIRED",IF(COUNT(B15:E15)=4,"READY","INPUT REQUIRED"))</f>
        <v>READY</v>
      </c>
      <c r="G15" s="48"/>
      <c r="H15" s="48"/>
      <c r="I15" s="48"/>
    </row>
    <row r="16" spans="1:9">
      <c r="A16" s="142" t="s">
        <v>107</v>
      </c>
      <c r="B16" s="143">
        <f>IF(COUNT('GOLDTEN Calculation'!B35)=0,"",'GOLDTEN Calculation'!B36)</f>
        <v>155276.108</v>
      </c>
      <c r="C16" s="143">
        <f>IF(COUNT('GOLDTEN Calculation'!B35)=0,"",'GOLDTEN Calculation'!B37)</f>
        <v>157605.24962</v>
      </c>
      <c r="D16" s="143">
        <f>IF(COUNT('GOLDTEN Calculation'!B35)=0,"",'GOLDTEN Calculation'!B38)</f>
        <v>152946.96638</v>
      </c>
      <c r="E16" s="143">
        <f>IF(COUNT('GOLDTEN Calculation'!B35)=0,"",'GOLDTEN Calculation'!B39)</f>
        <v>152946.96638</v>
      </c>
      <c r="F16" s="142" t="str">
        <f>IF(COUNT('GOLDTEN Calculation'!B35)=0,"INPUT REQUIRED",IF(COUNT(B16:E16)=4,"READY","INPUT REQUIRED"))</f>
        <v>READY</v>
      </c>
      <c r="G16" s="48"/>
      <c r="H16" s="48"/>
      <c r="I16" s="48"/>
    </row>
    <row r="17" spans="1:9">
      <c r="A17" s="142" t="s">
        <v>108</v>
      </c>
      <c r="B17" s="143">
        <f>IF(COUNT('GOLDTEN Calculation'!G35)=0,"",'GOLDTEN Calculation'!G36)</f>
        <v>148821.2</v>
      </c>
      <c r="C17" s="143">
        <f>IF(COUNT('GOLDTEN Calculation'!G35)=0,"",'GOLDTEN Calculation'!G37)</f>
        <v>146588.882</v>
      </c>
      <c r="D17" s="143">
        <f>IF(COUNT('GOLDTEN Calculation'!G35)=0,"",'GOLDTEN Calculation'!G38)</f>
        <v>151053.518</v>
      </c>
      <c r="E17" s="143">
        <f>IF(COUNT('GOLDTEN Calculation'!G35)=0,"",'GOLDTEN Calculation'!G39)</f>
        <v>151053.518</v>
      </c>
      <c r="F17" s="142" t="str">
        <f>IF(COUNT('GOLDTEN Calculation'!G35)=0,"INPUT REQUIRED",IF(COUNT(B17:E17)=4,"READY","INPUT REQUIRED"))</f>
        <v>READY</v>
      </c>
      <c r="G17" s="48"/>
      <c r="H17" s="48"/>
      <c r="I17" s="48"/>
    </row>
    <row r="18" ht="17.55" spans="1:9">
      <c r="A18" s="48"/>
      <c r="B18" s="48"/>
      <c r="C18" s="48"/>
      <c r="D18" s="48"/>
      <c r="E18" s="48"/>
      <c r="F18" s="48"/>
      <c r="G18" s="48"/>
      <c r="H18" s="48"/>
      <c r="I18" s="48"/>
    </row>
    <row r="19" ht="17.55" spans="1:9">
      <c r="A19" s="144" t="s">
        <v>109</v>
      </c>
      <c r="B19" s="145" t="s">
        <v>109</v>
      </c>
      <c r="C19" s="145" t="s">
        <v>109</v>
      </c>
      <c r="D19" s="145" t="s">
        <v>109</v>
      </c>
      <c r="E19" s="145" t="s">
        <v>109</v>
      </c>
      <c r="F19" s="145" t="s">
        <v>109</v>
      </c>
      <c r="G19" s="145" t="s">
        <v>109</v>
      </c>
      <c r="H19" s="92" t="s">
        <v>109</v>
      </c>
      <c r="I19" s="102" t="s">
        <v>109</v>
      </c>
    </row>
    <row r="20" ht="17.55" spans="1:9">
      <c r="A20" s="146" t="s">
        <v>75</v>
      </c>
      <c r="B20" s="147" t="s">
        <v>67</v>
      </c>
      <c r="C20" s="147" t="s">
        <v>68</v>
      </c>
      <c r="D20" s="147" t="s">
        <v>69</v>
      </c>
      <c r="E20" s="147" t="s">
        <v>70</v>
      </c>
      <c r="F20" s="147" t="s">
        <v>110</v>
      </c>
      <c r="G20" s="173" t="s">
        <v>111</v>
      </c>
      <c r="H20" s="48"/>
      <c r="I20" s="48"/>
    </row>
    <row r="21" ht="17.55" spans="1:9">
      <c r="A21" s="148" t="s">
        <v>105</v>
      </c>
      <c r="B21" s="149">
        <f>IF($B$9="Buy Holding",IFERROR(LOOKUP(2,1/(('GOLDTEN Tracking'!$D$14:$D$213="Buy")*('GOLDTEN Tracking'!$E$14:$E$213&lt;&gt;"")),'GOLDTEN Tracking'!$E$14:$E$213),""),IF($A$21="Normal Buy",IF(ISNUMBER(B14),B14,""),IF($A$21="Gap Up Buy",IF(ISNUMBER(B16),B16,""),"")))</f>
        <v>154955.724</v>
      </c>
      <c r="C21" s="149">
        <f>IF($B$9="Buy Holding",IFERROR(LOOKUP(2,1/(('GOLDTEN Tracking'!$D$14:$D$213="Buy")*('GOLDTEN Tracking'!$E$14:$E$213&lt;&gt;"")),'GOLDTEN Tracking'!$F$14:$F$213),""),IF($A$21="Normal Buy",IF(ISNUMBER(C14),C14,""),IF($A$21="Gap Up Buy",IF(ISNUMBER(C16),C16,""),"")))</f>
        <v>157280.05986</v>
      </c>
      <c r="D21" s="149">
        <f>IF($B$9="Buy Holding",IFERROR(IF(AND(LOOKUP(2,1/(('GOLDTEN Tracking'!$D$14:$D$213="Buy")*('GOLDTEN Tracking'!$E$14:$E$213&lt;&gt;"")),'GOLDTEN Tracking'!$K$14:$K$213)="",LOOKUP(2,1/(('GOLDTEN Tracking'!$D$14:$D$213="Buy")*('GOLDTEN Tracking'!$E$14:$E$213&lt;&gt;"")),'GOLDTEN Tracking'!$Q$14:$Q$213)=""),"",IF(LOOKUP(2,1/(('GOLDTEN Tracking'!$D$14:$D$213="Buy")*('GOLDTEN Tracking'!$E$14:$E$213&lt;&gt;"")),'GOLDTEN Tracking'!$K$14:$K$213)="",LOOKUP(2,1/(('GOLDTEN Tracking'!$D$14:$D$213="Buy")*('GOLDTEN Tracking'!$E$14:$E$213&lt;&gt;"")),'GOLDTEN Tracking'!$Q$14:$Q$213),IF(LOOKUP(2,1/(('GOLDTEN Tracking'!$D$14:$D$213="Buy")*('GOLDTEN Tracking'!$E$14:$E$213&lt;&gt;"")),'GOLDTEN Tracking'!$Q$14:$Q$213)="",LOOKUP(2,1/(('GOLDTEN Tracking'!$D$14:$D$213="Buy")*('GOLDTEN Tracking'!$E$14:$E$213&lt;&gt;"")),'GOLDTEN Tracking'!$K$14:$K$213),MIN(LOOKUP(2,1/(('GOLDTEN Tracking'!$D$14:$D$213="Buy")*('GOLDTEN Tracking'!$E$14:$E$213&lt;&gt;"")),'GOLDTEN Tracking'!$K$14:$K$213),LOOKUP(2,1/(('GOLDTEN Tracking'!$D$14:$D$213="Buy")*('GOLDTEN Tracking'!$E$14:$E$213&lt;&gt;"")),'GOLDTEN Tracking'!$Q$14:$Q$213))))),""),IF($A$21="Normal Buy",IF(ISNUMBER(D14),D14,""),IF($A$21="Gap Up Buy",IF(ISNUMBER(D16),D16,""),"")))</f>
        <v>152631.38814</v>
      </c>
      <c r="E21" s="149">
        <f>IF($B$9="Buy Holding",IFERROR(IF(AND(LOOKUP(2,1/(('GOLDTEN Tracking'!$D$14:$D$213="Buy")*('GOLDTEN Tracking'!$E$14:$E$213&lt;&gt;"")),'GOLDTEN Tracking'!$N$14:$N$213)="",LOOKUP(2,1/(('GOLDTEN Tracking'!$D$14:$D$213="Buy")*('GOLDTEN Tracking'!$E$14:$E$213&lt;&gt;"")),'GOLDTEN Tracking'!$T$14:$T$213)=""),"",IF(LOOKUP(2,1/(('GOLDTEN Tracking'!$D$14:$D$213="Buy")*('GOLDTEN Tracking'!$E$14:$E$213&lt;&gt;"")),'GOLDTEN Tracking'!$N$14:$N$213)="",LOOKUP(2,1/(('GOLDTEN Tracking'!$D$14:$D$213="Buy")*('GOLDTEN Tracking'!$E$14:$E$213&lt;&gt;"")),'GOLDTEN Tracking'!$T$14:$T$213),IF(LOOKUP(2,1/(('GOLDTEN Tracking'!$D$14:$D$213="Buy")*('GOLDTEN Tracking'!$E$14:$E$213&lt;&gt;"")),'GOLDTEN Tracking'!$T$14:$T$213)="",LOOKUP(2,1/(('GOLDTEN Tracking'!$D$14:$D$213="Buy")*('GOLDTEN Tracking'!$E$14:$E$213&lt;&gt;"")),'GOLDTEN Tracking'!$N$14:$N$213),MIN(LOOKUP(2,1/(('GOLDTEN Tracking'!$D$14:$D$213="Buy")*('GOLDTEN Tracking'!$E$14:$E$213&lt;&gt;"")),'GOLDTEN Tracking'!$N$14:$N$213),LOOKUP(2,1/(('GOLDTEN Tracking'!$D$14:$D$213="Buy")*('GOLDTEN Tracking'!$E$14:$E$213&lt;&gt;"")),'GOLDTEN Tracking'!$T$14:$T$213))))),""),IF($A$21="Normal Buy",IF(ISNUMBER(E14),E14,""),IF($A$21="Gap Up Buy",IF(ISNUMBER(E16),E16,""),"")))</f>
        <v>152631.38814</v>
      </c>
      <c r="F21" s="174" t="str">
        <f>IF($C$9&lt;&gt;"",$C$9,IF($B$9="","",$B$9))</f>
        <v>No Holdings</v>
      </c>
      <c r="G21" s="175" t="str">
        <f>IF($B$9="Buy Holding","Latest Tracking Buy",IF($A$21="","",$A$21))</f>
        <v>Normal Buy</v>
      </c>
      <c r="H21" s="48"/>
      <c r="I21" s="48"/>
    </row>
    <row r="22" ht="17.55" spans="1:9">
      <c r="A22" s="150" t="s">
        <v>106</v>
      </c>
      <c r="B22" s="151">
        <f>IF($B$10="Sell Holding",IFERROR(LOOKUP(2,1/(('GOLDTEN Tracking'!$D$14:$D$213="Sell")*('GOLDTEN Tracking'!$E$14:$E$213&lt;&gt;"")),'GOLDTEN Tracking'!$E$14:$E$213),""),IF($A$22="Normal Sell",IF(ISNUMBER(B15),B15,""),IF($A$22="Gap Down Sell",IF(ISNUMBER(B17),B17,""),"")))</f>
        <v>149929.868</v>
      </c>
      <c r="C22" s="151">
        <f>IF($B$10="Sell Holding",IFERROR(LOOKUP(2,1/(('GOLDTEN Tracking'!$D$14:$D$213="Sell")*('GOLDTEN Tracking'!$E$14:$E$213&lt;&gt;"")),'GOLDTEN Tracking'!$F$14:$F$213),""),IF($A$22="Normal Sell",IF(ISNUMBER(C15),C15,""),IF($A$22="Gap Down Sell",IF(ISNUMBER(C17),C17,""),"")))</f>
        <v>147680.91998</v>
      </c>
      <c r="D22" s="151">
        <f>IF($B$10="Sell Holding",IFERROR(IF(AND(LOOKUP(2,1/(('GOLDTEN Tracking'!$D$14:$D$213="Sell")*('GOLDTEN Tracking'!$E$14:$E$213&lt;&gt;"")),'GOLDTEN Tracking'!$K$14:$K$213)="",LOOKUP(2,1/(('GOLDTEN Tracking'!$D$14:$D$213="Sell")*('GOLDTEN Tracking'!$E$14:$E$213&lt;&gt;"")),'GOLDTEN Tracking'!$Q$14:$Q$213)=""),"",IF(LOOKUP(2,1/(('GOLDTEN Tracking'!$D$14:$D$213="Sell")*('GOLDTEN Tracking'!$E$14:$E$213&lt;&gt;"")),'GOLDTEN Tracking'!$K$14:$K$213)="",LOOKUP(2,1/(('GOLDTEN Tracking'!$D$14:$D$213="Sell")*('GOLDTEN Tracking'!$E$14:$E$213&lt;&gt;"")),'GOLDTEN Tracking'!$Q$14:$Q$213),IF(LOOKUP(2,1/(('GOLDTEN Tracking'!$D$14:$D$213="Sell")*('GOLDTEN Tracking'!$E$14:$E$213&lt;&gt;"")),'GOLDTEN Tracking'!$Q$14:$Q$213)="",LOOKUP(2,1/(('GOLDTEN Tracking'!$D$14:$D$213="Sell")*('GOLDTEN Tracking'!$E$14:$E$213&lt;&gt;"")),'GOLDTEN Tracking'!$K$14:$K$213),MAX(LOOKUP(2,1/(('GOLDTEN Tracking'!$D$14:$D$213="Sell")*('GOLDTEN Tracking'!$E$14:$E$213&lt;&gt;"")),'GOLDTEN Tracking'!$K$14:$K$213),LOOKUP(2,1/(('GOLDTEN Tracking'!$D$14:$D$213="Sell")*('GOLDTEN Tracking'!$E$14:$E$213&lt;&gt;"")),'GOLDTEN Tracking'!$Q$14:$Q$213))))),""),IF($A$22="Normal Sell",IF(ISNUMBER(D15),D15,""),IF($A$22="Gap Down Sell",IF(ISNUMBER(D17),D17,""),"")))</f>
        <v>152583</v>
      </c>
      <c r="E22" s="151">
        <f>IF($B$10="Sell Holding",IFERROR(IF(AND(LOOKUP(2,1/(('GOLDTEN Tracking'!$D$14:$D$213="Sell")*('GOLDTEN Tracking'!$E$14:$E$213&lt;&gt;"")),'GOLDTEN Tracking'!$N$14:$N$213)="",LOOKUP(2,1/(('GOLDTEN Tracking'!$D$14:$D$213="Sell")*('GOLDTEN Tracking'!$E$14:$E$213&lt;&gt;"")),'GOLDTEN Tracking'!$T$14:$T$213)=""),"",IF(LOOKUP(2,1/(('GOLDTEN Tracking'!$D$14:$D$213="Sell")*('GOLDTEN Tracking'!$E$14:$E$213&lt;&gt;"")),'GOLDTEN Tracking'!$N$14:$N$213)="",LOOKUP(2,1/(('GOLDTEN Tracking'!$D$14:$D$213="Sell")*('GOLDTEN Tracking'!$E$14:$E$213&lt;&gt;"")),'GOLDTEN Tracking'!$T$14:$T$213),IF(LOOKUP(2,1/(('GOLDTEN Tracking'!$D$14:$D$213="Sell")*('GOLDTEN Tracking'!$E$14:$E$213&lt;&gt;"")),'GOLDTEN Tracking'!$T$14:$T$213)="",LOOKUP(2,1/(('GOLDTEN Tracking'!$D$14:$D$213="Sell")*('GOLDTEN Tracking'!$E$14:$E$213&lt;&gt;"")),'GOLDTEN Tracking'!$N$14:$N$213),MAX(LOOKUP(2,1/(('GOLDTEN Tracking'!$D$14:$D$213="Sell")*('GOLDTEN Tracking'!$E$14:$E$213&lt;&gt;"")),'GOLDTEN Tracking'!$N$14:$N$213),LOOKUP(2,1/(('GOLDTEN Tracking'!$D$14:$D$213="Sell")*('GOLDTEN Tracking'!$E$14:$E$213&lt;&gt;"")),'GOLDTEN Tracking'!$T$14:$T$213))))),""),IF($A$22="Normal Sell",IF(ISNUMBER(E15),E15,""),IF($A$22="Gap Down Sell",IF(ISNUMBER(E17),E17,""),"")))</f>
        <v>152983</v>
      </c>
      <c r="F22" s="176" t="str">
        <f>IF($C$10&lt;&gt;"",$C$10,IF($B$10="","",$B$10))</f>
        <v>Target Triggered</v>
      </c>
      <c r="G22" s="177" t="str">
        <f>IF($B$10="Sell Holding","Latest Tracking Sell",IF($A$22="","",$A$22))</f>
        <v>Latest Tracking Sell</v>
      </c>
      <c r="H22" s="48"/>
      <c r="I22" s="48"/>
    </row>
    <row r="23" spans="1:9">
      <c r="A23" s="48"/>
      <c r="B23" s="48"/>
      <c r="C23" s="48"/>
      <c r="D23" s="48"/>
      <c r="E23" s="48"/>
      <c r="F23" s="48"/>
      <c r="G23" s="48"/>
      <c r="H23" s="48"/>
      <c r="I23" s="48"/>
    </row>
    <row r="24" spans="1:9">
      <c r="A24" s="48"/>
      <c r="B24" s="48"/>
      <c r="C24" s="48"/>
      <c r="D24" s="48"/>
      <c r="E24" s="48"/>
      <c r="F24" s="48"/>
      <c r="G24" s="48"/>
      <c r="H24" s="48"/>
      <c r="I24" s="48"/>
    </row>
    <row r="25" spans="1:9">
      <c r="A25" s="63" t="s">
        <v>112</v>
      </c>
      <c r="B25" s="63" t="s">
        <v>113</v>
      </c>
      <c r="C25" s="63" t="s">
        <v>114</v>
      </c>
      <c r="D25" s="63" t="s">
        <v>115</v>
      </c>
      <c r="E25" s="63" t="s">
        <v>116</v>
      </c>
      <c r="F25" s="63" t="s">
        <v>117</v>
      </c>
      <c r="G25" s="63" t="s">
        <v>118</v>
      </c>
      <c r="H25" s="49"/>
      <c r="I25" s="180"/>
    </row>
    <row r="26" spans="1:9">
      <c r="A26" s="152" t="s">
        <v>119</v>
      </c>
      <c r="B26" s="152" t="s">
        <v>77</v>
      </c>
      <c r="C26" s="152" t="s">
        <v>120</v>
      </c>
      <c r="D26" s="152" t="s">
        <v>121</v>
      </c>
      <c r="E26" s="178" t="str">
        <f>IF(OR($B$9&lt;&gt;"No Holdings",$C$9&lt;&gt;"",NOT(ISNUMBER($B$21)),NOT(ISNUMBER($B$7))),"",IF($B$7&gt;=$B$21,"MISSED","NOT MISSED"))</f>
        <v>NOT MISSED</v>
      </c>
      <c r="F26" s="178" t="str">
        <f>IF(E26="","",IF(E26="MISSED",IF($A$21="Normal Buy","WAIT FOR GAP-UP INPUT","DO NOT PLACE — ENTRY PASSED"),IF($A$21="Normal Buy","PLACE AFTER 9:10 AM","PLACE AFTER 9:15 AM")))</f>
        <v>PLACE AFTER 9:10 AM</v>
      </c>
      <c r="G26" s="179">
        <f>IF(AND($B$9="No Holdings",$C$9="",ISNUMBER($B$21)),ROUND($B$21,0),"")</f>
        <v>154956</v>
      </c>
      <c r="H26" s="49"/>
      <c r="I26" s="48"/>
    </row>
    <row r="27" spans="1:9">
      <c r="A27" s="152" t="s">
        <v>122</v>
      </c>
      <c r="B27" s="152" t="s">
        <v>79</v>
      </c>
      <c r="C27" s="152" t="s">
        <v>123</v>
      </c>
      <c r="D27" s="152" t="s">
        <v>124</v>
      </c>
      <c r="E27" s="178" t="str">
        <f>IF(OR($B$10&lt;&gt;"No Holdings",$C$10&lt;&gt;"",NOT(ISNUMBER($B$22)),NOT(ISNUMBER($B$8))),"",IF($B$8&lt;=$B$22,"MISSED","NOT MISSED"))</f>
        <v/>
      </c>
      <c r="F27" s="178" t="str">
        <f>IF(E27="","",IF(E27="MISSED",IF($A$22="Normal Sell","WAIT FOR GAP-DOWN INPUT","DO NOT PLACE — ENTRY PASSED"),IF($A$22="Normal Sell","PLACE AFTER 9:10 AM","PLACE AFTER 9:15 AM")))</f>
        <v/>
      </c>
      <c r="G27" s="179" t="str">
        <f>IF(AND($B$10="No Holdings",$C$10="",ISNUMBER($B$22)),ROUND($B$22,0),"")</f>
        <v/>
      </c>
      <c r="H27" s="49"/>
      <c r="I27" s="48"/>
    </row>
    <row r="28" spans="1:9">
      <c r="A28" s="152" t="s">
        <v>125</v>
      </c>
      <c r="B28" s="152" t="s">
        <v>79</v>
      </c>
      <c r="C28" s="152" t="s">
        <v>126</v>
      </c>
      <c r="D28" s="152" t="s">
        <v>127</v>
      </c>
      <c r="E28" s="178" t="str">
        <f>IF(OR($C$9&lt;&gt;"Entry Triggered",NOT(ISNUMBER($C$21)),NOT(ISNUMBER($B$6))),"",IF($B$6&gt;=$C$21,"MISSED","NOT MISSED"))</f>
        <v/>
      </c>
      <c r="F28" s="178" t="str">
        <f>IF(E28="","",IF(E28="MISSED","EXIT AT CURRENT MARKET PRICE","PLACE LIMIT ORDER AT 9:00 AM"))</f>
        <v/>
      </c>
      <c r="G28" s="179" t="str">
        <f>IF(AND($C$9="Entry Triggered",ISNUMBER($C$21)),ROUND($C$21,0),"")</f>
        <v/>
      </c>
      <c r="H28" s="49"/>
      <c r="I28" s="48"/>
    </row>
    <row r="29" spans="1:9">
      <c r="A29" s="152" t="s">
        <v>128</v>
      </c>
      <c r="B29" s="152" t="s">
        <v>77</v>
      </c>
      <c r="C29" s="152" t="s">
        <v>126</v>
      </c>
      <c r="D29" s="152" t="s">
        <v>129</v>
      </c>
      <c r="E29" s="178" t="str">
        <f>IF(OR($C$10&lt;&gt;"Entry Triggered",NOT(ISNUMBER($C$22)),NOT(ISNUMBER($B$6))),"",IF($B$6&lt;=$C$22,"MISSED","NOT MISSED"))</f>
        <v/>
      </c>
      <c r="F29" s="178" t="str">
        <f>IF(E29="","",IF(E29="MISSED","EXIT AT CURRENT MARKET PRICE","PLACE LIMIT ORDER AT 9:00 AM"))</f>
        <v/>
      </c>
      <c r="G29" s="179" t="str">
        <f>IF(AND($C$10="Entry Triggered",ISNUMBER($C$22)),ROUND($C$22,0),"")</f>
        <v/>
      </c>
      <c r="H29" s="49"/>
      <c r="I29" s="48"/>
    </row>
    <row r="30" spans="1:9">
      <c r="A30" s="152" t="s">
        <v>130</v>
      </c>
      <c r="B30" s="152" t="s">
        <v>79</v>
      </c>
      <c r="C30" s="152" t="s">
        <v>123</v>
      </c>
      <c r="D30" s="152" t="s">
        <v>131</v>
      </c>
      <c r="E30" s="178" t="str">
        <f>IF(OR($C$9&lt;&gt;"Entry Triggered",NOT(ISNUMBER($D$21)),NOT(ISNUMBER($B$8))),"",IF($B$8&lt;=$D$21,"MISSED","NOT MISSED"))</f>
        <v/>
      </c>
      <c r="F30" s="178" t="str">
        <f>IF(E30="","",IF(E30="MISSED","WAIT FOR GAP-DOWN SL1","PLACE ORDER AT 9:10 AM"))</f>
        <v/>
      </c>
      <c r="G30" s="179" t="str">
        <f>IF(AND($C$9="Entry Triggered",ISNUMBER($D$21)),ROUND($D$21,0),"")</f>
        <v/>
      </c>
      <c r="H30" s="49"/>
      <c r="I30" s="48"/>
    </row>
    <row r="31" spans="1:9">
      <c r="A31" s="152" t="s">
        <v>132</v>
      </c>
      <c r="B31" s="152" t="s">
        <v>79</v>
      </c>
      <c r="C31" s="152" t="s">
        <v>123</v>
      </c>
      <c r="D31" s="152" t="s">
        <v>133</v>
      </c>
      <c r="E31" s="178" t="str">
        <f>IF(OR($C$9&lt;&gt;"Target Triggered",NOT(ISNUMBER($E$21)),NOT(ISNUMBER($B$8))),"",IF($B$8&lt;=$E$21,"MISSED","NOT MISSED"))</f>
        <v/>
      </c>
      <c r="F31" s="178" t="str">
        <f>IF(E31="","",IF(E31="MISSED","WAIT FOR GAP-DOWN SL2","PLACE ORDER AT 9:10 AM"))</f>
        <v/>
      </c>
      <c r="G31" s="179" t="str">
        <f>IF(AND($C$9="Target Triggered",ISNUMBER($E$21)),ROUND($E$21,0),"")</f>
        <v/>
      </c>
      <c r="H31" s="49"/>
      <c r="I31" s="48"/>
    </row>
    <row r="32" spans="1:9">
      <c r="A32" s="152" t="s">
        <v>134</v>
      </c>
      <c r="B32" s="152" t="s">
        <v>77</v>
      </c>
      <c r="C32" s="152" t="s">
        <v>120</v>
      </c>
      <c r="D32" s="152" t="s">
        <v>135</v>
      </c>
      <c r="E32" s="178" t="str">
        <f>IF(OR($C$10&lt;&gt;"Entry Triggered",NOT(ISNUMBER($D$22)),NOT(ISNUMBER($B$7))),"",IF($B$7&gt;=$D$22,"MISSED","NOT MISSED"))</f>
        <v/>
      </c>
      <c r="F32" s="178" t="str">
        <f>IF(E32="","",IF(E32="MISSED","WAIT FOR GAP-UP SL1","PLACE ORDER AT 9:10 AM"))</f>
        <v/>
      </c>
      <c r="G32" s="179" t="str">
        <f>IF(AND($C$10="Entry Triggered",ISNUMBER($D$22)),ROUND($D$22,0),"")</f>
        <v/>
      </c>
      <c r="H32" s="49"/>
      <c r="I32" s="48"/>
    </row>
    <row r="33" spans="1:9">
      <c r="A33" s="152" t="s">
        <v>136</v>
      </c>
      <c r="B33" s="152" t="s">
        <v>77</v>
      </c>
      <c r="C33" s="152" t="s">
        <v>120</v>
      </c>
      <c r="D33" s="152" t="s">
        <v>137</v>
      </c>
      <c r="E33" s="178" t="str">
        <f>IF(OR($C$10&lt;&gt;"Target Triggered",NOT(ISNUMBER($E$22)),NOT(ISNUMBER($B$7))),"",IF($B$7&gt;=$E$22,"MISSED","NOT MISSED"))</f>
        <v>NOT MISSED</v>
      </c>
      <c r="F33" s="178" t="str">
        <f>IF(E33="","",IF(E33="MISSED","WAIT FOR GAP-UP SL2","PLACE ORDER AT 9:10 AM"))</f>
        <v>PLACE ORDER AT 9:10 AM</v>
      </c>
      <c r="G33" s="179">
        <f>IF(AND($C$10="Target Triggered",ISNUMBER($E$22)),ROUND($E$22,0),"")</f>
        <v>152983</v>
      </c>
      <c r="H33" s="49"/>
      <c r="I33" s="48"/>
    </row>
    <row r="34" spans="1:9">
      <c r="A34" s="48"/>
      <c r="B34" s="48"/>
      <c r="C34" s="48"/>
      <c r="D34" s="48"/>
      <c r="E34" s="48"/>
      <c r="F34" s="48"/>
      <c r="G34" s="48"/>
      <c r="H34" s="48"/>
      <c r="I34" s="48"/>
    </row>
    <row r="35" ht="17.55" spans="1:9">
      <c r="A35" s="48"/>
      <c r="B35" s="48"/>
      <c r="C35" s="48"/>
      <c r="D35" s="48"/>
      <c r="E35" s="48"/>
      <c r="F35" s="48"/>
      <c r="G35" s="48"/>
      <c r="H35" s="48"/>
      <c r="I35" s="48"/>
    </row>
    <row r="36" ht="17.55" spans="1:9">
      <c r="A36" s="106" t="s">
        <v>138</v>
      </c>
      <c r="B36" s="107" t="s">
        <v>138</v>
      </c>
      <c r="C36" s="107" t="s">
        <v>138</v>
      </c>
      <c r="D36" s="107" t="s">
        <v>138</v>
      </c>
      <c r="E36" s="107" t="s">
        <v>138</v>
      </c>
      <c r="F36" s="107" t="s">
        <v>138</v>
      </c>
      <c r="G36" s="107" t="s">
        <v>138</v>
      </c>
      <c r="H36" s="107" t="s">
        <v>138</v>
      </c>
      <c r="I36" s="108" t="s">
        <v>138</v>
      </c>
    </row>
    <row r="37" spans="1:9">
      <c r="A37" s="63" t="s">
        <v>139</v>
      </c>
      <c r="B37" s="63" t="s">
        <v>140</v>
      </c>
      <c r="C37" s="63" t="s">
        <v>141</v>
      </c>
      <c r="D37" s="63" t="s">
        <v>142</v>
      </c>
      <c r="E37" s="63" t="s">
        <v>143</v>
      </c>
      <c r="F37" s="63" t="s">
        <v>144</v>
      </c>
      <c r="G37" s="63" t="s">
        <v>145</v>
      </c>
      <c r="H37" s="63" t="s">
        <v>146</v>
      </c>
      <c r="I37" s="63" t="s">
        <v>117</v>
      </c>
    </row>
    <row r="38" spans="1:9">
      <c r="A38" s="153" t="s">
        <v>67</v>
      </c>
      <c r="B38" s="153" t="s">
        <v>77</v>
      </c>
      <c r="C38" s="153" t="s">
        <v>147</v>
      </c>
      <c r="D38" s="154">
        <f>IF(AND($B$9="No Holdings",$C$9="",$E$26="NOT MISSED"),$B$5,"")</f>
        <v>2</v>
      </c>
      <c r="E38" s="154">
        <f>IF(D38="","",$G$26)</f>
        <v>154956</v>
      </c>
      <c r="F38" s="154">
        <f>IF(E38="","",ROUND(E38*(1+Settings!$K$9),0))</f>
        <v>155111</v>
      </c>
      <c r="G38" s="154"/>
      <c r="H38" s="154" t="str">
        <f>IF(D38="","",IF($A$21="Normal Buy","After 9:10 AM","After 9:15 AM"))</f>
        <v>After 9:10 AM</v>
      </c>
      <c r="I38" s="153" t="str">
        <f>IF(AND($B$9="No Holdings",$C$9=""),$F$26,"")</f>
        <v>PLACE AFTER 9:10 AM</v>
      </c>
    </row>
    <row r="39" spans="1:9">
      <c r="A39" s="153" t="s">
        <v>68</v>
      </c>
      <c r="B39" s="153" t="s">
        <v>79</v>
      </c>
      <c r="C39" s="153" t="s">
        <v>148</v>
      </c>
      <c r="D39" s="154" t="str">
        <f>IF(AND($C$9="Entry Triggered",$E$28="NOT MISSED"),$B$5/2,"")</f>
        <v/>
      </c>
      <c r="E39" s="154"/>
      <c r="F39" s="154"/>
      <c r="G39" s="154" t="str">
        <f>IF(D39="","",$G$28)</f>
        <v/>
      </c>
      <c r="H39" s="154" t="str">
        <f>IF(D39="","","9:00 AM")</f>
        <v/>
      </c>
      <c r="I39" s="153" t="str">
        <f>IF($C$9="Entry Triggered",$F$28,"")</f>
        <v/>
      </c>
    </row>
    <row r="40" spans="1:9">
      <c r="A40" s="153" t="s">
        <v>69</v>
      </c>
      <c r="B40" s="153" t="s">
        <v>79</v>
      </c>
      <c r="C40" s="153" t="s">
        <v>147</v>
      </c>
      <c r="D40" s="154" t="str">
        <f>IF(AND($C$9="Entry Triggered",$E$30="NOT MISSED"),$B$5,"")</f>
        <v/>
      </c>
      <c r="E40" s="154" t="str">
        <f>IF(D40="","",$G$30)</f>
        <v/>
      </c>
      <c r="F40" s="154" t="str">
        <f>IF(E40="","",ROUND(E40*(1-Settings!$K$9),0))</f>
        <v/>
      </c>
      <c r="G40" s="154"/>
      <c r="H40" s="154" t="str">
        <f>IF(D40="","","9:10 AM")</f>
        <v/>
      </c>
      <c r="I40" s="153" t="str">
        <f>IF($C$9="Stoploss 1 Triggered","START FRESH ORDER",IF($C$9="Entry Triggered",$F$30,""))</f>
        <v/>
      </c>
    </row>
    <row r="41" spans="1:9">
      <c r="A41" s="153" t="s">
        <v>70</v>
      </c>
      <c r="B41" s="153" t="s">
        <v>79</v>
      </c>
      <c r="C41" s="153" t="s">
        <v>147</v>
      </c>
      <c r="D41" s="154" t="str">
        <f>IF(AND($C$9="Target Triggered",$E$31="NOT MISSED"),$B$5/2,"")</f>
        <v/>
      </c>
      <c r="E41" s="154" t="str">
        <f>IF(D41="","",$G$31)</f>
        <v/>
      </c>
      <c r="F41" s="154" t="str">
        <f>IF(E41="","",ROUND(E41*(1-Settings!$K$9),0))</f>
        <v/>
      </c>
      <c r="G41" s="154"/>
      <c r="H41" s="154" t="str">
        <f>IF(D41="","","9:10 AM")</f>
        <v/>
      </c>
      <c r="I41" s="153" t="str">
        <f>IF($C$9="Stoploss 2 Triggered","START FRESH ORDER",IF($C$9="Target Triggered",$F$31,""))</f>
        <v/>
      </c>
    </row>
    <row r="42" spans="1:9">
      <c r="A42" s="48"/>
      <c r="B42" s="48"/>
      <c r="C42" s="48"/>
      <c r="D42" s="155"/>
      <c r="E42" s="155"/>
      <c r="F42" s="155"/>
      <c r="G42" s="155"/>
      <c r="H42" s="155"/>
      <c r="I42" s="48"/>
    </row>
    <row r="43" ht="17.55" spans="1:9">
      <c r="A43" s="48"/>
      <c r="B43" s="48"/>
      <c r="C43" s="48"/>
      <c r="D43" s="155"/>
      <c r="E43" s="155"/>
      <c r="F43" s="155"/>
      <c r="G43" s="155"/>
      <c r="H43" s="155"/>
      <c r="I43" s="48"/>
    </row>
    <row r="44" ht="17.55" spans="1:9">
      <c r="A44" s="156" t="s">
        <v>149</v>
      </c>
      <c r="B44" s="157" t="s">
        <v>149</v>
      </c>
      <c r="C44" s="157" t="s">
        <v>149</v>
      </c>
      <c r="D44" s="158" t="s">
        <v>149</v>
      </c>
      <c r="E44" s="158" t="s">
        <v>149</v>
      </c>
      <c r="F44" s="158" t="s">
        <v>149</v>
      </c>
      <c r="G44" s="158" t="s">
        <v>149</v>
      </c>
      <c r="H44" s="158" t="s">
        <v>149</v>
      </c>
      <c r="I44" s="181" t="s">
        <v>149</v>
      </c>
    </row>
    <row r="45" spans="1:9">
      <c r="A45" s="63" t="s">
        <v>139</v>
      </c>
      <c r="B45" s="63" t="s">
        <v>140</v>
      </c>
      <c r="C45" s="63" t="s">
        <v>141</v>
      </c>
      <c r="D45" s="159" t="s">
        <v>142</v>
      </c>
      <c r="E45" s="159" t="s">
        <v>143</v>
      </c>
      <c r="F45" s="159" t="s">
        <v>144</v>
      </c>
      <c r="G45" s="159" t="s">
        <v>145</v>
      </c>
      <c r="H45" s="159" t="s">
        <v>146</v>
      </c>
      <c r="I45" s="63" t="s">
        <v>117</v>
      </c>
    </row>
    <row r="46" spans="1:9">
      <c r="A46" s="153" t="s">
        <v>67</v>
      </c>
      <c r="B46" s="153" t="s">
        <v>79</v>
      </c>
      <c r="C46" s="153" t="s">
        <v>147</v>
      </c>
      <c r="D46" s="154" t="str">
        <f>IF(AND($B$10="No Holdings",$C$10="",$E$27="NOT MISSED"),$B$5,"")</f>
        <v/>
      </c>
      <c r="E46" s="154" t="str">
        <f>IF(D46="","",$G$27)</f>
        <v/>
      </c>
      <c r="F46" s="154" t="str">
        <f>IF(E46="","",ROUND(E46*(1-Settings!$K$9),0))</f>
        <v/>
      </c>
      <c r="G46" s="154"/>
      <c r="H46" s="154" t="str">
        <f>IF(D46="","",IF($A$22="Normal Sell","After 9:10 AM","After 9:15 AM"))</f>
        <v/>
      </c>
      <c r="I46" s="153" t="str">
        <f>IF(AND($B$10="No Holdings",$C$10=""),$F$27,"")</f>
        <v/>
      </c>
    </row>
    <row r="47" spans="1:9">
      <c r="A47" s="153" t="s">
        <v>68</v>
      </c>
      <c r="B47" s="153" t="s">
        <v>77</v>
      </c>
      <c r="C47" s="153" t="s">
        <v>148</v>
      </c>
      <c r="D47" s="154" t="str">
        <f>IF(AND($C$10="Entry Triggered",$E$29="NOT MISSED"),$B$5/2,"")</f>
        <v/>
      </c>
      <c r="E47" s="154"/>
      <c r="F47" s="154"/>
      <c r="G47" s="154" t="str">
        <f>IF(D47="","",$G$29)</f>
        <v/>
      </c>
      <c r="H47" s="154" t="str">
        <f>IF(D47="","","9:00 AM")</f>
        <v/>
      </c>
      <c r="I47" s="153" t="str">
        <f>IF($C$10="Entry Triggered",$F$29,"")</f>
        <v/>
      </c>
    </row>
    <row r="48" spans="1:9">
      <c r="A48" s="153" t="s">
        <v>69</v>
      </c>
      <c r="B48" s="153" t="s">
        <v>77</v>
      </c>
      <c r="C48" s="153" t="s">
        <v>147</v>
      </c>
      <c r="D48" s="154" t="str">
        <f>IF(AND($C$10="Entry Triggered",$E$32="NOT MISSED"),$B$5,"")</f>
        <v/>
      </c>
      <c r="E48" s="154" t="str">
        <f>IF(D48="","",$G$32)</f>
        <v/>
      </c>
      <c r="F48" s="154" t="str">
        <f>IF(E48="","",ROUND(E48*(1+Settings!$K$9),0))</f>
        <v/>
      </c>
      <c r="G48" s="154"/>
      <c r="H48" s="154" t="str">
        <f>IF(D48="","","9:10 AM")</f>
        <v/>
      </c>
      <c r="I48" s="153" t="str">
        <f>IF($C$10="Stoploss 1 Triggered","START FRESH ORDER FROM TOMORROW",IF($C$10="Entry Triggered",$F$32,""))</f>
        <v/>
      </c>
    </row>
    <row r="49" spans="1:9">
      <c r="A49" s="153" t="s">
        <v>70</v>
      </c>
      <c r="B49" s="153" t="s">
        <v>77</v>
      </c>
      <c r="C49" s="153" t="s">
        <v>147</v>
      </c>
      <c r="D49" s="154">
        <f>IF(AND($C$10="Target Triggered",$E$33="NOT MISSED"),$B$5/2,"")</f>
        <v>1</v>
      </c>
      <c r="E49" s="154">
        <f>IF(D49="","",$G$33)</f>
        <v>152983</v>
      </c>
      <c r="F49" s="154">
        <f>IF(E49="","",ROUND(E49*(1+Settings!$K$9),0))</f>
        <v>153136</v>
      </c>
      <c r="G49" s="154"/>
      <c r="H49" s="154" t="str">
        <f>IF(D49="","","9:10 AM")</f>
        <v>9:10 AM</v>
      </c>
      <c r="I49" s="153" t="str">
        <f>IF($C$10="Stoploss 2 Triggered","START FRESH ORDER FROM TOMORROW",IF($C$10="Target Triggered",$F$33,""))</f>
        <v>PLACE ORDER AT 9:10 AM</v>
      </c>
    </row>
    <row r="50" ht="17.55" spans="1:9">
      <c r="A50" s="48"/>
      <c r="B50" s="48"/>
      <c r="C50" s="48"/>
      <c r="D50" s="48"/>
      <c r="E50" s="48"/>
      <c r="F50" s="48"/>
      <c r="G50" s="48"/>
      <c r="H50" s="48"/>
      <c r="I50" s="48"/>
    </row>
    <row r="51" spans="1:9">
      <c r="A51" s="160" t="s">
        <v>150</v>
      </c>
      <c r="B51" s="161" t="s">
        <v>151</v>
      </c>
      <c r="C51" s="161" t="s">
        <v>151</v>
      </c>
      <c r="D51" s="161" t="s">
        <v>151</v>
      </c>
      <c r="E51" s="161" t="s">
        <v>151</v>
      </c>
      <c r="F51" s="161" t="s">
        <v>151</v>
      </c>
      <c r="G51" s="161" t="s">
        <v>151</v>
      </c>
      <c r="H51" s="161" t="s">
        <v>151</v>
      </c>
      <c r="I51" s="182" t="s">
        <v>151</v>
      </c>
    </row>
    <row r="52" spans="1:9">
      <c r="A52" s="162" t="s">
        <v>151</v>
      </c>
      <c r="B52" s="163" t="s">
        <v>151</v>
      </c>
      <c r="C52" s="163" t="s">
        <v>151</v>
      </c>
      <c r="D52" s="163" t="s">
        <v>151</v>
      </c>
      <c r="E52" s="163" t="s">
        <v>151</v>
      </c>
      <c r="F52" s="163" t="s">
        <v>151</v>
      </c>
      <c r="G52" s="163" t="s">
        <v>151</v>
      </c>
      <c r="H52" s="163" t="s">
        <v>151</v>
      </c>
      <c r="I52" s="183" t="s">
        <v>151</v>
      </c>
    </row>
    <row r="53" ht="18" customHeight="1" spans="1:9">
      <c r="A53" s="164" t="s">
        <v>34</v>
      </c>
      <c r="B53" s="164"/>
      <c r="C53" s="164"/>
      <c r="D53" s="164"/>
      <c r="E53" s="164"/>
      <c r="F53" s="164"/>
      <c r="G53" s="164"/>
      <c r="H53" s="164"/>
      <c r="I53" s="164"/>
    </row>
    <row r="54" ht="18" customHeight="1" spans="1:9">
      <c r="A54" s="165" t="s">
        <v>35</v>
      </c>
      <c r="B54" s="165"/>
      <c r="C54" s="165"/>
      <c r="D54" s="165"/>
      <c r="E54" s="165"/>
      <c r="F54" s="165"/>
      <c r="G54" s="165"/>
      <c r="H54" s="165"/>
      <c r="I54" s="165"/>
    </row>
    <row r="55" ht="18" customHeight="1" spans="1:9">
      <c r="A55" s="165" t="s">
        <v>36</v>
      </c>
      <c r="B55" s="165"/>
      <c r="C55" s="165"/>
      <c r="D55" s="165"/>
      <c r="E55" s="165"/>
      <c r="F55" s="165"/>
      <c r="G55" s="165"/>
      <c r="H55" s="165"/>
      <c r="I55" s="165"/>
    </row>
    <row r="56" ht="18" customHeight="1" spans="1:9">
      <c r="A56" s="166" t="s">
        <v>37</v>
      </c>
      <c r="B56" s="166"/>
      <c r="C56" s="166"/>
      <c r="D56" s="166"/>
      <c r="E56" s="166"/>
      <c r="F56" s="166"/>
      <c r="G56" s="166"/>
      <c r="H56" s="166"/>
      <c r="I56" s="166"/>
    </row>
  </sheetData>
  <sheetProtection algorithmName="SHA-512" hashValue="UXNW6wBjx3FD7SlXTBxXT3ziUMdBd266rlEjBR2eYUtqZr4Ge++jEG3TuW5zYAtVe6APtSIbQ1sHdkxzR3SMeA==" saltValue="ucUj97xm+aw2tCnm8erHAg==" spinCount="100000" sheet="1" objects="1"/>
  <mergeCells count="14">
    <mergeCell ref="A1:F1"/>
    <mergeCell ref="A2:F2"/>
    <mergeCell ref="A3:F3"/>
    <mergeCell ref="A4:I4"/>
    <mergeCell ref="A12:I12"/>
    <mergeCell ref="A19:I19"/>
    <mergeCell ref="A36:I36"/>
    <mergeCell ref="A44:I44"/>
    <mergeCell ref="A53:I53"/>
    <mergeCell ref="A54:I54"/>
    <mergeCell ref="A55:I55"/>
    <mergeCell ref="A56:I56"/>
    <mergeCell ref="G1:I3"/>
    <mergeCell ref="A51:I52"/>
  </mergeCells>
  <conditionalFormatting sqref="E26:E33">
    <cfRule type="expression" dxfId="0" priority="1">
      <formula>E26="MISSED"</formula>
    </cfRule>
    <cfRule type="expression" dxfId="1" priority="2">
      <formula>E26="NOT MISSED"</formula>
    </cfRule>
  </conditionalFormatting>
  <conditionalFormatting sqref="A38:I41">
    <cfRule type="expression" dxfId="2" priority="3">
      <formula>$D38&lt;&gt;""</formula>
    </cfRule>
  </conditionalFormatting>
  <conditionalFormatting sqref="A46:I49">
    <cfRule type="expression" dxfId="3" priority="4">
      <formula>$D46&lt;&gt;""</formula>
    </cfRule>
  </conditionalFormatting>
  <dataValidations count="7">
    <dataValidation type="list" sqref="B5">
      <formula1>Settings!$A$7:$A$16</formula1>
    </dataValidation>
    <dataValidation type="list" sqref="B9">
      <formula1>Settings!$H$7:$H$8</formula1>
    </dataValidation>
    <dataValidation type="list" sqref="B10">
      <formula1>Settings!$I$7:$I$8</formula1>
    </dataValidation>
    <dataValidation type="list" sqref="A21">
      <formula1>Settings!$D$7:$D$8</formula1>
    </dataValidation>
    <dataValidation type="list" sqref="A22">
      <formula1>Settings!$E$7:$E$8</formula1>
    </dataValidation>
    <dataValidation type="decimal" operator="greaterThan" sqref="B6:B8">
      <formula1>0</formula1>
    </dataValidation>
    <dataValidation type="list" allowBlank="1" sqref="C9:C10">
      <formula1>Settings!$B$7:$B$10</formula1>
    </dataValidation>
  </dataValidations>
  <pageMargins left="0.7" right="0.7" top="0.75" bottom="0.75" header="0.3" footer="0.3"/>
  <headerFooter/>
  <ignoredErrors>
    <ignoredError sqref="F8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9A227"/>
  </sheetPr>
  <dimension ref="A1:Z219"/>
  <sheetViews>
    <sheetView showGridLines="0" workbookViewId="0">
      <pane xSplit="4" ySplit="13" topLeftCell="E14" activePane="bottomRight" state="frozen"/>
      <selection/>
      <selection pane="topRight"/>
      <selection pane="bottomLeft"/>
      <selection pane="bottomRight" activeCell="Z14" sqref="Z14:Z213"/>
    </sheetView>
  </sheetViews>
  <sheetFormatPr defaultColWidth="9" defaultRowHeight="16.8"/>
  <cols>
    <col min="1" max="1" width="7" customWidth="1"/>
    <col min="2" max="2" width="17.9423076923077" customWidth="1"/>
    <col min="3" max="3" width="13" customWidth="1"/>
    <col min="4" max="4" width="12.9711538461538" customWidth="1"/>
    <col min="5" max="7" width="12" customWidth="1"/>
    <col min="8" max="8" width="17.1442307692308" customWidth="1"/>
    <col min="9" max="9" width="20" customWidth="1"/>
    <col min="10" max="10" width="13" customWidth="1"/>
    <col min="11" max="11" width="14" customWidth="1"/>
    <col min="12" max="12" width="20" customWidth="1"/>
    <col min="13" max="13" width="13" customWidth="1"/>
    <col min="14" max="14" width="14" customWidth="1"/>
    <col min="15" max="15" width="27.5576923076923" customWidth="1"/>
    <col min="16" max="16" width="13" customWidth="1"/>
    <col min="17" max="17" width="14" customWidth="1"/>
    <col min="18" max="18" width="28.5096153846154" customWidth="1"/>
    <col min="19" max="19" width="13" customWidth="1"/>
    <col min="20" max="20" width="14" customWidth="1"/>
    <col min="21" max="21" width="20" customWidth="1"/>
    <col min="22" max="22" width="15" customWidth="1"/>
    <col min="23" max="23" width="20" customWidth="1"/>
    <col min="24" max="25" width="15" customWidth="1"/>
    <col min="26" max="26" width="13" customWidth="1"/>
  </cols>
  <sheetData>
    <row r="1" ht="23" customHeight="1" spans="1:26">
      <c r="A1" s="43"/>
      <c r="B1" s="43"/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103" t="s">
        <v>152</v>
      </c>
      <c r="Y1" s="111" t="s">
        <v>152</v>
      </c>
      <c r="Z1" s="112" t="s">
        <v>152</v>
      </c>
    </row>
    <row r="2" ht="21" customHeight="1" spans="1:26">
      <c r="A2" s="43"/>
      <c r="B2" s="43"/>
      <c r="C2" s="45" t="s">
        <v>2</v>
      </c>
      <c r="D2" s="45" t="s">
        <v>2</v>
      </c>
      <c r="E2" s="45" t="s">
        <v>2</v>
      </c>
      <c r="F2" s="45" t="s">
        <v>2</v>
      </c>
      <c r="G2" s="45" t="s">
        <v>2</v>
      </c>
      <c r="H2" s="45" t="s">
        <v>2</v>
      </c>
      <c r="I2" s="45" t="s">
        <v>2</v>
      </c>
      <c r="J2" s="45" t="s">
        <v>2</v>
      </c>
      <c r="K2" s="45" t="s">
        <v>2</v>
      </c>
      <c r="L2" s="45" t="s">
        <v>2</v>
      </c>
      <c r="M2" s="45" t="s">
        <v>2</v>
      </c>
      <c r="N2" s="45" t="s">
        <v>2</v>
      </c>
      <c r="O2" s="45" t="s">
        <v>2</v>
      </c>
      <c r="P2" s="45" t="s">
        <v>2</v>
      </c>
      <c r="Q2" s="45" t="s">
        <v>2</v>
      </c>
      <c r="R2" s="45" t="s">
        <v>2</v>
      </c>
      <c r="S2" s="45" t="s">
        <v>2</v>
      </c>
      <c r="T2" s="45" t="s">
        <v>2</v>
      </c>
      <c r="U2" s="45" t="s">
        <v>2</v>
      </c>
      <c r="V2" s="45" t="s">
        <v>2</v>
      </c>
      <c r="W2" s="45" t="s">
        <v>2</v>
      </c>
      <c r="X2" s="104" t="s">
        <v>152</v>
      </c>
      <c r="Y2" s="113" t="s">
        <v>152</v>
      </c>
      <c r="Z2" s="114" t="s">
        <v>152</v>
      </c>
    </row>
    <row r="3" ht="23" customHeight="1" spans="1:26">
      <c r="A3" s="43"/>
      <c r="B3" s="43"/>
      <c r="C3" s="46" t="s">
        <v>153</v>
      </c>
      <c r="D3" s="46" t="s">
        <v>153</v>
      </c>
      <c r="E3" s="46" t="s">
        <v>153</v>
      </c>
      <c r="F3" s="46" t="s">
        <v>153</v>
      </c>
      <c r="G3" s="46" t="s">
        <v>153</v>
      </c>
      <c r="H3" s="46" t="s">
        <v>153</v>
      </c>
      <c r="I3" s="46" t="s">
        <v>153</v>
      </c>
      <c r="J3" s="46" t="s">
        <v>153</v>
      </c>
      <c r="K3" s="46" t="s">
        <v>153</v>
      </c>
      <c r="L3" s="46" t="s">
        <v>153</v>
      </c>
      <c r="M3" s="46" t="s">
        <v>153</v>
      </c>
      <c r="N3" s="46" t="s">
        <v>153</v>
      </c>
      <c r="O3" s="46" t="s">
        <v>153</v>
      </c>
      <c r="P3" s="46" t="s">
        <v>153</v>
      </c>
      <c r="Q3" s="46" t="s">
        <v>153</v>
      </c>
      <c r="R3" s="46" t="s">
        <v>153</v>
      </c>
      <c r="S3" s="46" t="s">
        <v>153</v>
      </c>
      <c r="T3" s="46" t="s">
        <v>153</v>
      </c>
      <c r="U3" s="46" t="s">
        <v>153</v>
      </c>
      <c r="V3" s="46" t="s">
        <v>153</v>
      </c>
      <c r="W3" s="46" t="s">
        <v>153</v>
      </c>
      <c r="X3" s="105" t="s">
        <v>152</v>
      </c>
      <c r="Y3" s="115" t="s">
        <v>152</v>
      </c>
      <c r="Z3" s="116" t="s">
        <v>152</v>
      </c>
    </row>
    <row r="4" ht="17.55" spans="1:26">
      <c r="A4" s="259" t="inlineStr">
        <is>
          <t xml:space="preserve">Licence Number: TSA-MURU-2419    |    Name: MURUGAN M    |    Mail ID: muruganm56789@gmail.com    |    Contact Number: 8610022419</t>
        </is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117"/>
    </row>
    <row r="5" ht="17.55" spans="1:26">
      <c r="A5" s="48"/>
      <c r="B5" s="49"/>
      <c r="C5" s="49"/>
      <c r="D5" s="49"/>
      <c r="E5" s="48"/>
      <c r="F5" s="49"/>
      <c r="G5" s="49"/>
      <c r="H5" s="49"/>
      <c r="I5" s="48"/>
      <c r="J5" s="49"/>
      <c r="K5" s="49"/>
      <c r="L5" s="49"/>
      <c r="M5" s="48"/>
      <c r="N5" s="96" t="s">
        <v>154</v>
      </c>
      <c r="O5" s="97" t="s">
        <v>154</v>
      </c>
      <c r="P5" s="97" t="s">
        <v>154</v>
      </c>
      <c r="Q5" s="97" t="s">
        <v>154</v>
      </c>
      <c r="R5" s="97" t="s">
        <v>154</v>
      </c>
      <c r="S5" s="97" t="s">
        <v>154</v>
      </c>
      <c r="T5" s="97" t="s">
        <v>154</v>
      </c>
      <c r="U5" s="97" t="s">
        <v>154</v>
      </c>
      <c r="V5" s="97" t="s">
        <v>154</v>
      </c>
      <c r="W5" s="97" t="s">
        <v>154</v>
      </c>
      <c r="X5" s="97" t="s">
        <v>154</v>
      </c>
      <c r="Y5" s="97" t="s">
        <v>154</v>
      </c>
      <c r="Z5" s="118" t="s">
        <v>154</v>
      </c>
    </row>
    <row r="6" ht="17.55" spans="1:26">
      <c r="A6" s="48"/>
      <c r="B6" s="49"/>
      <c r="C6" s="49"/>
      <c r="D6" s="49"/>
      <c r="E6" s="48"/>
      <c r="F6" s="68" t="s">
        <v>155</v>
      </c>
      <c r="G6" s="69" t="s">
        <v>155</v>
      </c>
      <c r="H6" s="70" t="s">
        <v>155</v>
      </c>
      <c r="I6" s="48"/>
      <c r="J6" s="83" t="s">
        <v>156</v>
      </c>
      <c r="K6" s="84" t="s">
        <v>156</v>
      </c>
      <c r="L6" s="85" t="s">
        <v>156</v>
      </c>
      <c r="M6" s="48"/>
      <c r="N6" s="98" t="s">
        <v>154</v>
      </c>
      <c r="O6" s="99" t="s">
        <v>154</v>
      </c>
      <c r="P6" s="99" t="s">
        <v>154</v>
      </c>
      <c r="Q6" s="99" t="s">
        <v>154</v>
      </c>
      <c r="R6" s="99" t="s">
        <v>154</v>
      </c>
      <c r="S6" s="99" t="s">
        <v>154</v>
      </c>
      <c r="T6" s="99" t="s">
        <v>154</v>
      </c>
      <c r="U6" s="99" t="s">
        <v>154</v>
      </c>
      <c r="V6" s="99" t="s">
        <v>154</v>
      </c>
      <c r="W6" s="99" t="s">
        <v>154</v>
      </c>
      <c r="X6" s="99" t="s">
        <v>154</v>
      </c>
      <c r="Y6" s="99" t="s">
        <v>154</v>
      </c>
      <c r="Z6" s="119" t="s">
        <v>154</v>
      </c>
    </row>
    <row r="7" ht="17.55" spans="1:26">
      <c r="A7" s="50" t="s">
        <v>157</v>
      </c>
      <c r="B7" s="51"/>
      <c r="C7" s="51"/>
      <c r="D7" s="52"/>
      <c r="E7" s="48"/>
      <c r="F7" s="71" t="s">
        <v>12</v>
      </c>
      <c r="G7" s="72"/>
      <c r="H7" s="73">
        <v>100000</v>
      </c>
      <c r="I7" s="48"/>
      <c r="J7" s="74" t="s">
        <v>16</v>
      </c>
      <c r="K7" s="86"/>
      <c r="L7" s="87">
        <f>COUNTIF(Y14:Y213,"&gt;0")</f>
        <v>2</v>
      </c>
      <c r="M7" s="48"/>
      <c r="N7" s="98" t="s">
        <v>154</v>
      </c>
      <c r="O7" s="99" t="s">
        <v>154</v>
      </c>
      <c r="P7" s="99" t="s">
        <v>154</v>
      </c>
      <c r="Q7" s="99" t="s">
        <v>154</v>
      </c>
      <c r="R7" s="99" t="s">
        <v>154</v>
      </c>
      <c r="S7" s="99" t="s">
        <v>154</v>
      </c>
      <c r="T7" s="99" t="s">
        <v>154</v>
      </c>
      <c r="U7" s="99" t="s">
        <v>154</v>
      </c>
      <c r="V7" s="99" t="s">
        <v>154</v>
      </c>
      <c r="W7" s="99" t="s">
        <v>154</v>
      </c>
      <c r="X7" s="99" t="s">
        <v>154</v>
      </c>
      <c r="Y7" s="99" t="s">
        <v>154</v>
      </c>
      <c r="Z7" s="119" t="s">
        <v>154</v>
      </c>
    </row>
    <row r="8" ht="17.55" spans="1:26">
      <c r="A8" s="53" t="s">
        <v>92</v>
      </c>
      <c r="B8" s="54"/>
      <c r="C8" s="55">
        <v>2</v>
      </c>
      <c r="D8" s="56"/>
      <c r="E8" s="48"/>
      <c r="F8" s="74" t="s">
        <v>158</v>
      </c>
      <c r="G8" s="75"/>
      <c r="H8" s="76">
        <f>SUM(Y14:Y213)</f>
        <v>17529.342204</v>
      </c>
      <c r="I8" s="48"/>
      <c r="J8" s="74" t="s">
        <v>159</v>
      </c>
      <c r="K8" s="86"/>
      <c r="L8" s="87">
        <f>COUNTIF(Y14:Y213,"&lt;0")</f>
        <v>0</v>
      </c>
      <c r="M8" s="48"/>
      <c r="N8" s="98" t="s">
        <v>154</v>
      </c>
      <c r="O8" s="99" t="s">
        <v>154</v>
      </c>
      <c r="P8" s="99" t="s">
        <v>154</v>
      </c>
      <c r="Q8" s="99" t="s">
        <v>154</v>
      </c>
      <c r="R8" s="99" t="s">
        <v>154</v>
      </c>
      <c r="S8" s="99" t="s">
        <v>154</v>
      </c>
      <c r="T8" s="99" t="s">
        <v>154</v>
      </c>
      <c r="U8" s="99" t="s">
        <v>154</v>
      </c>
      <c r="V8" s="99" t="s">
        <v>154</v>
      </c>
      <c r="W8" s="99" t="s">
        <v>154</v>
      </c>
      <c r="X8" s="99" t="s">
        <v>154</v>
      </c>
      <c r="Y8" s="99" t="s">
        <v>154</v>
      </c>
      <c r="Z8" s="119" t="s">
        <v>154</v>
      </c>
    </row>
    <row r="9" ht="17.55" spans="1:26">
      <c r="A9" s="57" t="s">
        <v>160</v>
      </c>
      <c r="B9" s="58"/>
      <c r="C9" s="59">
        <v>1</v>
      </c>
      <c r="D9" s="60"/>
      <c r="E9" s="48"/>
      <c r="F9" s="74" t="s">
        <v>161</v>
      </c>
      <c r="G9" s="75"/>
      <c r="H9" s="77">
        <f>IF(OR(H7="",H7&lt;=0),"",H8/H7)</f>
        <v>0.17529342204</v>
      </c>
      <c r="I9" s="48"/>
      <c r="J9" s="74" t="s">
        <v>162</v>
      </c>
      <c r="K9" s="86"/>
      <c r="L9" s="88">
        <f>IF(H10=0,"",L7/H10)</f>
        <v>1</v>
      </c>
      <c r="M9" s="48"/>
      <c r="N9" s="100" t="s">
        <v>154</v>
      </c>
      <c r="O9" s="101" t="s">
        <v>154</v>
      </c>
      <c r="P9" s="101" t="s">
        <v>154</v>
      </c>
      <c r="Q9" s="101" t="s">
        <v>154</v>
      </c>
      <c r="R9" s="101" t="s">
        <v>154</v>
      </c>
      <c r="S9" s="101" t="s">
        <v>154</v>
      </c>
      <c r="T9" s="101" t="s">
        <v>154</v>
      </c>
      <c r="U9" s="101" t="s">
        <v>154</v>
      </c>
      <c r="V9" s="101" t="s">
        <v>154</v>
      </c>
      <c r="W9" s="101" t="s">
        <v>154</v>
      </c>
      <c r="X9" s="101" t="s">
        <v>154</v>
      </c>
      <c r="Y9" s="101" t="s">
        <v>154</v>
      </c>
      <c r="Z9" s="120" t="s">
        <v>154</v>
      </c>
    </row>
    <row r="10" spans="1:26">
      <c r="A10" s="48"/>
      <c r="B10" s="48"/>
      <c r="C10" s="48"/>
      <c r="D10" s="48"/>
      <c r="E10" s="48"/>
      <c r="F10" s="78" t="s">
        <v>15</v>
      </c>
      <c r="G10" s="79"/>
      <c r="H10" s="80">
        <f>COUNT(Y14:Y213)</f>
        <v>2</v>
      </c>
      <c r="I10" s="48"/>
      <c r="J10" s="78" t="s">
        <v>163</v>
      </c>
      <c r="K10" s="89"/>
      <c r="L10" s="90">
        <f>MAX(0,COUNTA(D14:D213)-H10)</f>
        <v>1</v>
      </c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7.55" spans="1:26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17.55" spans="1:26">
      <c r="A12" s="61" t="s">
        <v>164</v>
      </c>
      <c r="B12" s="62" t="s">
        <v>164</v>
      </c>
      <c r="C12" s="62" t="s">
        <v>164</v>
      </c>
      <c r="D12" s="62" t="s">
        <v>164</v>
      </c>
      <c r="E12" s="62" t="s">
        <v>164</v>
      </c>
      <c r="F12" s="62" t="s">
        <v>164</v>
      </c>
      <c r="G12" s="62" t="s">
        <v>164</v>
      </c>
      <c r="H12" s="81" t="s">
        <v>164</v>
      </c>
      <c r="I12" s="91" t="s">
        <v>165</v>
      </c>
      <c r="J12" s="92" t="s">
        <v>165</v>
      </c>
      <c r="K12" s="92" t="s">
        <v>165</v>
      </c>
      <c r="L12" s="92" t="s">
        <v>165</v>
      </c>
      <c r="M12" s="92" t="s">
        <v>165</v>
      </c>
      <c r="N12" s="92" t="s">
        <v>165</v>
      </c>
      <c r="O12" s="92" t="s">
        <v>165</v>
      </c>
      <c r="P12" s="92" t="s">
        <v>165</v>
      </c>
      <c r="Q12" s="92" t="s">
        <v>165</v>
      </c>
      <c r="R12" s="92" t="s">
        <v>165</v>
      </c>
      <c r="S12" s="92" t="s">
        <v>165</v>
      </c>
      <c r="T12" s="102" t="s">
        <v>165</v>
      </c>
      <c r="U12" s="106" t="s">
        <v>166</v>
      </c>
      <c r="V12" s="107" t="s">
        <v>166</v>
      </c>
      <c r="W12" s="107" t="s">
        <v>166</v>
      </c>
      <c r="X12" s="108" t="s">
        <v>166</v>
      </c>
      <c r="Y12" s="121" t="s">
        <v>167</v>
      </c>
      <c r="Z12" s="122" t="s">
        <v>167</v>
      </c>
    </row>
    <row r="13" ht="54" customHeight="1" spans="1:26">
      <c r="A13" s="63" t="s">
        <v>168</v>
      </c>
      <c r="B13" s="63" t="s">
        <v>52</v>
      </c>
      <c r="C13" s="63" t="s">
        <v>74</v>
      </c>
      <c r="D13" s="63" t="s">
        <v>169</v>
      </c>
      <c r="E13" s="63" t="s">
        <v>67</v>
      </c>
      <c r="F13" s="63" t="s">
        <v>68</v>
      </c>
      <c r="G13" s="63" t="s">
        <v>69</v>
      </c>
      <c r="H13" s="63" t="s">
        <v>70</v>
      </c>
      <c r="I13" s="63" t="s">
        <v>170</v>
      </c>
      <c r="J13" s="63" t="s">
        <v>171</v>
      </c>
      <c r="K13" s="63" t="s">
        <v>172</v>
      </c>
      <c r="L13" s="63" t="s">
        <v>173</v>
      </c>
      <c r="M13" s="63" t="s">
        <v>174</v>
      </c>
      <c r="N13" s="63" t="s">
        <v>175</v>
      </c>
      <c r="O13" s="63" t="s">
        <v>176</v>
      </c>
      <c r="P13" s="63" t="s">
        <v>177</v>
      </c>
      <c r="Q13" s="63" t="s">
        <v>178</v>
      </c>
      <c r="R13" s="63" t="s">
        <v>179</v>
      </c>
      <c r="S13" s="63" t="s">
        <v>180</v>
      </c>
      <c r="T13" s="63" t="s">
        <v>181</v>
      </c>
      <c r="U13" s="63" t="s">
        <v>182</v>
      </c>
      <c r="V13" s="63" t="s">
        <v>183</v>
      </c>
      <c r="W13" s="63" t="s">
        <v>184</v>
      </c>
      <c r="X13" s="63" t="s">
        <v>185</v>
      </c>
      <c r="Y13" s="63" t="s">
        <v>186</v>
      </c>
      <c r="Z13" s="63" t="s">
        <v>187</v>
      </c>
    </row>
    <row r="14" ht="20" customHeight="1" spans="1:26">
      <c r="A14" s="64">
        <v>1</v>
      </c>
      <c r="B14" s="65">
        <v>46239</v>
      </c>
      <c r="C14" s="66" t="s">
        <v>43</v>
      </c>
      <c r="D14" s="67" t="s">
        <v>77</v>
      </c>
      <c r="E14" s="82">
        <v>145964.948</v>
      </c>
      <c r="F14" s="82">
        <v>148154.42222</v>
      </c>
      <c r="G14" s="82">
        <v>143775.47378</v>
      </c>
      <c r="H14" s="82">
        <v>143775.47378</v>
      </c>
      <c r="I14" s="93" t="str">
        <f t="shared" ref="I14:I77" si="0">IF(D14="Buy","Enter New 2DLL",IF(D14="Sell","Enter New 2DHH",""))</f>
        <v>Enter New 2DLL</v>
      </c>
      <c r="J14" s="82"/>
      <c r="K14" s="94">
        <f>IF(OR(D14="",E14=""),"",IF(J14="",G14,IF(D14="Buy",MROUND(MAX(E14*(1-Settings!$K$8),J14*(1-Settings!$K$6)),Settings!$K$10),MROUND(MIN(E14*(1+Settings!$K$8),J14*(1+Settings!$K$6)),Settings!$K$10))))</f>
        <v>143775.47378</v>
      </c>
      <c r="L14" s="95" t="str">
        <f t="shared" ref="L14:L77" si="1">IF(D14="Buy","Enter New 4DLL",IF(D14="Sell","Enter New 4DHH",""))</f>
        <v>Enter New 4DLL</v>
      </c>
      <c r="M14" s="82">
        <v>159112</v>
      </c>
      <c r="N14" s="94">
        <f>IF(OR(D14="",E14=""),"",IF(M14="",H14,IF(D14="Buy",MROUND(MAX(E14*(1-Settings!$K$8),M14*(1-Settings!$K$6)),Settings!$K$10),MROUND(MIN(E14*(1+Settings!$K$8),M14*(1+Settings!$K$6)),Settings!$K$10))))</f>
        <v>158921</v>
      </c>
      <c r="O14" s="95" t="str">
        <f t="shared" ref="O14:O77" si="2">IF(D14="Buy","Enter First 15-Minute Low",IF(D14="Sell","Enter First 15-Minute High",""))</f>
        <v>Enter First 15-Minute Low</v>
      </c>
      <c r="P14" s="82"/>
      <c r="Q14" s="94" t="str">
        <f>IF(OR(D14="",P14=""),"",IF(D14="Buy",MROUND(P14*(1-Settings!$K$6),Settings!$K$10),MROUND(P14*(1+Settings!$K$6),Settings!$K$10)))</f>
        <v/>
      </c>
      <c r="R14" s="95" t="str">
        <f t="shared" ref="R14:R77" si="3">IF(D14="Buy","Enter First 15-Minute Low",IF(D14="Sell","Enter First 15-Minute High",""))</f>
        <v>Enter First 15-Minute Low</v>
      </c>
      <c r="S14" s="82"/>
      <c r="T14" s="94" t="str">
        <f>IF(OR(D14="",S14=""),"",IF(D14="Buy",MROUND(S14*(1-Settings!$K$6),Settings!$K$10),MROUND(S14*(1+Settings!$K$6),Settings!$K$10)))</f>
        <v/>
      </c>
      <c r="U14" s="67" t="s">
        <v>188</v>
      </c>
      <c r="V14" s="109">
        <f t="shared" ref="V14:V77" si="4">IF(OR(D14="",E14="",U14="",$C$8="",$C$9=""),"",IF(U14="Target Hit",IF(F14="","",IF(D14="Buy",(F14-E14)*($C$8/2)*$C$9,(E14-F14)*($C$8/2)*$C$9)),IF(U14="Rollover",IF(Z14="","",IF(D14="Buy",(Z14-E14)*$C$8*$C$9,(E14-Z14)*$C$8*$C$9)),IF(U14="Stoploss 1 Hit",IF(K14="","",IF(D14="Buy",(K14-E14)*$C$8*$C$9,(E14-K14)*$C$8*$C$9)),IF(OR(AND(D14="Buy",U14="Gap Down Stoploss 1 Hit"),AND(D14="Sell",U14="Gap Up Stoploss 1 Hit")),IF(Q14="","",IF(D14="Buy",(Q14-E14)*$C$8*$C$9,(E14-Q14)*$C$8*$C$9)),"")))))</f>
        <v>2189.47422</v>
      </c>
      <c r="W14" s="110" t="s">
        <v>189</v>
      </c>
      <c r="X14" s="109">
        <f t="shared" ref="X14:X77" si="5">IF(OR(D14="",E14="",U14&lt;&gt;"Target Hit",W14="",$C$8="",$C$9=""),"",IF(W14="Stoploss 2 Hit",IF(N14="","",IF(D14="Buy",(N14-E14)*($C$8/2)*$C$9,(E14-N14)*($C$8/2)*$C$9)),IF(W14="Rollover",IF(Z14="","",IF(D14="Buy",(Z14-E14)*($C$8/2)*$C$9,(E14-Z14)*($C$8/2)*$C$9)),IF(OR(AND(D14="Buy",W14="Gap Down Stoploss 2 Hit"),AND(D14="Sell",W14="Gap Up Stoploss 2 Hit")),IF(T14="","",IF(D14="Buy",(T14-E14)*($C$8/2)*$C$9,(E14-T14)*($C$8/2)*$C$9)),""))))</f>
        <v>12956.052</v>
      </c>
      <c r="Y14" s="109">
        <f t="shared" ref="Y14:Y77" si="6">IF(AND(V14="",X14=""),"",SUM(V14,X14))</f>
        <v>15145.52622</v>
      </c>
      <c r="Z14" s="82">
        <v>146965</v>
      </c>
    </row>
    <row r="15" ht="20" customHeight="1" spans="1:26">
      <c r="A15" s="64">
        <v>2</v>
      </c>
      <c r="B15" s="65">
        <v>46261</v>
      </c>
      <c r="C15" s="66" t="s">
        <v>43</v>
      </c>
      <c r="D15" s="67" t="s">
        <v>79</v>
      </c>
      <c r="E15" s="82">
        <v>158921.0656</v>
      </c>
      <c r="F15" s="82">
        <v>156537.249616</v>
      </c>
      <c r="G15" s="82">
        <v>161304.881584</v>
      </c>
      <c r="H15" s="82">
        <v>161304.881584</v>
      </c>
      <c r="I15" s="93" t="str">
        <f t="shared" si="0"/>
        <v>Enter New 2DHH</v>
      </c>
      <c r="J15" s="82"/>
      <c r="K15" s="94">
        <f>IF(OR(D15="",E15=""),"",IF(J15="",G15,IF(D15="Buy",MROUND(MAX(E15*(1-Settings!$K$8),J15*(1-Settings!$K$6)),Settings!$K$10),MROUND(MIN(E15*(1+Settings!$K$8),J15*(1+Settings!$K$6)),Settings!$K$10))))</f>
        <v>161304.881584</v>
      </c>
      <c r="L15" s="95" t="str">
        <f t="shared" si="1"/>
        <v>Enter New 4DHH</v>
      </c>
      <c r="M15" s="82">
        <v>154148</v>
      </c>
      <c r="N15" s="94">
        <f>IF(OR(D15="",E15=""),"",IF(M15="",H15,IF(D15="Buy",MROUND(MAX(E15*(1-Settings!$K$8),M15*(1-Settings!$K$6)),Settings!$K$10),MROUND(MIN(E15*(1+Settings!$K$8),M15*(1+Settings!$K$6)),Settings!$K$10))))</f>
        <v>154333</v>
      </c>
      <c r="O15" s="95" t="str">
        <f t="shared" si="2"/>
        <v>Enter First 15-Minute High</v>
      </c>
      <c r="P15" s="82"/>
      <c r="Q15" s="94" t="str">
        <f>IF(OR(D15="",P15=""),"",IF(D15="Buy",MROUND(P15*(1-Settings!$K$6),Settings!$K$10),MROUND(P15*(1+Settings!$K$6),Settings!$K$10)))</f>
        <v/>
      </c>
      <c r="R15" s="95" t="str">
        <f t="shared" si="3"/>
        <v>Enter First 15-Minute High</v>
      </c>
      <c r="S15" s="82"/>
      <c r="T15" s="94" t="str">
        <f>IF(OR(D15="",S15=""),"",IF(D15="Buy",MROUND(S15*(1-Settings!$K$6),Settings!$K$10),MROUND(S15*(1+Settings!$K$6),Settings!$K$10)))</f>
        <v/>
      </c>
      <c r="U15" s="67" t="s">
        <v>188</v>
      </c>
      <c r="V15" s="109">
        <f t="shared" si="4"/>
        <v>2383.81598400002</v>
      </c>
      <c r="W15" s="110"/>
      <c r="X15" s="109" t="str">
        <f t="shared" si="5"/>
        <v/>
      </c>
      <c r="Y15" s="109">
        <f t="shared" si="6"/>
        <v>2383.81598400002</v>
      </c>
      <c r="Z15" s="82"/>
    </row>
    <row r="16" ht="20" customHeight="1" spans="1:26">
      <c r="A16" s="64">
        <v>3</v>
      </c>
      <c r="B16" s="65">
        <v>46283</v>
      </c>
      <c r="C16" s="66" t="s">
        <v>46</v>
      </c>
      <c r="D16" s="67" t="s">
        <v>79</v>
      </c>
      <c r="E16" s="82">
        <v>149929.868</v>
      </c>
      <c r="F16" s="82">
        <v>147680.91998</v>
      </c>
      <c r="G16" s="82">
        <v>152178.81602</v>
      </c>
      <c r="H16" s="82">
        <v>152178.81602</v>
      </c>
      <c r="I16" s="93" t="str">
        <f t="shared" si="0"/>
        <v>Enter New 2DHH</v>
      </c>
      <c r="J16" s="82"/>
      <c r="K16" s="94">
        <f>IF(OR(D16="",E16=""),"",IF(J16="",G16,IF(D16="Buy",MROUND(MAX(E16*(1-Settings!$K$8),J16*(1-Settings!$K$6)),Settings!$K$10),MROUND(MIN(E16*(1+Settings!$K$8),J16*(1+Settings!$K$6)),Settings!$K$10))))</f>
        <v>152178.81602</v>
      </c>
      <c r="L16" s="95" t="str">
        <f t="shared" si="1"/>
        <v>Enter New 4DHH</v>
      </c>
      <c r="M16" s="82"/>
      <c r="N16" s="94">
        <f>IF(OR(D16="",E16=""),"",IF(M16="",H16,IF(D16="Buy",MROUND(MAX(E16*(1-Settings!$K$8),M16*(1-Settings!$K$6)),Settings!$K$10),MROUND(MIN(E16*(1+Settings!$K$8),M16*(1+Settings!$K$6)),Settings!$K$10))))</f>
        <v>152178.81602</v>
      </c>
      <c r="O16" s="95" t="str">
        <f t="shared" si="2"/>
        <v>Enter First 15-Minute High</v>
      </c>
      <c r="P16" s="82">
        <v>152400</v>
      </c>
      <c r="Q16" s="94">
        <f>IF(OR(D16="",P16=""),"",IF(D16="Buy",MROUND(P16*(1-Settings!$K$6),Settings!$K$10),MROUND(P16*(1+Settings!$K$6),Settings!$K$10)))</f>
        <v>152583</v>
      </c>
      <c r="R16" s="95" t="str">
        <f t="shared" si="3"/>
        <v>Enter First 15-Minute High</v>
      </c>
      <c r="S16" s="82">
        <v>152800</v>
      </c>
      <c r="T16" s="94">
        <f>IF(OR(D16="",S16=""),"",IF(D16="Buy",MROUND(S16*(1-Settings!$K$6),Settings!$K$10),MROUND(S16*(1+Settings!$K$6),Settings!$K$10)))</f>
        <v>152983</v>
      </c>
      <c r="U16" s="67"/>
      <c r="V16" s="109" t="str">
        <f t="shared" si="4"/>
        <v/>
      </c>
      <c r="W16" s="110"/>
      <c r="X16" s="109" t="str">
        <f t="shared" si="5"/>
        <v/>
      </c>
      <c r="Y16" s="109" t="str">
        <f t="shared" si="6"/>
        <v/>
      </c>
      <c r="Z16" s="82"/>
    </row>
    <row r="17" ht="20" customHeight="1" spans="1:26">
      <c r="A17" s="64">
        <v>4</v>
      </c>
      <c r="B17" s="65"/>
      <c r="C17" s="66"/>
      <c r="D17" s="67"/>
      <c r="E17" s="82"/>
      <c r="F17" s="82"/>
      <c r="G17" s="82"/>
      <c r="H17" s="82"/>
      <c r="I17" s="93" t="str">
        <f t="shared" si="0"/>
        <v/>
      </c>
      <c r="J17" s="82"/>
      <c r="K17" s="94" t="str">
        <f>IF(OR(D17="",E17=""),"",IF(J17="",G17,IF(D17="Buy",MROUND(MAX(E17*(1-Settings!$K$8),J17*(1-Settings!$K$6)),Settings!$K$10),MROUND(MIN(E17*(1+Settings!$K$8),J17*(1+Settings!$K$6)),Settings!$K$10))))</f>
        <v/>
      </c>
      <c r="L17" s="95" t="str">
        <f t="shared" si="1"/>
        <v/>
      </c>
      <c r="M17" s="82"/>
      <c r="N17" s="94" t="str">
        <f>IF(OR(D17="",E17=""),"",IF(M17="",H17,IF(D17="Buy",MROUND(MAX(E17*(1-Settings!$K$8),M17*(1-Settings!$K$6)),Settings!$K$10),MROUND(MIN(E17*(1+Settings!$K$8),M17*(1+Settings!$K$6)),Settings!$K$10))))</f>
        <v/>
      </c>
      <c r="O17" s="95" t="str">
        <f t="shared" si="2"/>
        <v/>
      </c>
      <c r="P17" s="82"/>
      <c r="Q17" s="94" t="str">
        <f>IF(OR(D17="",P17=""),"",IF(D17="Buy",MROUND(P17*(1-Settings!$K$6),Settings!$K$10),MROUND(P17*(1+Settings!$K$6),Settings!$K$10)))</f>
        <v/>
      </c>
      <c r="R17" s="95" t="str">
        <f t="shared" si="3"/>
        <v/>
      </c>
      <c r="S17" s="82"/>
      <c r="T17" s="94" t="str">
        <f>IF(OR(D17="",S17=""),"",IF(D17="Buy",MROUND(S17*(1-Settings!$K$6),Settings!$K$10),MROUND(S17*(1+Settings!$K$6),Settings!$K$10)))</f>
        <v/>
      </c>
      <c r="U17" s="67"/>
      <c r="V17" s="109" t="str">
        <f t="shared" si="4"/>
        <v/>
      </c>
      <c r="W17" s="110"/>
      <c r="X17" s="109" t="str">
        <f t="shared" si="5"/>
        <v/>
      </c>
      <c r="Y17" s="109" t="str">
        <f t="shared" si="6"/>
        <v/>
      </c>
      <c r="Z17" s="82"/>
    </row>
    <row r="18" ht="20" customHeight="1" spans="1:26">
      <c r="A18" s="64">
        <v>5</v>
      </c>
      <c r="B18" s="65"/>
      <c r="C18" s="66"/>
      <c r="D18" s="67"/>
      <c r="E18" s="82"/>
      <c r="F18" s="82"/>
      <c r="G18" s="82"/>
      <c r="H18" s="82"/>
      <c r="I18" s="93" t="str">
        <f t="shared" si="0"/>
        <v/>
      </c>
      <c r="J18" s="82"/>
      <c r="K18" s="94" t="str">
        <f>IF(OR(D18="",E18=""),"",IF(J18="",G18,IF(D18="Buy",MROUND(MAX(E18*(1-Settings!$K$8),J18*(1-Settings!$K$6)),Settings!$K$10),MROUND(MIN(E18*(1+Settings!$K$8),J18*(1+Settings!$K$6)),Settings!$K$10))))</f>
        <v/>
      </c>
      <c r="L18" s="95" t="str">
        <f t="shared" si="1"/>
        <v/>
      </c>
      <c r="M18" s="82"/>
      <c r="N18" s="94" t="str">
        <f>IF(OR(D18="",E18=""),"",IF(M18="",H18,IF(D18="Buy",MROUND(MAX(E18*(1-Settings!$K$8),M18*(1-Settings!$K$6)),Settings!$K$10),MROUND(MIN(E18*(1+Settings!$K$8),M18*(1+Settings!$K$6)),Settings!$K$10))))</f>
        <v/>
      </c>
      <c r="O18" s="95" t="str">
        <f t="shared" si="2"/>
        <v/>
      </c>
      <c r="P18" s="82"/>
      <c r="Q18" s="94" t="str">
        <f>IF(OR(D18="",P18=""),"",IF(D18="Buy",MROUND(P18*(1-Settings!$K$6),Settings!$K$10),MROUND(P18*(1+Settings!$K$6),Settings!$K$10)))</f>
        <v/>
      </c>
      <c r="R18" s="95" t="str">
        <f t="shared" si="3"/>
        <v/>
      </c>
      <c r="S18" s="82"/>
      <c r="T18" s="94" t="str">
        <f>IF(OR(D18="",S18=""),"",IF(D18="Buy",MROUND(S18*(1-Settings!$K$6),Settings!$K$10),MROUND(S18*(1+Settings!$K$6),Settings!$K$10)))</f>
        <v/>
      </c>
      <c r="U18" s="67"/>
      <c r="V18" s="109" t="str">
        <f t="shared" si="4"/>
        <v/>
      </c>
      <c r="W18" s="110"/>
      <c r="X18" s="109" t="str">
        <f t="shared" si="5"/>
        <v/>
      </c>
      <c r="Y18" s="109" t="str">
        <f t="shared" si="6"/>
        <v/>
      </c>
      <c r="Z18" s="82"/>
    </row>
    <row r="19" ht="20" customHeight="1" spans="1:26">
      <c r="A19" s="64">
        <v>6</v>
      </c>
      <c r="B19" s="65"/>
      <c r="C19" s="66"/>
      <c r="D19" s="67"/>
      <c r="E19" s="82"/>
      <c r="F19" s="82"/>
      <c r="G19" s="82"/>
      <c r="H19" s="82"/>
      <c r="I19" s="93" t="str">
        <f t="shared" si="0"/>
        <v/>
      </c>
      <c r="J19" s="82"/>
      <c r="K19" s="94" t="str">
        <f>IF(OR(D19="",E19=""),"",IF(J19="",G19,IF(D19="Buy",MROUND(MAX(E19*(1-Settings!$K$8),J19*(1-Settings!$K$6)),Settings!$K$10),MROUND(MIN(E19*(1+Settings!$K$8),J19*(1+Settings!$K$6)),Settings!$K$10))))</f>
        <v/>
      </c>
      <c r="L19" s="95" t="str">
        <f t="shared" si="1"/>
        <v/>
      </c>
      <c r="M19" s="82"/>
      <c r="N19" s="94" t="str">
        <f>IF(OR(D19="",E19=""),"",IF(M19="",H19,IF(D19="Buy",MROUND(MAX(E19*(1-Settings!$K$8),M19*(1-Settings!$K$6)),Settings!$K$10),MROUND(MIN(E19*(1+Settings!$K$8),M19*(1+Settings!$K$6)),Settings!$K$10))))</f>
        <v/>
      </c>
      <c r="O19" s="95" t="str">
        <f t="shared" si="2"/>
        <v/>
      </c>
      <c r="P19" s="82"/>
      <c r="Q19" s="94" t="str">
        <f>IF(OR(D19="",P19=""),"",IF(D19="Buy",MROUND(P19*(1-Settings!$K$6),Settings!$K$10),MROUND(P19*(1+Settings!$K$6),Settings!$K$10)))</f>
        <v/>
      </c>
      <c r="R19" s="95" t="str">
        <f t="shared" si="3"/>
        <v/>
      </c>
      <c r="S19" s="82"/>
      <c r="T19" s="94" t="str">
        <f>IF(OR(D19="",S19=""),"",IF(D19="Buy",MROUND(S19*(1-Settings!$K$6),Settings!$K$10),MROUND(S19*(1+Settings!$K$6),Settings!$K$10)))</f>
        <v/>
      </c>
      <c r="U19" s="67"/>
      <c r="V19" s="109" t="str">
        <f t="shared" si="4"/>
        <v/>
      </c>
      <c r="W19" s="110"/>
      <c r="X19" s="109" t="str">
        <f t="shared" si="5"/>
        <v/>
      </c>
      <c r="Y19" s="109" t="str">
        <f t="shared" si="6"/>
        <v/>
      </c>
      <c r="Z19" s="82"/>
    </row>
    <row r="20" ht="20" customHeight="1" spans="1:26">
      <c r="A20" s="64">
        <v>7</v>
      </c>
      <c r="B20" s="65"/>
      <c r="C20" s="66"/>
      <c r="D20" s="67"/>
      <c r="E20" s="82"/>
      <c r="F20" s="82"/>
      <c r="G20" s="82"/>
      <c r="H20" s="82"/>
      <c r="I20" s="93" t="str">
        <f t="shared" si="0"/>
        <v/>
      </c>
      <c r="J20" s="82"/>
      <c r="K20" s="94" t="str">
        <f>IF(OR(D20="",E20=""),"",IF(J20="",G20,IF(D20="Buy",MROUND(MAX(E20*(1-Settings!$K$8),J20*(1-Settings!$K$6)),Settings!$K$10),MROUND(MIN(E20*(1+Settings!$K$8),J20*(1+Settings!$K$6)),Settings!$K$10))))</f>
        <v/>
      </c>
      <c r="L20" s="95" t="str">
        <f t="shared" si="1"/>
        <v/>
      </c>
      <c r="M20" s="82"/>
      <c r="N20" s="94" t="str">
        <f>IF(OR(D20="",E20=""),"",IF(M20="",H20,IF(D20="Buy",MROUND(MAX(E20*(1-Settings!$K$8),M20*(1-Settings!$K$6)),Settings!$K$10),MROUND(MIN(E20*(1+Settings!$K$8),M20*(1+Settings!$K$6)),Settings!$K$10))))</f>
        <v/>
      </c>
      <c r="O20" s="95" t="str">
        <f t="shared" si="2"/>
        <v/>
      </c>
      <c r="P20" s="82"/>
      <c r="Q20" s="94" t="str">
        <f>IF(OR(D20="",P20=""),"",IF(D20="Buy",MROUND(P20*(1-Settings!$K$6),Settings!$K$10),MROUND(P20*(1+Settings!$K$6),Settings!$K$10)))</f>
        <v/>
      </c>
      <c r="R20" s="95" t="str">
        <f t="shared" si="3"/>
        <v/>
      </c>
      <c r="S20" s="82"/>
      <c r="T20" s="94" t="str">
        <f>IF(OR(D20="",S20=""),"",IF(D20="Buy",MROUND(S20*(1-Settings!$K$6),Settings!$K$10),MROUND(S20*(1+Settings!$K$6),Settings!$K$10)))</f>
        <v/>
      </c>
      <c r="U20" s="67"/>
      <c r="V20" s="109" t="str">
        <f t="shared" si="4"/>
        <v/>
      </c>
      <c r="W20" s="110"/>
      <c r="X20" s="109" t="str">
        <f t="shared" si="5"/>
        <v/>
      </c>
      <c r="Y20" s="109" t="str">
        <f t="shared" si="6"/>
        <v/>
      </c>
      <c r="Z20" s="82"/>
    </row>
    <row r="21" ht="20" customHeight="1" spans="1:26">
      <c r="A21" s="64">
        <v>8</v>
      </c>
      <c r="B21" s="65"/>
      <c r="C21" s="66"/>
      <c r="D21" s="67"/>
      <c r="E21" s="82"/>
      <c r="F21" s="82"/>
      <c r="G21" s="82"/>
      <c r="H21" s="82"/>
      <c r="I21" s="93" t="str">
        <f t="shared" si="0"/>
        <v/>
      </c>
      <c r="J21" s="82"/>
      <c r="K21" s="94" t="str">
        <f>IF(OR(D21="",E21=""),"",IF(J21="",G21,IF(D21="Buy",MROUND(MAX(E21*(1-Settings!$K$8),J21*(1-Settings!$K$6)),Settings!$K$10),MROUND(MIN(E21*(1+Settings!$K$8),J21*(1+Settings!$K$6)),Settings!$K$10))))</f>
        <v/>
      </c>
      <c r="L21" s="95" t="str">
        <f t="shared" si="1"/>
        <v/>
      </c>
      <c r="M21" s="82"/>
      <c r="N21" s="94" t="str">
        <f>IF(OR(D21="",E21=""),"",IF(M21="",H21,IF(D21="Buy",MROUND(MAX(E21*(1-Settings!$K$8),M21*(1-Settings!$K$6)),Settings!$K$10),MROUND(MIN(E21*(1+Settings!$K$8),M21*(1+Settings!$K$6)),Settings!$K$10))))</f>
        <v/>
      </c>
      <c r="O21" s="95" t="str">
        <f t="shared" si="2"/>
        <v/>
      </c>
      <c r="P21" s="82"/>
      <c r="Q21" s="94" t="str">
        <f>IF(OR(D21="",P21=""),"",IF(D21="Buy",MROUND(P21*(1-Settings!$K$6),Settings!$K$10),MROUND(P21*(1+Settings!$K$6),Settings!$K$10)))</f>
        <v/>
      </c>
      <c r="R21" s="95" t="str">
        <f t="shared" si="3"/>
        <v/>
      </c>
      <c r="S21" s="82"/>
      <c r="T21" s="94" t="str">
        <f>IF(OR(D21="",S21=""),"",IF(D21="Buy",MROUND(S21*(1-Settings!$K$6),Settings!$K$10),MROUND(S21*(1+Settings!$K$6),Settings!$K$10)))</f>
        <v/>
      </c>
      <c r="U21" s="67"/>
      <c r="V21" s="109" t="str">
        <f t="shared" si="4"/>
        <v/>
      </c>
      <c r="W21" s="110"/>
      <c r="X21" s="109" t="str">
        <f t="shared" si="5"/>
        <v/>
      </c>
      <c r="Y21" s="109" t="str">
        <f t="shared" si="6"/>
        <v/>
      </c>
      <c r="Z21" s="82"/>
    </row>
    <row r="22" ht="20" customHeight="1" spans="1:26">
      <c r="A22" s="64">
        <v>9</v>
      </c>
      <c r="B22" s="65"/>
      <c r="C22" s="66"/>
      <c r="D22" s="67"/>
      <c r="E22" s="82"/>
      <c r="F22" s="82"/>
      <c r="G22" s="82"/>
      <c r="H22" s="82"/>
      <c r="I22" s="93" t="str">
        <f t="shared" si="0"/>
        <v/>
      </c>
      <c r="J22" s="82"/>
      <c r="K22" s="94" t="str">
        <f>IF(OR(D22="",E22=""),"",IF(J22="",G22,IF(D22="Buy",MROUND(MAX(E22*(1-Settings!$K$8),J22*(1-Settings!$K$6)),Settings!$K$10),MROUND(MIN(E22*(1+Settings!$K$8),J22*(1+Settings!$K$6)),Settings!$K$10))))</f>
        <v/>
      </c>
      <c r="L22" s="95" t="str">
        <f t="shared" si="1"/>
        <v/>
      </c>
      <c r="M22" s="82"/>
      <c r="N22" s="94" t="str">
        <f>IF(OR(D22="",E22=""),"",IF(M22="",H22,IF(D22="Buy",MROUND(MAX(E22*(1-Settings!$K$8),M22*(1-Settings!$K$6)),Settings!$K$10),MROUND(MIN(E22*(1+Settings!$K$8),M22*(1+Settings!$K$6)),Settings!$K$10))))</f>
        <v/>
      </c>
      <c r="O22" s="95" t="str">
        <f t="shared" si="2"/>
        <v/>
      </c>
      <c r="P22" s="82"/>
      <c r="Q22" s="94" t="str">
        <f>IF(OR(D22="",P22=""),"",IF(D22="Buy",MROUND(P22*(1-Settings!$K$6),Settings!$K$10),MROUND(P22*(1+Settings!$K$6),Settings!$K$10)))</f>
        <v/>
      </c>
      <c r="R22" s="95" t="str">
        <f t="shared" si="3"/>
        <v/>
      </c>
      <c r="S22" s="82"/>
      <c r="T22" s="94" t="str">
        <f>IF(OR(D22="",S22=""),"",IF(D22="Buy",MROUND(S22*(1-Settings!$K$6),Settings!$K$10),MROUND(S22*(1+Settings!$K$6),Settings!$K$10)))</f>
        <v/>
      </c>
      <c r="U22" s="67"/>
      <c r="V22" s="109" t="str">
        <f t="shared" si="4"/>
        <v/>
      </c>
      <c r="W22" s="110"/>
      <c r="X22" s="109" t="str">
        <f t="shared" si="5"/>
        <v/>
      </c>
      <c r="Y22" s="109" t="str">
        <f t="shared" si="6"/>
        <v/>
      </c>
      <c r="Z22" s="82"/>
    </row>
    <row r="23" ht="20" customHeight="1" spans="1:26">
      <c r="A23" s="64">
        <v>10</v>
      </c>
      <c r="B23" s="65"/>
      <c r="C23" s="66"/>
      <c r="D23" s="67"/>
      <c r="E23" s="82"/>
      <c r="F23" s="82"/>
      <c r="G23" s="82"/>
      <c r="H23" s="82"/>
      <c r="I23" s="93" t="str">
        <f t="shared" si="0"/>
        <v/>
      </c>
      <c r="J23" s="82"/>
      <c r="K23" s="94" t="str">
        <f>IF(OR(D23="",E23=""),"",IF(J23="",G23,IF(D23="Buy",MROUND(MAX(E23*(1-Settings!$K$8),J23*(1-Settings!$K$6)),Settings!$K$10),MROUND(MIN(E23*(1+Settings!$K$8),J23*(1+Settings!$K$6)),Settings!$K$10))))</f>
        <v/>
      </c>
      <c r="L23" s="95" t="str">
        <f t="shared" si="1"/>
        <v/>
      </c>
      <c r="M23" s="82"/>
      <c r="N23" s="94" t="str">
        <f>IF(OR(D23="",E23=""),"",IF(M23="",H23,IF(D23="Buy",MROUND(MAX(E23*(1-Settings!$K$8),M23*(1-Settings!$K$6)),Settings!$K$10),MROUND(MIN(E23*(1+Settings!$K$8),M23*(1+Settings!$K$6)),Settings!$K$10))))</f>
        <v/>
      </c>
      <c r="O23" s="95" t="str">
        <f t="shared" si="2"/>
        <v/>
      </c>
      <c r="P23" s="82"/>
      <c r="Q23" s="94" t="str">
        <f>IF(OR(D23="",P23=""),"",IF(D23="Buy",MROUND(P23*(1-Settings!$K$6),Settings!$K$10),MROUND(P23*(1+Settings!$K$6),Settings!$K$10)))</f>
        <v/>
      </c>
      <c r="R23" s="95" t="str">
        <f t="shared" si="3"/>
        <v/>
      </c>
      <c r="S23" s="82"/>
      <c r="T23" s="94" t="str">
        <f>IF(OR(D23="",S23=""),"",IF(D23="Buy",MROUND(S23*(1-Settings!$K$6),Settings!$K$10),MROUND(S23*(1+Settings!$K$6),Settings!$K$10)))</f>
        <v/>
      </c>
      <c r="U23" s="67"/>
      <c r="V23" s="109" t="str">
        <f t="shared" si="4"/>
        <v/>
      </c>
      <c r="W23" s="110"/>
      <c r="X23" s="109" t="str">
        <f t="shared" si="5"/>
        <v/>
      </c>
      <c r="Y23" s="109" t="str">
        <f t="shared" si="6"/>
        <v/>
      </c>
      <c r="Z23" s="82"/>
    </row>
    <row r="24" ht="20" customHeight="1" spans="1:26">
      <c r="A24" s="64">
        <v>11</v>
      </c>
      <c r="B24" s="65"/>
      <c r="C24" s="66"/>
      <c r="D24" s="67"/>
      <c r="E24" s="82"/>
      <c r="F24" s="82"/>
      <c r="G24" s="82"/>
      <c r="H24" s="82"/>
      <c r="I24" s="93" t="str">
        <f t="shared" si="0"/>
        <v/>
      </c>
      <c r="J24" s="82"/>
      <c r="K24" s="94" t="str">
        <f>IF(OR(D24="",E24=""),"",IF(J24="",G24,IF(D24="Buy",MROUND(MAX(E24*(1-Settings!$K$8),J24*(1-Settings!$K$6)),Settings!$K$10),MROUND(MIN(E24*(1+Settings!$K$8),J24*(1+Settings!$K$6)),Settings!$K$10))))</f>
        <v/>
      </c>
      <c r="L24" s="95" t="str">
        <f t="shared" si="1"/>
        <v/>
      </c>
      <c r="M24" s="82"/>
      <c r="N24" s="94" t="str">
        <f>IF(OR(D24="",E24=""),"",IF(M24="",H24,IF(D24="Buy",MROUND(MAX(E24*(1-Settings!$K$8),M24*(1-Settings!$K$6)),Settings!$K$10),MROUND(MIN(E24*(1+Settings!$K$8),M24*(1+Settings!$K$6)),Settings!$K$10))))</f>
        <v/>
      </c>
      <c r="O24" s="95" t="str">
        <f t="shared" si="2"/>
        <v/>
      </c>
      <c r="P24" s="82"/>
      <c r="Q24" s="94" t="str">
        <f>IF(OR(D24="",P24=""),"",IF(D24="Buy",MROUND(P24*(1-Settings!$K$6),Settings!$K$10),MROUND(P24*(1+Settings!$K$6),Settings!$K$10)))</f>
        <v/>
      </c>
      <c r="R24" s="95" t="str">
        <f t="shared" si="3"/>
        <v/>
      </c>
      <c r="S24" s="82"/>
      <c r="T24" s="94" t="str">
        <f>IF(OR(D24="",S24=""),"",IF(D24="Buy",MROUND(S24*(1-Settings!$K$6),Settings!$K$10),MROUND(S24*(1+Settings!$K$6),Settings!$K$10)))</f>
        <v/>
      </c>
      <c r="U24" s="67"/>
      <c r="V24" s="109" t="str">
        <f t="shared" si="4"/>
        <v/>
      </c>
      <c r="W24" s="110"/>
      <c r="X24" s="109" t="str">
        <f t="shared" si="5"/>
        <v/>
      </c>
      <c r="Y24" s="109" t="str">
        <f t="shared" si="6"/>
        <v/>
      </c>
      <c r="Z24" s="82"/>
    </row>
    <row r="25" ht="20" customHeight="1" spans="1:26">
      <c r="A25" s="64">
        <v>12</v>
      </c>
      <c r="B25" s="65"/>
      <c r="C25" s="66"/>
      <c r="D25" s="67"/>
      <c r="E25" s="82"/>
      <c r="F25" s="82"/>
      <c r="G25" s="82"/>
      <c r="H25" s="82"/>
      <c r="I25" s="93" t="str">
        <f t="shared" si="0"/>
        <v/>
      </c>
      <c r="J25" s="82"/>
      <c r="K25" s="94" t="str">
        <f>IF(OR(D25="",E25=""),"",IF(J25="",G25,IF(D25="Buy",MROUND(MAX(E25*(1-Settings!$K$8),J25*(1-Settings!$K$6)),Settings!$K$10),MROUND(MIN(E25*(1+Settings!$K$8),J25*(1+Settings!$K$6)),Settings!$K$10))))</f>
        <v/>
      </c>
      <c r="L25" s="95" t="str">
        <f t="shared" si="1"/>
        <v/>
      </c>
      <c r="M25" s="82"/>
      <c r="N25" s="94" t="str">
        <f>IF(OR(D25="",E25=""),"",IF(M25="",H25,IF(D25="Buy",MROUND(MAX(E25*(1-Settings!$K$8),M25*(1-Settings!$K$6)),Settings!$K$10),MROUND(MIN(E25*(1+Settings!$K$8),M25*(1+Settings!$K$6)),Settings!$K$10))))</f>
        <v/>
      </c>
      <c r="O25" s="95" t="str">
        <f t="shared" si="2"/>
        <v/>
      </c>
      <c r="P25" s="82"/>
      <c r="Q25" s="94" t="str">
        <f>IF(OR(D25="",P25=""),"",IF(D25="Buy",MROUND(P25*(1-Settings!$K$6),Settings!$K$10),MROUND(P25*(1+Settings!$K$6),Settings!$K$10)))</f>
        <v/>
      </c>
      <c r="R25" s="95" t="str">
        <f t="shared" si="3"/>
        <v/>
      </c>
      <c r="S25" s="82"/>
      <c r="T25" s="94" t="str">
        <f>IF(OR(D25="",S25=""),"",IF(D25="Buy",MROUND(S25*(1-Settings!$K$6),Settings!$K$10),MROUND(S25*(1+Settings!$K$6),Settings!$K$10)))</f>
        <v/>
      </c>
      <c r="U25" s="67"/>
      <c r="V25" s="109" t="str">
        <f t="shared" si="4"/>
        <v/>
      </c>
      <c r="W25" s="110"/>
      <c r="X25" s="109" t="str">
        <f t="shared" si="5"/>
        <v/>
      </c>
      <c r="Y25" s="109" t="str">
        <f t="shared" si="6"/>
        <v/>
      </c>
      <c r="Z25" s="82"/>
    </row>
    <row r="26" ht="20" customHeight="1" spans="1:26">
      <c r="A26" s="64">
        <v>13</v>
      </c>
      <c r="B26" s="65"/>
      <c r="C26" s="66"/>
      <c r="D26" s="67"/>
      <c r="E26" s="82"/>
      <c r="F26" s="82"/>
      <c r="G26" s="82"/>
      <c r="H26" s="82"/>
      <c r="I26" s="93" t="str">
        <f t="shared" si="0"/>
        <v/>
      </c>
      <c r="J26" s="82"/>
      <c r="K26" s="94" t="str">
        <f>IF(OR(D26="",E26=""),"",IF(J26="",G26,IF(D26="Buy",MROUND(MAX(E26*(1-Settings!$K$8),J26*(1-Settings!$K$6)),Settings!$K$10),MROUND(MIN(E26*(1+Settings!$K$8),J26*(1+Settings!$K$6)),Settings!$K$10))))</f>
        <v/>
      </c>
      <c r="L26" s="95" t="str">
        <f t="shared" si="1"/>
        <v/>
      </c>
      <c r="M26" s="82"/>
      <c r="N26" s="94" t="str">
        <f>IF(OR(D26="",E26=""),"",IF(M26="",H26,IF(D26="Buy",MROUND(MAX(E26*(1-Settings!$K$8),M26*(1-Settings!$K$6)),Settings!$K$10),MROUND(MIN(E26*(1+Settings!$K$8),M26*(1+Settings!$K$6)),Settings!$K$10))))</f>
        <v/>
      </c>
      <c r="O26" s="95" t="str">
        <f t="shared" si="2"/>
        <v/>
      </c>
      <c r="P26" s="82"/>
      <c r="Q26" s="94" t="str">
        <f>IF(OR(D26="",P26=""),"",IF(D26="Buy",MROUND(P26*(1-Settings!$K$6),Settings!$K$10),MROUND(P26*(1+Settings!$K$6),Settings!$K$10)))</f>
        <v/>
      </c>
      <c r="R26" s="95" t="str">
        <f t="shared" si="3"/>
        <v/>
      </c>
      <c r="S26" s="82"/>
      <c r="T26" s="94" t="str">
        <f>IF(OR(D26="",S26=""),"",IF(D26="Buy",MROUND(S26*(1-Settings!$K$6),Settings!$K$10),MROUND(S26*(1+Settings!$K$6),Settings!$K$10)))</f>
        <v/>
      </c>
      <c r="U26" s="67"/>
      <c r="V26" s="109" t="str">
        <f t="shared" si="4"/>
        <v/>
      </c>
      <c r="W26" s="110"/>
      <c r="X26" s="109" t="str">
        <f t="shared" si="5"/>
        <v/>
      </c>
      <c r="Y26" s="109" t="str">
        <f t="shared" si="6"/>
        <v/>
      </c>
      <c r="Z26" s="82"/>
    </row>
    <row r="27" ht="20" customHeight="1" spans="1:26">
      <c r="A27" s="64">
        <v>14</v>
      </c>
      <c r="B27" s="65"/>
      <c r="C27" s="66"/>
      <c r="D27" s="67"/>
      <c r="E27" s="82"/>
      <c r="F27" s="82"/>
      <c r="G27" s="82"/>
      <c r="H27" s="82"/>
      <c r="I27" s="93" t="str">
        <f t="shared" si="0"/>
        <v/>
      </c>
      <c r="J27" s="82"/>
      <c r="K27" s="94" t="str">
        <f>IF(OR(D27="",E27=""),"",IF(J27="",G27,IF(D27="Buy",MROUND(MAX(E27*(1-Settings!$K$8),J27*(1-Settings!$K$6)),Settings!$K$10),MROUND(MIN(E27*(1+Settings!$K$8),J27*(1+Settings!$K$6)),Settings!$K$10))))</f>
        <v/>
      </c>
      <c r="L27" s="95" t="str">
        <f t="shared" si="1"/>
        <v/>
      </c>
      <c r="M27" s="82"/>
      <c r="N27" s="94" t="str">
        <f>IF(OR(D27="",E27=""),"",IF(M27="",H27,IF(D27="Buy",MROUND(MAX(E27*(1-Settings!$K$8),M27*(1-Settings!$K$6)),Settings!$K$10),MROUND(MIN(E27*(1+Settings!$K$8),M27*(1+Settings!$K$6)),Settings!$K$10))))</f>
        <v/>
      </c>
      <c r="O27" s="95" t="str">
        <f t="shared" si="2"/>
        <v/>
      </c>
      <c r="P27" s="82"/>
      <c r="Q27" s="94" t="str">
        <f>IF(OR(D27="",P27=""),"",IF(D27="Buy",MROUND(P27*(1-Settings!$K$6),Settings!$K$10),MROUND(P27*(1+Settings!$K$6),Settings!$K$10)))</f>
        <v/>
      </c>
      <c r="R27" s="95" t="str">
        <f t="shared" si="3"/>
        <v/>
      </c>
      <c r="S27" s="82"/>
      <c r="T27" s="94" t="str">
        <f>IF(OR(D27="",S27=""),"",IF(D27="Buy",MROUND(S27*(1-Settings!$K$6),Settings!$K$10),MROUND(S27*(1+Settings!$K$6),Settings!$K$10)))</f>
        <v/>
      </c>
      <c r="U27" s="67"/>
      <c r="V27" s="109" t="str">
        <f t="shared" si="4"/>
        <v/>
      </c>
      <c r="W27" s="110"/>
      <c r="X27" s="109" t="str">
        <f t="shared" si="5"/>
        <v/>
      </c>
      <c r="Y27" s="109" t="str">
        <f t="shared" si="6"/>
        <v/>
      </c>
      <c r="Z27" s="82"/>
    </row>
    <row r="28" ht="20" customHeight="1" spans="1:26">
      <c r="A28" s="64">
        <v>15</v>
      </c>
      <c r="B28" s="65"/>
      <c r="C28" s="66"/>
      <c r="D28" s="67"/>
      <c r="E28" s="82"/>
      <c r="F28" s="82"/>
      <c r="G28" s="82"/>
      <c r="H28" s="82"/>
      <c r="I28" s="93" t="str">
        <f t="shared" si="0"/>
        <v/>
      </c>
      <c r="J28" s="82"/>
      <c r="K28" s="94" t="str">
        <f>IF(OR(D28="",E28=""),"",IF(J28="",G28,IF(D28="Buy",MROUND(MAX(E28*(1-Settings!$K$8),J28*(1-Settings!$K$6)),Settings!$K$10),MROUND(MIN(E28*(1+Settings!$K$8),J28*(1+Settings!$K$6)),Settings!$K$10))))</f>
        <v/>
      </c>
      <c r="L28" s="95" t="str">
        <f t="shared" si="1"/>
        <v/>
      </c>
      <c r="M28" s="82"/>
      <c r="N28" s="94" t="str">
        <f>IF(OR(D28="",E28=""),"",IF(M28="",H28,IF(D28="Buy",MROUND(MAX(E28*(1-Settings!$K$8),M28*(1-Settings!$K$6)),Settings!$K$10),MROUND(MIN(E28*(1+Settings!$K$8),M28*(1+Settings!$K$6)),Settings!$K$10))))</f>
        <v/>
      </c>
      <c r="O28" s="95" t="str">
        <f t="shared" si="2"/>
        <v/>
      </c>
      <c r="P28" s="82"/>
      <c r="Q28" s="94" t="str">
        <f>IF(OR(D28="",P28=""),"",IF(D28="Buy",MROUND(P28*(1-Settings!$K$6),Settings!$K$10),MROUND(P28*(1+Settings!$K$6),Settings!$K$10)))</f>
        <v/>
      </c>
      <c r="R28" s="95" t="str">
        <f t="shared" si="3"/>
        <v/>
      </c>
      <c r="S28" s="82"/>
      <c r="T28" s="94" t="str">
        <f>IF(OR(D28="",S28=""),"",IF(D28="Buy",MROUND(S28*(1-Settings!$K$6),Settings!$K$10),MROUND(S28*(1+Settings!$K$6),Settings!$K$10)))</f>
        <v/>
      </c>
      <c r="U28" s="67"/>
      <c r="V28" s="109" t="str">
        <f t="shared" si="4"/>
        <v/>
      </c>
      <c r="W28" s="110"/>
      <c r="X28" s="109" t="str">
        <f t="shared" si="5"/>
        <v/>
      </c>
      <c r="Y28" s="109" t="str">
        <f t="shared" si="6"/>
        <v/>
      </c>
      <c r="Z28" s="82"/>
    </row>
    <row r="29" ht="20" customHeight="1" spans="1:26">
      <c r="A29" s="64">
        <v>16</v>
      </c>
      <c r="B29" s="65"/>
      <c r="C29" s="66"/>
      <c r="D29" s="67"/>
      <c r="E29" s="82"/>
      <c r="F29" s="82"/>
      <c r="G29" s="82"/>
      <c r="H29" s="82"/>
      <c r="I29" s="93" t="str">
        <f t="shared" si="0"/>
        <v/>
      </c>
      <c r="J29" s="82"/>
      <c r="K29" s="94" t="str">
        <f>IF(OR(D29="",E29=""),"",IF(J29="",G29,IF(D29="Buy",MROUND(MAX(E29*(1-Settings!$K$8),J29*(1-Settings!$K$6)),Settings!$K$10),MROUND(MIN(E29*(1+Settings!$K$8),J29*(1+Settings!$K$6)),Settings!$K$10))))</f>
        <v/>
      </c>
      <c r="L29" s="95" t="str">
        <f t="shared" si="1"/>
        <v/>
      </c>
      <c r="M29" s="82"/>
      <c r="N29" s="94" t="str">
        <f>IF(OR(D29="",E29=""),"",IF(M29="",H29,IF(D29="Buy",MROUND(MAX(E29*(1-Settings!$K$8),M29*(1-Settings!$K$6)),Settings!$K$10),MROUND(MIN(E29*(1+Settings!$K$8),M29*(1+Settings!$K$6)),Settings!$K$10))))</f>
        <v/>
      </c>
      <c r="O29" s="95" t="str">
        <f t="shared" si="2"/>
        <v/>
      </c>
      <c r="P29" s="82"/>
      <c r="Q29" s="94" t="str">
        <f>IF(OR(D29="",P29=""),"",IF(D29="Buy",MROUND(P29*(1-Settings!$K$6),Settings!$K$10),MROUND(P29*(1+Settings!$K$6),Settings!$K$10)))</f>
        <v/>
      </c>
      <c r="R29" s="95" t="str">
        <f t="shared" si="3"/>
        <v/>
      </c>
      <c r="S29" s="82"/>
      <c r="T29" s="94" t="str">
        <f>IF(OR(D29="",S29=""),"",IF(D29="Buy",MROUND(S29*(1-Settings!$K$6),Settings!$K$10),MROUND(S29*(1+Settings!$K$6),Settings!$K$10)))</f>
        <v/>
      </c>
      <c r="U29" s="67"/>
      <c r="V29" s="109" t="str">
        <f t="shared" si="4"/>
        <v/>
      </c>
      <c r="W29" s="110"/>
      <c r="X29" s="109" t="str">
        <f t="shared" si="5"/>
        <v/>
      </c>
      <c r="Y29" s="109" t="str">
        <f t="shared" si="6"/>
        <v/>
      </c>
      <c r="Z29" s="82"/>
    </row>
    <row r="30" ht="20" customHeight="1" spans="1:26">
      <c r="A30" s="64">
        <v>17</v>
      </c>
      <c r="B30" s="65"/>
      <c r="C30" s="66"/>
      <c r="D30" s="67"/>
      <c r="E30" s="82"/>
      <c r="F30" s="82"/>
      <c r="G30" s="82"/>
      <c r="H30" s="82"/>
      <c r="I30" s="93" t="str">
        <f t="shared" si="0"/>
        <v/>
      </c>
      <c r="J30" s="82"/>
      <c r="K30" s="94" t="str">
        <f>IF(OR(D30="",E30=""),"",IF(J30="",G30,IF(D30="Buy",MROUND(MAX(E30*(1-Settings!$K$8),J30*(1-Settings!$K$6)),Settings!$K$10),MROUND(MIN(E30*(1+Settings!$K$8),J30*(1+Settings!$K$6)),Settings!$K$10))))</f>
        <v/>
      </c>
      <c r="L30" s="95" t="str">
        <f t="shared" si="1"/>
        <v/>
      </c>
      <c r="M30" s="82"/>
      <c r="N30" s="94" t="str">
        <f>IF(OR(D30="",E30=""),"",IF(M30="",H30,IF(D30="Buy",MROUND(MAX(E30*(1-Settings!$K$8),M30*(1-Settings!$K$6)),Settings!$K$10),MROUND(MIN(E30*(1+Settings!$K$8),M30*(1+Settings!$K$6)),Settings!$K$10))))</f>
        <v/>
      </c>
      <c r="O30" s="95" t="str">
        <f t="shared" si="2"/>
        <v/>
      </c>
      <c r="P30" s="82"/>
      <c r="Q30" s="94" t="str">
        <f>IF(OR(D30="",P30=""),"",IF(D30="Buy",MROUND(P30*(1-Settings!$K$6),Settings!$K$10),MROUND(P30*(1+Settings!$K$6),Settings!$K$10)))</f>
        <v/>
      </c>
      <c r="R30" s="95" t="str">
        <f t="shared" si="3"/>
        <v/>
      </c>
      <c r="S30" s="82"/>
      <c r="T30" s="94" t="str">
        <f>IF(OR(D30="",S30=""),"",IF(D30="Buy",MROUND(S30*(1-Settings!$K$6),Settings!$K$10),MROUND(S30*(1+Settings!$K$6),Settings!$K$10)))</f>
        <v/>
      </c>
      <c r="U30" s="67"/>
      <c r="V30" s="109" t="str">
        <f t="shared" si="4"/>
        <v/>
      </c>
      <c r="W30" s="110"/>
      <c r="X30" s="109" t="str">
        <f t="shared" si="5"/>
        <v/>
      </c>
      <c r="Y30" s="109" t="str">
        <f t="shared" si="6"/>
        <v/>
      </c>
      <c r="Z30" s="82"/>
    </row>
    <row r="31" ht="20" customHeight="1" spans="1:26">
      <c r="A31" s="64">
        <v>18</v>
      </c>
      <c r="B31" s="65"/>
      <c r="C31" s="66"/>
      <c r="D31" s="67"/>
      <c r="E31" s="82"/>
      <c r="F31" s="82"/>
      <c r="G31" s="82"/>
      <c r="H31" s="82"/>
      <c r="I31" s="93" t="str">
        <f t="shared" si="0"/>
        <v/>
      </c>
      <c r="J31" s="82"/>
      <c r="K31" s="94" t="str">
        <f>IF(OR(D31="",E31=""),"",IF(J31="",G31,IF(D31="Buy",MROUND(MAX(E31*(1-Settings!$K$8),J31*(1-Settings!$K$6)),Settings!$K$10),MROUND(MIN(E31*(1+Settings!$K$8),J31*(1+Settings!$K$6)),Settings!$K$10))))</f>
        <v/>
      </c>
      <c r="L31" s="95" t="str">
        <f t="shared" si="1"/>
        <v/>
      </c>
      <c r="M31" s="82"/>
      <c r="N31" s="94" t="str">
        <f>IF(OR(D31="",E31=""),"",IF(M31="",H31,IF(D31="Buy",MROUND(MAX(E31*(1-Settings!$K$8),M31*(1-Settings!$K$6)),Settings!$K$10),MROUND(MIN(E31*(1+Settings!$K$8),M31*(1+Settings!$K$6)),Settings!$K$10))))</f>
        <v/>
      </c>
      <c r="O31" s="95" t="str">
        <f t="shared" si="2"/>
        <v/>
      </c>
      <c r="P31" s="82"/>
      <c r="Q31" s="94" t="str">
        <f>IF(OR(D31="",P31=""),"",IF(D31="Buy",MROUND(P31*(1-Settings!$K$6),Settings!$K$10),MROUND(P31*(1+Settings!$K$6),Settings!$K$10)))</f>
        <v/>
      </c>
      <c r="R31" s="95" t="str">
        <f t="shared" si="3"/>
        <v/>
      </c>
      <c r="S31" s="82"/>
      <c r="T31" s="94" t="str">
        <f>IF(OR(D31="",S31=""),"",IF(D31="Buy",MROUND(S31*(1-Settings!$K$6),Settings!$K$10),MROUND(S31*(1+Settings!$K$6),Settings!$K$10)))</f>
        <v/>
      </c>
      <c r="U31" s="67"/>
      <c r="V31" s="109" t="str">
        <f t="shared" si="4"/>
        <v/>
      </c>
      <c r="W31" s="110"/>
      <c r="X31" s="109" t="str">
        <f t="shared" si="5"/>
        <v/>
      </c>
      <c r="Y31" s="109" t="str">
        <f t="shared" si="6"/>
        <v/>
      </c>
      <c r="Z31" s="82"/>
    </row>
    <row r="32" ht="20" customHeight="1" spans="1:26">
      <c r="A32" s="64">
        <v>19</v>
      </c>
      <c r="B32" s="65"/>
      <c r="C32" s="66"/>
      <c r="D32" s="67"/>
      <c r="E32" s="82"/>
      <c r="F32" s="82"/>
      <c r="G32" s="82"/>
      <c r="H32" s="82"/>
      <c r="I32" s="93" t="str">
        <f t="shared" si="0"/>
        <v/>
      </c>
      <c r="J32" s="82"/>
      <c r="K32" s="94" t="str">
        <f>IF(OR(D32="",E32=""),"",IF(J32="",G32,IF(D32="Buy",MROUND(MAX(E32*(1-Settings!$K$8),J32*(1-Settings!$K$6)),Settings!$K$10),MROUND(MIN(E32*(1+Settings!$K$8),J32*(1+Settings!$K$6)),Settings!$K$10))))</f>
        <v/>
      </c>
      <c r="L32" s="95" t="str">
        <f t="shared" si="1"/>
        <v/>
      </c>
      <c r="M32" s="82"/>
      <c r="N32" s="94" t="str">
        <f>IF(OR(D32="",E32=""),"",IF(M32="",H32,IF(D32="Buy",MROUND(MAX(E32*(1-Settings!$K$8),M32*(1-Settings!$K$6)),Settings!$K$10),MROUND(MIN(E32*(1+Settings!$K$8),M32*(1+Settings!$K$6)),Settings!$K$10))))</f>
        <v/>
      </c>
      <c r="O32" s="95" t="str">
        <f t="shared" si="2"/>
        <v/>
      </c>
      <c r="P32" s="82"/>
      <c r="Q32" s="94" t="str">
        <f>IF(OR(D32="",P32=""),"",IF(D32="Buy",MROUND(P32*(1-Settings!$K$6),Settings!$K$10),MROUND(P32*(1+Settings!$K$6),Settings!$K$10)))</f>
        <v/>
      </c>
      <c r="R32" s="95" t="str">
        <f t="shared" si="3"/>
        <v/>
      </c>
      <c r="S32" s="82"/>
      <c r="T32" s="94" t="str">
        <f>IF(OR(D32="",S32=""),"",IF(D32="Buy",MROUND(S32*(1-Settings!$K$6),Settings!$K$10),MROUND(S32*(1+Settings!$K$6),Settings!$K$10)))</f>
        <v/>
      </c>
      <c r="U32" s="67"/>
      <c r="V32" s="109" t="str">
        <f t="shared" si="4"/>
        <v/>
      </c>
      <c r="W32" s="110"/>
      <c r="X32" s="109" t="str">
        <f t="shared" si="5"/>
        <v/>
      </c>
      <c r="Y32" s="109" t="str">
        <f t="shared" si="6"/>
        <v/>
      </c>
      <c r="Z32" s="82"/>
    </row>
    <row r="33" ht="20" customHeight="1" spans="1:26">
      <c r="A33" s="64">
        <v>20</v>
      </c>
      <c r="B33" s="65"/>
      <c r="C33" s="66"/>
      <c r="D33" s="67"/>
      <c r="E33" s="82"/>
      <c r="F33" s="82"/>
      <c r="G33" s="82"/>
      <c r="H33" s="82"/>
      <c r="I33" s="93" t="str">
        <f t="shared" si="0"/>
        <v/>
      </c>
      <c r="J33" s="82"/>
      <c r="K33" s="94" t="str">
        <f>IF(OR(D33="",E33=""),"",IF(J33="",G33,IF(D33="Buy",MROUND(MAX(E33*(1-Settings!$K$8),J33*(1-Settings!$K$6)),Settings!$K$10),MROUND(MIN(E33*(1+Settings!$K$8),J33*(1+Settings!$K$6)),Settings!$K$10))))</f>
        <v/>
      </c>
      <c r="L33" s="95" t="str">
        <f t="shared" si="1"/>
        <v/>
      </c>
      <c r="M33" s="82"/>
      <c r="N33" s="94" t="str">
        <f>IF(OR(D33="",E33=""),"",IF(M33="",H33,IF(D33="Buy",MROUND(MAX(E33*(1-Settings!$K$8),M33*(1-Settings!$K$6)),Settings!$K$10),MROUND(MIN(E33*(1+Settings!$K$8),M33*(1+Settings!$K$6)),Settings!$K$10))))</f>
        <v/>
      </c>
      <c r="O33" s="95" t="str">
        <f t="shared" si="2"/>
        <v/>
      </c>
      <c r="P33" s="82"/>
      <c r="Q33" s="94" t="str">
        <f>IF(OR(D33="",P33=""),"",IF(D33="Buy",MROUND(P33*(1-Settings!$K$6),Settings!$K$10),MROUND(P33*(1+Settings!$K$6),Settings!$K$10)))</f>
        <v/>
      </c>
      <c r="R33" s="95" t="str">
        <f t="shared" si="3"/>
        <v/>
      </c>
      <c r="S33" s="82"/>
      <c r="T33" s="94" t="str">
        <f>IF(OR(D33="",S33=""),"",IF(D33="Buy",MROUND(S33*(1-Settings!$K$6),Settings!$K$10),MROUND(S33*(1+Settings!$K$6),Settings!$K$10)))</f>
        <v/>
      </c>
      <c r="U33" s="67"/>
      <c r="V33" s="109" t="str">
        <f t="shared" si="4"/>
        <v/>
      </c>
      <c r="W33" s="110"/>
      <c r="X33" s="109" t="str">
        <f t="shared" si="5"/>
        <v/>
      </c>
      <c r="Y33" s="109" t="str">
        <f t="shared" si="6"/>
        <v/>
      </c>
      <c r="Z33" s="82"/>
    </row>
    <row r="34" ht="20" customHeight="1" spans="1:26">
      <c r="A34" s="64">
        <v>21</v>
      </c>
      <c r="B34" s="65"/>
      <c r="C34" s="66"/>
      <c r="D34" s="67"/>
      <c r="E34" s="82"/>
      <c r="F34" s="82"/>
      <c r="G34" s="82"/>
      <c r="H34" s="82"/>
      <c r="I34" s="93" t="str">
        <f t="shared" si="0"/>
        <v/>
      </c>
      <c r="J34" s="82"/>
      <c r="K34" s="94" t="str">
        <f>IF(OR(D34="",E34=""),"",IF(J34="",G34,IF(D34="Buy",MROUND(MAX(E34*(1-Settings!$K$8),J34*(1-Settings!$K$6)),Settings!$K$10),MROUND(MIN(E34*(1+Settings!$K$8),J34*(1+Settings!$K$6)),Settings!$K$10))))</f>
        <v/>
      </c>
      <c r="L34" s="95" t="str">
        <f t="shared" si="1"/>
        <v/>
      </c>
      <c r="M34" s="82"/>
      <c r="N34" s="94" t="str">
        <f>IF(OR(D34="",E34=""),"",IF(M34="",H34,IF(D34="Buy",MROUND(MAX(E34*(1-Settings!$K$8),M34*(1-Settings!$K$6)),Settings!$K$10),MROUND(MIN(E34*(1+Settings!$K$8),M34*(1+Settings!$K$6)),Settings!$K$10))))</f>
        <v/>
      </c>
      <c r="O34" s="95" t="str">
        <f t="shared" si="2"/>
        <v/>
      </c>
      <c r="P34" s="82"/>
      <c r="Q34" s="94" t="str">
        <f>IF(OR(D34="",P34=""),"",IF(D34="Buy",MROUND(P34*(1-Settings!$K$6),Settings!$K$10),MROUND(P34*(1+Settings!$K$6),Settings!$K$10)))</f>
        <v/>
      </c>
      <c r="R34" s="95" t="str">
        <f t="shared" si="3"/>
        <v/>
      </c>
      <c r="S34" s="82"/>
      <c r="T34" s="94" t="str">
        <f>IF(OR(D34="",S34=""),"",IF(D34="Buy",MROUND(S34*(1-Settings!$K$6),Settings!$K$10),MROUND(S34*(1+Settings!$K$6),Settings!$K$10)))</f>
        <v/>
      </c>
      <c r="U34" s="67"/>
      <c r="V34" s="109" t="str">
        <f t="shared" si="4"/>
        <v/>
      </c>
      <c r="W34" s="110"/>
      <c r="X34" s="109" t="str">
        <f t="shared" si="5"/>
        <v/>
      </c>
      <c r="Y34" s="109" t="str">
        <f t="shared" si="6"/>
        <v/>
      </c>
      <c r="Z34" s="82"/>
    </row>
    <row r="35" ht="20" customHeight="1" spans="1:26">
      <c r="A35" s="64">
        <v>22</v>
      </c>
      <c r="B35" s="65"/>
      <c r="C35" s="66"/>
      <c r="D35" s="67"/>
      <c r="E35" s="82"/>
      <c r="F35" s="82"/>
      <c r="G35" s="82"/>
      <c r="H35" s="82"/>
      <c r="I35" s="93" t="str">
        <f t="shared" si="0"/>
        <v/>
      </c>
      <c r="J35" s="82"/>
      <c r="K35" s="94" t="str">
        <f>IF(OR(D35="",E35=""),"",IF(J35="",G35,IF(D35="Buy",MROUND(MAX(E35*(1-Settings!$K$8),J35*(1-Settings!$K$6)),Settings!$K$10),MROUND(MIN(E35*(1+Settings!$K$8),J35*(1+Settings!$K$6)),Settings!$K$10))))</f>
        <v/>
      </c>
      <c r="L35" s="95" t="str">
        <f t="shared" si="1"/>
        <v/>
      </c>
      <c r="M35" s="82"/>
      <c r="N35" s="94" t="str">
        <f>IF(OR(D35="",E35=""),"",IF(M35="",H35,IF(D35="Buy",MROUND(MAX(E35*(1-Settings!$K$8),M35*(1-Settings!$K$6)),Settings!$K$10),MROUND(MIN(E35*(1+Settings!$K$8),M35*(1+Settings!$K$6)),Settings!$K$10))))</f>
        <v/>
      </c>
      <c r="O35" s="95" t="str">
        <f t="shared" si="2"/>
        <v/>
      </c>
      <c r="P35" s="82"/>
      <c r="Q35" s="94" t="str">
        <f>IF(OR(D35="",P35=""),"",IF(D35="Buy",MROUND(P35*(1-Settings!$K$6),Settings!$K$10),MROUND(P35*(1+Settings!$K$6),Settings!$K$10)))</f>
        <v/>
      </c>
      <c r="R35" s="95" t="str">
        <f t="shared" si="3"/>
        <v/>
      </c>
      <c r="S35" s="82"/>
      <c r="T35" s="94" t="str">
        <f>IF(OR(D35="",S35=""),"",IF(D35="Buy",MROUND(S35*(1-Settings!$K$6),Settings!$K$10),MROUND(S35*(1+Settings!$K$6),Settings!$K$10)))</f>
        <v/>
      </c>
      <c r="U35" s="67"/>
      <c r="V35" s="109" t="str">
        <f t="shared" si="4"/>
        <v/>
      </c>
      <c r="W35" s="110"/>
      <c r="X35" s="109" t="str">
        <f t="shared" si="5"/>
        <v/>
      </c>
      <c r="Y35" s="109" t="str">
        <f t="shared" si="6"/>
        <v/>
      </c>
      <c r="Z35" s="82"/>
    </row>
    <row r="36" ht="20" customHeight="1" spans="1:26">
      <c r="A36" s="64">
        <v>23</v>
      </c>
      <c r="B36" s="65"/>
      <c r="C36" s="66"/>
      <c r="D36" s="67"/>
      <c r="E36" s="82"/>
      <c r="F36" s="82"/>
      <c r="G36" s="82"/>
      <c r="H36" s="82"/>
      <c r="I36" s="93" t="str">
        <f t="shared" si="0"/>
        <v/>
      </c>
      <c r="J36" s="82"/>
      <c r="K36" s="94" t="str">
        <f>IF(OR(D36="",E36=""),"",IF(J36="",G36,IF(D36="Buy",MROUND(MAX(E36*(1-Settings!$K$8),J36*(1-Settings!$K$6)),Settings!$K$10),MROUND(MIN(E36*(1+Settings!$K$8),J36*(1+Settings!$K$6)),Settings!$K$10))))</f>
        <v/>
      </c>
      <c r="L36" s="95" t="str">
        <f t="shared" si="1"/>
        <v/>
      </c>
      <c r="M36" s="82"/>
      <c r="N36" s="94" t="str">
        <f>IF(OR(D36="",E36=""),"",IF(M36="",H36,IF(D36="Buy",MROUND(MAX(E36*(1-Settings!$K$8),M36*(1-Settings!$K$6)),Settings!$K$10),MROUND(MIN(E36*(1+Settings!$K$8),M36*(1+Settings!$K$6)),Settings!$K$10))))</f>
        <v/>
      </c>
      <c r="O36" s="95" t="str">
        <f t="shared" si="2"/>
        <v/>
      </c>
      <c r="P36" s="82"/>
      <c r="Q36" s="94" t="str">
        <f>IF(OR(D36="",P36=""),"",IF(D36="Buy",MROUND(P36*(1-Settings!$K$6),Settings!$K$10),MROUND(P36*(1+Settings!$K$6),Settings!$K$10)))</f>
        <v/>
      </c>
      <c r="R36" s="95" t="str">
        <f t="shared" si="3"/>
        <v/>
      </c>
      <c r="S36" s="82"/>
      <c r="T36" s="94" t="str">
        <f>IF(OR(D36="",S36=""),"",IF(D36="Buy",MROUND(S36*(1-Settings!$K$6),Settings!$K$10),MROUND(S36*(1+Settings!$K$6),Settings!$K$10)))</f>
        <v/>
      </c>
      <c r="U36" s="67"/>
      <c r="V36" s="109" t="str">
        <f t="shared" si="4"/>
        <v/>
      </c>
      <c r="W36" s="110"/>
      <c r="X36" s="109" t="str">
        <f t="shared" si="5"/>
        <v/>
      </c>
      <c r="Y36" s="109" t="str">
        <f t="shared" si="6"/>
        <v/>
      </c>
      <c r="Z36" s="82"/>
    </row>
    <row r="37" ht="20" customHeight="1" spans="1:26">
      <c r="A37" s="64">
        <v>24</v>
      </c>
      <c r="B37" s="65"/>
      <c r="C37" s="66"/>
      <c r="D37" s="67"/>
      <c r="E37" s="82"/>
      <c r="F37" s="82"/>
      <c r="G37" s="82"/>
      <c r="H37" s="82"/>
      <c r="I37" s="93" t="str">
        <f t="shared" si="0"/>
        <v/>
      </c>
      <c r="J37" s="82"/>
      <c r="K37" s="94" t="str">
        <f>IF(OR(D37="",E37=""),"",IF(J37="",G37,IF(D37="Buy",MROUND(MAX(E37*(1-Settings!$K$8),J37*(1-Settings!$K$6)),Settings!$K$10),MROUND(MIN(E37*(1+Settings!$K$8),J37*(1+Settings!$K$6)),Settings!$K$10))))</f>
        <v/>
      </c>
      <c r="L37" s="95" t="str">
        <f t="shared" si="1"/>
        <v/>
      </c>
      <c r="M37" s="82"/>
      <c r="N37" s="94" t="str">
        <f>IF(OR(D37="",E37=""),"",IF(M37="",H37,IF(D37="Buy",MROUND(MAX(E37*(1-Settings!$K$8),M37*(1-Settings!$K$6)),Settings!$K$10),MROUND(MIN(E37*(1+Settings!$K$8),M37*(1+Settings!$K$6)),Settings!$K$10))))</f>
        <v/>
      </c>
      <c r="O37" s="95" t="str">
        <f t="shared" si="2"/>
        <v/>
      </c>
      <c r="P37" s="82"/>
      <c r="Q37" s="94" t="str">
        <f>IF(OR(D37="",P37=""),"",IF(D37="Buy",MROUND(P37*(1-Settings!$K$6),Settings!$K$10),MROUND(P37*(1+Settings!$K$6),Settings!$K$10)))</f>
        <v/>
      </c>
      <c r="R37" s="95" t="str">
        <f t="shared" si="3"/>
        <v/>
      </c>
      <c r="S37" s="82"/>
      <c r="T37" s="94" t="str">
        <f>IF(OR(D37="",S37=""),"",IF(D37="Buy",MROUND(S37*(1-Settings!$K$6),Settings!$K$10),MROUND(S37*(1+Settings!$K$6),Settings!$K$10)))</f>
        <v/>
      </c>
      <c r="U37" s="67"/>
      <c r="V37" s="109" t="str">
        <f t="shared" si="4"/>
        <v/>
      </c>
      <c r="W37" s="110"/>
      <c r="X37" s="109" t="str">
        <f t="shared" si="5"/>
        <v/>
      </c>
      <c r="Y37" s="109" t="str">
        <f t="shared" si="6"/>
        <v/>
      </c>
      <c r="Z37" s="82"/>
    </row>
    <row r="38" ht="20" customHeight="1" spans="1:26">
      <c r="A38" s="64">
        <v>25</v>
      </c>
      <c r="B38" s="65"/>
      <c r="C38" s="66"/>
      <c r="D38" s="67"/>
      <c r="E38" s="82"/>
      <c r="F38" s="82"/>
      <c r="G38" s="82"/>
      <c r="H38" s="82"/>
      <c r="I38" s="93" t="str">
        <f t="shared" si="0"/>
        <v/>
      </c>
      <c r="J38" s="82"/>
      <c r="K38" s="94" t="str">
        <f>IF(OR(D38="",E38=""),"",IF(J38="",G38,IF(D38="Buy",MROUND(MAX(E38*(1-Settings!$K$8),J38*(1-Settings!$K$6)),Settings!$K$10),MROUND(MIN(E38*(1+Settings!$K$8),J38*(1+Settings!$K$6)),Settings!$K$10))))</f>
        <v/>
      </c>
      <c r="L38" s="95" t="str">
        <f t="shared" si="1"/>
        <v/>
      </c>
      <c r="M38" s="82"/>
      <c r="N38" s="94" t="str">
        <f>IF(OR(D38="",E38=""),"",IF(M38="",H38,IF(D38="Buy",MROUND(MAX(E38*(1-Settings!$K$8),M38*(1-Settings!$K$6)),Settings!$K$10),MROUND(MIN(E38*(1+Settings!$K$8),M38*(1+Settings!$K$6)),Settings!$K$10))))</f>
        <v/>
      </c>
      <c r="O38" s="95" t="str">
        <f t="shared" si="2"/>
        <v/>
      </c>
      <c r="P38" s="82"/>
      <c r="Q38" s="94" t="str">
        <f>IF(OR(D38="",P38=""),"",IF(D38="Buy",MROUND(P38*(1-Settings!$K$6),Settings!$K$10),MROUND(P38*(1+Settings!$K$6),Settings!$K$10)))</f>
        <v/>
      </c>
      <c r="R38" s="95" t="str">
        <f t="shared" si="3"/>
        <v/>
      </c>
      <c r="S38" s="82"/>
      <c r="T38" s="94" t="str">
        <f>IF(OR(D38="",S38=""),"",IF(D38="Buy",MROUND(S38*(1-Settings!$K$6),Settings!$K$10),MROUND(S38*(1+Settings!$K$6),Settings!$K$10)))</f>
        <v/>
      </c>
      <c r="U38" s="67"/>
      <c r="V38" s="109" t="str">
        <f t="shared" si="4"/>
        <v/>
      </c>
      <c r="W38" s="110"/>
      <c r="X38" s="109" t="str">
        <f t="shared" si="5"/>
        <v/>
      </c>
      <c r="Y38" s="109" t="str">
        <f t="shared" si="6"/>
        <v/>
      </c>
      <c r="Z38" s="82"/>
    </row>
    <row r="39" ht="20" customHeight="1" spans="1:26">
      <c r="A39" s="64">
        <v>26</v>
      </c>
      <c r="B39" s="65"/>
      <c r="C39" s="66"/>
      <c r="D39" s="67"/>
      <c r="E39" s="82"/>
      <c r="F39" s="82"/>
      <c r="G39" s="82"/>
      <c r="H39" s="82"/>
      <c r="I39" s="93" t="str">
        <f t="shared" si="0"/>
        <v/>
      </c>
      <c r="J39" s="82"/>
      <c r="K39" s="94" t="str">
        <f>IF(OR(D39="",E39=""),"",IF(J39="",G39,IF(D39="Buy",MROUND(MAX(E39*(1-Settings!$K$8),J39*(1-Settings!$K$6)),Settings!$K$10),MROUND(MIN(E39*(1+Settings!$K$8),J39*(1+Settings!$K$6)),Settings!$K$10))))</f>
        <v/>
      </c>
      <c r="L39" s="95" t="str">
        <f t="shared" si="1"/>
        <v/>
      </c>
      <c r="M39" s="82"/>
      <c r="N39" s="94" t="str">
        <f>IF(OR(D39="",E39=""),"",IF(M39="",H39,IF(D39="Buy",MROUND(MAX(E39*(1-Settings!$K$8),M39*(1-Settings!$K$6)),Settings!$K$10),MROUND(MIN(E39*(1+Settings!$K$8),M39*(1+Settings!$K$6)),Settings!$K$10))))</f>
        <v/>
      </c>
      <c r="O39" s="95" t="str">
        <f t="shared" si="2"/>
        <v/>
      </c>
      <c r="P39" s="82"/>
      <c r="Q39" s="94" t="str">
        <f>IF(OR(D39="",P39=""),"",IF(D39="Buy",MROUND(P39*(1-Settings!$K$6),Settings!$K$10),MROUND(P39*(1+Settings!$K$6),Settings!$K$10)))</f>
        <v/>
      </c>
      <c r="R39" s="95" t="str">
        <f t="shared" si="3"/>
        <v/>
      </c>
      <c r="S39" s="82"/>
      <c r="T39" s="94" t="str">
        <f>IF(OR(D39="",S39=""),"",IF(D39="Buy",MROUND(S39*(1-Settings!$K$6),Settings!$K$10),MROUND(S39*(1+Settings!$K$6),Settings!$K$10)))</f>
        <v/>
      </c>
      <c r="U39" s="67"/>
      <c r="V39" s="109" t="str">
        <f t="shared" si="4"/>
        <v/>
      </c>
      <c r="W39" s="110"/>
      <c r="X39" s="109" t="str">
        <f t="shared" si="5"/>
        <v/>
      </c>
      <c r="Y39" s="109" t="str">
        <f t="shared" si="6"/>
        <v/>
      </c>
      <c r="Z39" s="82"/>
    </row>
    <row r="40" ht="20" customHeight="1" spans="1:26">
      <c r="A40" s="64">
        <v>27</v>
      </c>
      <c r="B40" s="65"/>
      <c r="C40" s="66"/>
      <c r="D40" s="67"/>
      <c r="E40" s="82"/>
      <c r="F40" s="82"/>
      <c r="G40" s="82"/>
      <c r="H40" s="82"/>
      <c r="I40" s="93" t="str">
        <f t="shared" si="0"/>
        <v/>
      </c>
      <c r="J40" s="82"/>
      <c r="K40" s="94" t="str">
        <f>IF(OR(D40="",E40=""),"",IF(J40="",G40,IF(D40="Buy",MROUND(MAX(E40*(1-Settings!$K$8),J40*(1-Settings!$K$6)),Settings!$K$10),MROUND(MIN(E40*(1+Settings!$K$8),J40*(1+Settings!$K$6)),Settings!$K$10))))</f>
        <v/>
      </c>
      <c r="L40" s="95" t="str">
        <f t="shared" si="1"/>
        <v/>
      </c>
      <c r="M40" s="82"/>
      <c r="N40" s="94" t="str">
        <f>IF(OR(D40="",E40=""),"",IF(M40="",H40,IF(D40="Buy",MROUND(MAX(E40*(1-Settings!$K$8),M40*(1-Settings!$K$6)),Settings!$K$10),MROUND(MIN(E40*(1+Settings!$K$8),M40*(1+Settings!$K$6)),Settings!$K$10))))</f>
        <v/>
      </c>
      <c r="O40" s="95" t="str">
        <f t="shared" si="2"/>
        <v/>
      </c>
      <c r="P40" s="82"/>
      <c r="Q40" s="94" t="str">
        <f>IF(OR(D40="",P40=""),"",IF(D40="Buy",MROUND(P40*(1-Settings!$K$6),Settings!$K$10),MROUND(P40*(1+Settings!$K$6),Settings!$K$10)))</f>
        <v/>
      </c>
      <c r="R40" s="95" t="str">
        <f t="shared" si="3"/>
        <v/>
      </c>
      <c r="S40" s="82"/>
      <c r="T40" s="94" t="str">
        <f>IF(OR(D40="",S40=""),"",IF(D40="Buy",MROUND(S40*(1-Settings!$K$6),Settings!$K$10),MROUND(S40*(1+Settings!$K$6),Settings!$K$10)))</f>
        <v/>
      </c>
      <c r="U40" s="67"/>
      <c r="V40" s="109" t="str">
        <f t="shared" si="4"/>
        <v/>
      </c>
      <c r="W40" s="110"/>
      <c r="X40" s="109" t="str">
        <f t="shared" si="5"/>
        <v/>
      </c>
      <c r="Y40" s="109" t="str">
        <f t="shared" si="6"/>
        <v/>
      </c>
      <c r="Z40" s="82"/>
    </row>
    <row r="41" ht="20" customHeight="1" spans="1:26">
      <c r="A41" s="64">
        <v>28</v>
      </c>
      <c r="B41" s="65"/>
      <c r="C41" s="66"/>
      <c r="D41" s="67"/>
      <c r="E41" s="82"/>
      <c r="F41" s="82"/>
      <c r="G41" s="82"/>
      <c r="H41" s="82"/>
      <c r="I41" s="93" t="str">
        <f t="shared" si="0"/>
        <v/>
      </c>
      <c r="J41" s="82"/>
      <c r="K41" s="94" t="str">
        <f>IF(OR(D41="",E41=""),"",IF(J41="",G41,IF(D41="Buy",MROUND(MAX(E41*(1-Settings!$K$8),J41*(1-Settings!$K$6)),Settings!$K$10),MROUND(MIN(E41*(1+Settings!$K$8),J41*(1+Settings!$K$6)),Settings!$K$10))))</f>
        <v/>
      </c>
      <c r="L41" s="95" t="str">
        <f t="shared" si="1"/>
        <v/>
      </c>
      <c r="M41" s="82"/>
      <c r="N41" s="94" t="str">
        <f>IF(OR(D41="",E41=""),"",IF(M41="",H41,IF(D41="Buy",MROUND(MAX(E41*(1-Settings!$K$8),M41*(1-Settings!$K$6)),Settings!$K$10),MROUND(MIN(E41*(1+Settings!$K$8),M41*(1+Settings!$K$6)),Settings!$K$10))))</f>
        <v/>
      </c>
      <c r="O41" s="95" t="str">
        <f t="shared" si="2"/>
        <v/>
      </c>
      <c r="P41" s="82"/>
      <c r="Q41" s="94" t="str">
        <f>IF(OR(D41="",P41=""),"",IF(D41="Buy",MROUND(P41*(1-Settings!$K$6),Settings!$K$10),MROUND(P41*(1+Settings!$K$6),Settings!$K$10)))</f>
        <v/>
      </c>
      <c r="R41" s="95" t="str">
        <f t="shared" si="3"/>
        <v/>
      </c>
      <c r="S41" s="82"/>
      <c r="T41" s="94" t="str">
        <f>IF(OR(D41="",S41=""),"",IF(D41="Buy",MROUND(S41*(1-Settings!$K$6),Settings!$K$10),MROUND(S41*(1+Settings!$K$6),Settings!$K$10)))</f>
        <v/>
      </c>
      <c r="U41" s="67"/>
      <c r="V41" s="109" t="str">
        <f t="shared" si="4"/>
        <v/>
      </c>
      <c r="W41" s="110"/>
      <c r="X41" s="109" t="str">
        <f t="shared" si="5"/>
        <v/>
      </c>
      <c r="Y41" s="109" t="str">
        <f t="shared" si="6"/>
        <v/>
      </c>
      <c r="Z41" s="82"/>
    </row>
    <row r="42" ht="20" customHeight="1" spans="1:26">
      <c r="A42" s="64">
        <v>29</v>
      </c>
      <c r="B42" s="65"/>
      <c r="C42" s="66"/>
      <c r="D42" s="67"/>
      <c r="E42" s="82"/>
      <c r="F42" s="82"/>
      <c r="G42" s="82"/>
      <c r="H42" s="82"/>
      <c r="I42" s="93" t="str">
        <f t="shared" si="0"/>
        <v/>
      </c>
      <c r="J42" s="82"/>
      <c r="K42" s="94" t="str">
        <f>IF(OR(D42="",E42=""),"",IF(J42="",G42,IF(D42="Buy",MROUND(MAX(E42*(1-Settings!$K$8),J42*(1-Settings!$K$6)),Settings!$K$10),MROUND(MIN(E42*(1+Settings!$K$8),J42*(1+Settings!$K$6)),Settings!$K$10))))</f>
        <v/>
      </c>
      <c r="L42" s="95" t="str">
        <f t="shared" si="1"/>
        <v/>
      </c>
      <c r="M42" s="82"/>
      <c r="N42" s="94" t="str">
        <f>IF(OR(D42="",E42=""),"",IF(M42="",H42,IF(D42="Buy",MROUND(MAX(E42*(1-Settings!$K$8),M42*(1-Settings!$K$6)),Settings!$K$10),MROUND(MIN(E42*(1+Settings!$K$8),M42*(1+Settings!$K$6)),Settings!$K$10))))</f>
        <v/>
      </c>
      <c r="O42" s="95" t="str">
        <f t="shared" si="2"/>
        <v/>
      </c>
      <c r="P42" s="82"/>
      <c r="Q42" s="94" t="str">
        <f>IF(OR(D42="",P42=""),"",IF(D42="Buy",MROUND(P42*(1-Settings!$K$6),Settings!$K$10),MROUND(P42*(1+Settings!$K$6),Settings!$K$10)))</f>
        <v/>
      </c>
      <c r="R42" s="95" t="str">
        <f t="shared" si="3"/>
        <v/>
      </c>
      <c r="S42" s="82"/>
      <c r="T42" s="94" t="str">
        <f>IF(OR(D42="",S42=""),"",IF(D42="Buy",MROUND(S42*(1-Settings!$K$6),Settings!$K$10),MROUND(S42*(1+Settings!$K$6),Settings!$K$10)))</f>
        <v/>
      </c>
      <c r="U42" s="67"/>
      <c r="V42" s="109" t="str">
        <f t="shared" si="4"/>
        <v/>
      </c>
      <c r="W42" s="110"/>
      <c r="X42" s="109" t="str">
        <f t="shared" si="5"/>
        <v/>
      </c>
      <c r="Y42" s="109" t="str">
        <f t="shared" si="6"/>
        <v/>
      </c>
      <c r="Z42" s="82"/>
    </row>
    <row r="43" ht="20" customHeight="1" spans="1:26">
      <c r="A43" s="64">
        <v>30</v>
      </c>
      <c r="B43" s="65"/>
      <c r="C43" s="66"/>
      <c r="D43" s="67"/>
      <c r="E43" s="82"/>
      <c r="F43" s="82"/>
      <c r="G43" s="82"/>
      <c r="H43" s="82"/>
      <c r="I43" s="93" t="str">
        <f t="shared" si="0"/>
        <v/>
      </c>
      <c r="J43" s="82"/>
      <c r="K43" s="94" t="str">
        <f>IF(OR(D43="",E43=""),"",IF(J43="",G43,IF(D43="Buy",MROUND(MAX(E43*(1-Settings!$K$8),J43*(1-Settings!$K$6)),Settings!$K$10),MROUND(MIN(E43*(1+Settings!$K$8),J43*(1+Settings!$K$6)),Settings!$K$10))))</f>
        <v/>
      </c>
      <c r="L43" s="95" t="str">
        <f t="shared" si="1"/>
        <v/>
      </c>
      <c r="M43" s="82"/>
      <c r="N43" s="94" t="str">
        <f>IF(OR(D43="",E43=""),"",IF(M43="",H43,IF(D43="Buy",MROUND(MAX(E43*(1-Settings!$K$8),M43*(1-Settings!$K$6)),Settings!$K$10),MROUND(MIN(E43*(1+Settings!$K$8),M43*(1+Settings!$K$6)),Settings!$K$10))))</f>
        <v/>
      </c>
      <c r="O43" s="95" t="str">
        <f t="shared" si="2"/>
        <v/>
      </c>
      <c r="P43" s="82"/>
      <c r="Q43" s="94" t="str">
        <f>IF(OR(D43="",P43=""),"",IF(D43="Buy",MROUND(P43*(1-Settings!$K$6),Settings!$K$10),MROUND(P43*(1+Settings!$K$6),Settings!$K$10)))</f>
        <v/>
      </c>
      <c r="R43" s="95" t="str">
        <f t="shared" si="3"/>
        <v/>
      </c>
      <c r="S43" s="82"/>
      <c r="T43" s="94" t="str">
        <f>IF(OR(D43="",S43=""),"",IF(D43="Buy",MROUND(S43*(1-Settings!$K$6),Settings!$K$10),MROUND(S43*(1+Settings!$K$6),Settings!$K$10)))</f>
        <v/>
      </c>
      <c r="U43" s="67"/>
      <c r="V43" s="109" t="str">
        <f t="shared" si="4"/>
        <v/>
      </c>
      <c r="W43" s="110"/>
      <c r="X43" s="109" t="str">
        <f t="shared" si="5"/>
        <v/>
      </c>
      <c r="Y43" s="109" t="str">
        <f t="shared" si="6"/>
        <v/>
      </c>
      <c r="Z43" s="82"/>
    </row>
    <row r="44" ht="20" customHeight="1" spans="1:26">
      <c r="A44" s="64">
        <v>31</v>
      </c>
      <c r="B44" s="65"/>
      <c r="C44" s="66"/>
      <c r="D44" s="67"/>
      <c r="E44" s="82"/>
      <c r="F44" s="82"/>
      <c r="G44" s="82"/>
      <c r="H44" s="82"/>
      <c r="I44" s="93" t="str">
        <f t="shared" si="0"/>
        <v/>
      </c>
      <c r="J44" s="82"/>
      <c r="K44" s="94" t="str">
        <f>IF(OR(D44="",E44=""),"",IF(J44="",G44,IF(D44="Buy",MROUND(MAX(E44*(1-Settings!$K$8),J44*(1-Settings!$K$6)),Settings!$K$10),MROUND(MIN(E44*(1+Settings!$K$8),J44*(1+Settings!$K$6)),Settings!$K$10))))</f>
        <v/>
      </c>
      <c r="L44" s="95" t="str">
        <f t="shared" si="1"/>
        <v/>
      </c>
      <c r="M44" s="82"/>
      <c r="N44" s="94" t="str">
        <f>IF(OR(D44="",E44=""),"",IF(M44="",H44,IF(D44="Buy",MROUND(MAX(E44*(1-Settings!$K$8),M44*(1-Settings!$K$6)),Settings!$K$10),MROUND(MIN(E44*(1+Settings!$K$8),M44*(1+Settings!$K$6)),Settings!$K$10))))</f>
        <v/>
      </c>
      <c r="O44" s="95" t="str">
        <f t="shared" si="2"/>
        <v/>
      </c>
      <c r="P44" s="82"/>
      <c r="Q44" s="94" t="str">
        <f>IF(OR(D44="",P44=""),"",IF(D44="Buy",MROUND(P44*(1-Settings!$K$6),Settings!$K$10),MROUND(P44*(1+Settings!$K$6),Settings!$K$10)))</f>
        <v/>
      </c>
      <c r="R44" s="95" t="str">
        <f t="shared" si="3"/>
        <v/>
      </c>
      <c r="S44" s="82"/>
      <c r="T44" s="94" t="str">
        <f>IF(OR(D44="",S44=""),"",IF(D44="Buy",MROUND(S44*(1-Settings!$K$6),Settings!$K$10),MROUND(S44*(1+Settings!$K$6),Settings!$K$10)))</f>
        <v/>
      </c>
      <c r="U44" s="67"/>
      <c r="V44" s="109" t="str">
        <f t="shared" si="4"/>
        <v/>
      </c>
      <c r="W44" s="110"/>
      <c r="X44" s="109" t="str">
        <f t="shared" si="5"/>
        <v/>
      </c>
      <c r="Y44" s="109" t="str">
        <f t="shared" si="6"/>
        <v/>
      </c>
      <c r="Z44" s="82"/>
    </row>
    <row r="45" ht="20" customHeight="1" spans="1:26">
      <c r="A45" s="64">
        <v>32</v>
      </c>
      <c r="B45" s="65"/>
      <c r="C45" s="66"/>
      <c r="D45" s="67"/>
      <c r="E45" s="82"/>
      <c r="F45" s="82"/>
      <c r="G45" s="82"/>
      <c r="H45" s="82"/>
      <c r="I45" s="93" t="str">
        <f t="shared" si="0"/>
        <v/>
      </c>
      <c r="J45" s="82"/>
      <c r="K45" s="94" t="str">
        <f>IF(OR(D45="",E45=""),"",IF(J45="",G45,IF(D45="Buy",MROUND(MAX(E45*(1-Settings!$K$8),J45*(1-Settings!$K$6)),Settings!$K$10),MROUND(MIN(E45*(1+Settings!$K$8),J45*(1+Settings!$K$6)),Settings!$K$10))))</f>
        <v/>
      </c>
      <c r="L45" s="95" t="str">
        <f t="shared" si="1"/>
        <v/>
      </c>
      <c r="M45" s="82"/>
      <c r="N45" s="94" t="str">
        <f>IF(OR(D45="",E45=""),"",IF(M45="",H45,IF(D45="Buy",MROUND(MAX(E45*(1-Settings!$K$8),M45*(1-Settings!$K$6)),Settings!$K$10),MROUND(MIN(E45*(1+Settings!$K$8),M45*(1+Settings!$K$6)),Settings!$K$10))))</f>
        <v/>
      </c>
      <c r="O45" s="95" t="str">
        <f t="shared" si="2"/>
        <v/>
      </c>
      <c r="P45" s="82"/>
      <c r="Q45" s="94" t="str">
        <f>IF(OR(D45="",P45=""),"",IF(D45="Buy",MROUND(P45*(1-Settings!$K$6),Settings!$K$10),MROUND(P45*(1+Settings!$K$6),Settings!$K$10)))</f>
        <v/>
      </c>
      <c r="R45" s="95" t="str">
        <f t="shared" si="3"/>
        <v/>
      </c>
      <c r="S45" s="82"/>
      <c r="T45" s="94" t="str">
        <f>IF(OR(D45="",S45=""),"",IF(D45="Buy",MROUND(S45*(1-Settings!$K$6),Settings!$K$10),MROUND(S45*(1+Settings!$K$6),Settings!$K$10)))</f>
        <v/>
      </c>
      <c r="U45" s="67"/>
      <c r="V45" s="109" t="str">
        <f t="shared" si="4"/>
        <v/>
      </c>
      <c r="W45" s="110"/>
      <c r="X45" s="109" t="str">
        <f t="shared" si="5"/>
        <v/>
      </c>
      <c r="Y45" s="109" t="str">
        <f t="shared" si="6"/>
        <v/>
      </c>
      <c r="Z45" s="82"/>
    </row>
    <row r="46" ht="20" customHeight="1" spans="1:26">
      <c r="A46" s="64">
        <v>33</v>
      </c>
      <c r="B46" s="65"/>
      <c r="C46" s="66"/>
      <c r="D46" s="67"/>
      <c r="E46" s="82"/>
      <c r="F46" s="82"/>
      <c r="G46" s="82"/>
      <c r="H46" s="82"/>
      <c r="I46" s="93" t="str">
        <f t="shared" si="0"/>
        <v/>
      </c>
      <c r="J46" s="82"/>
      <c r="K46" s="94" t="str">
        <f>IF(OR(D46="",E46=""),"",IF(J46="",G46,IF(D46="Buy",MROUND(MAX(E46*(1-Settings!$K$8),J46*(1-Settings!$K$6)),Settings!$K$10),MROUND(MIN(E46*(1+Settings!$K$8),J46*(1+Settings!$K$6)),Settings!$K$10))))</f>
        <v/>
      </c>
      <c r="L46" s="95" t="str">
        <f t="shared" si="1"/>
        <v/>
      </c>
      <c r="M46" s="82"/>
      <c r="N46" s="94" t="str">
        <f>IF(OR(D46="",E46=""),"",IF(M46="",H46,IF(D46="Buy",MROUND(MAX(E46*(1-Settings!$K$8),M46*(1-Settings!$K$6)),Settings!$K$10),MROUND(MIN(E46*(1+Settings!$K$8),M46*(1+Settings!$K$6)),Settings!$K$10))))</f>
        <v/>
      </c>
      <c r="O46" s="95" t="str">
        <f t="shared" si="2"/>
        <v/>
      </c>
      <c r="P46" s="82"/>
      <c r="Q46" s="94" t="str">
        <f>IF(OR(D46="",P46=""),"",IF(D46="Buy",MROUND(P46*(1-Settings!$K$6),Settings!$K$10),MROUND(P46*(1+Settings!$K$6),Settings!$K$10)))</f>
        <v/>
      </c>
      <c r="R46" s="95" t="str">
        <f t="shared" si="3"/>
        <v/>
      </c>
      <c r="S46" s="82"/>
      <c r="T46" s="94" t="str">
        <f>IF(OR(D46="",S46=""),"",IF(D46="Buy",MROUND(S46*(1-Settings!$K$6),Settings!$K$10),MROUND(S46*(1+Settings!$K$6),Settings!$K$10)))</f>
        <v/>
      </c>
      <c r="U46" s="67"/>
      <c r="V46" s="109" t="str">
        <f t="shared" si="4"/>
        <v/>
      </c>
      <c r="W46" s="110"/>
      <c r="X46" s="109" t="str">
        <f t="shared" si="5"/>
        <v/>
      </c>
      <c r="Y46" s="109" t="str">
        <f t="shared" si="6"/>
        <v/>
      </c>
      <c r="Z46" s="82"/>
    </row>
    <row r="47" ht="20" customHeight="1" spans="1:26">
      <c r="A47" s="64">
        <v>34</v>
      </c>
      <c r="B47" s="65"/>
      <c r="C47" s="66"/>
      <c r="D47" s="67"/>
      <c r="E47" s="82"/>
      <c r="F47" s="82"/>
      <c r="G47" s="82"/>
      <c r="H47" s="82"/>
      <c r="I47" s="93" t="str">
        <f t="shared" si="0"/>
        <v/>
      </c>
      <c r="J47" s="82"/>
      <c r="K47" s="94" t="str">
        <f>IF(OR(D47="",E47=""),"",IF(J47="",G47,IF(D47="Buy",MROUND(MAX(E47*(1-Settings!$K$8),J47*(1-Settings!$K$6)),Settings!$K$10),MROUND(MIN(E47*(1+Settings!$K$8),J47*(1+Settings!$K$6)),Settings!$K$10))))</f>
        <v/>
      </c>
      <c r="L47" s="95" t="str">
        <f t="shared" si="1"/>
        <v/>
      </c>
      <c r="M47" s="82"/>
      <c r="N47" s="94" t="str">
        <f>IF(OR(D47="",E47=""),"",IF(M47="",H47,IF(D47="Buy",MROUND(MAX(E47*(1-Settings!$K$8),M47*(1-Settings!$K$6)),Settings!$K$10),MROUND(MIN(E47*(1+Settings!$K$8),M47*(1+Settings!$K$6)),Settings!$K$10))))</f>
        <v/>
      </c>
      <c r="O47" s="95" t="str">
        <f t="shared" si="2"/>
        <v/>
      </c>
      <c r="P47" s="82"/>
      <c r="Q47" s="94" t="str">
        <f>IF(OR(D47="",P47=""),"",IF(D47="Buy",MROUND(P47*(1-Settings!$K$6),Settings!$K$10),MROUND(P47*(1+Settings!$K$6),Settings!$K$10)))</f>
        <v/>
      </c>
      <c r="R47" s="95" t="str">
        <f t="shared" si="3"/>
        <v/>
      </c>
      <c r="S47" s="82"/>
      <c r="T47" s="94" t="str">
        <f>IF(OR(D47="",S47=""),"",IF(D47="Buy",MROUND(S47*(1-Settings!$K$6),Settings!$K$10),MROUND(S47*(1+Settings!$K$6),Settings!$K$10)))</f>
        <v/>
      </c>
      <c r="U47" s="67"/>
      <c r="V47" s="109" t="str">
        <f t="shared" si="4"/>
        <v/>
      </c>
      <c r="W47" s="110"/>
      <c r="X47" s="109" t="str">
        <f t="shared" si="5"/>
        <v/>
      </c>
      <c r="Y47" s="109" t="str">
        <f t="shared" si="6"/>
        <v/>
      </c>
      <c r="Z47" s="82"/>
    </row>
    <row r="48" ht="20" customHeight="1" spans="1:26">
      <c r="A48" s="64">
        <v>35</v>
      </c>
      <c r="B48" s="65"/>
      <c r="C48" s="66"/>
      <c r="D48" s="67"/>
      <c r="E48" s="82"/>
      <c r="F48" s="82"/>
      <c r="G48" s="82"/>
      <c r="H48" s="82"/>
      <c r="I48" s="93" t="str">
        <f t="shared" si="0"/>
        <v/>
      </c>
      <c r="J48" s="82"/>
      <c r="K48" s="94" t="str">
        <f>IF(OR(D48="",E48=""),"",IF(J48="",G48,IF(D48="Buy",MROUND(MAX(E48*(1-Settings!$K$8),J48*(1-Settings!$K$6)),Settings!$K$10),MROUND(MIN(E48*(1+Settings!$K$8),J48*(1+Settings!$K$6)),Settings!$K$10))))</f>
        <v/>
      </c>
      <c r="L48" s="95" t="str">
        <f t="shared" si="1"/>
        <v/>
      </c>
      <c r="M48" s="82"/>
      <c r="N48" s="94" t="str">
        <f>IF(OR(D48="",E48=""),"",IF(M48="",H48,IF(D48="Buy",MROUND(MAX(E48*(1-Settings!$K$8),M48*(1-Settings!$K$6)),Settings!$K$10),MROUND(MIN(E48*(1+Settings!$K$8),M48*(1+Settings!$K$6)),Settings!$K$10))))</f>
        <v/>
      </c>
      <c r="O48" s="95" t="str">
        <f t="shared" si="2"/>
        <v/>
      </c>
      <c r="P48" s="82"/>
      <c r="Q48" s="94" t="str">
        <f>IF(OR(D48="",P48=""),"",IF(D48="Buy",MROUND(P48*(1-Settings!$K$6),Settings!$K$10),MROUND(P48*(1+Settings!$K$6),Settings!$K$10)))</f>
        <v/>
      </c>
      <c r="R48" s="95" t="str">
        <f t="shared" si="3"/>
        <v/>
      </c>
      <c r="S48" s="82"/>
      <c r="T48" s="94" t="str">
        <f>IF(OR(D48="",S48=""),"",IF(D48="Buy",MROUND(S48*(1-Settings!$K$6),Settings!$K$10),MROUND(S48*(1+Settings!$K$6),Settings!$K$10)))</f>
        <v/>
      </c>
      <c r="U48" s="67"/>
      <c r="V48" s="109" t="str">
        <f t="shared" si="4"/>
        <v/>
      </c>
      <c r="W48" s="110"/>
      <c r="X48" s="109" t="str">
        <f t="shared" si="5"/>
        <v/>
      </c>
      <c r="Y48" s="109" t="str">
        <f t="shared" si="6"/>
        <v/>
      </c>
      <c r="Z48" s="82"/>
    </row>
    <row r="49" ht="20" customHeight="1" spans="1:26">
      <c r="A49" s="64">
        <v>36</v>
      </c>
      <c r="B49" s="65"/>
      <c r="C49" s="66"/>
      <c r="D49" s="67"/>
      <c r="E49" s="82"/>
      <c r="F49" s="82"/>
      <c r="G49" s="82"/>
      <c r="H49" s="82"/>
      <c r="I49" s="93" t="str">
        <f t="shared" si="0"/>
        <v/>
      </c>
      <c r="J49" s="82"/>
      <c r="K49" s="94" t="str">
        <f>IF(OR(D49="",E49=""),"",IF(J49="",G49,IF(D49="Buy",MROUND(MAX(E49*(1-Settings!$K$8),J49*(1-Settings!$K$6)),Settings!$K$10),MROUND(MIN(E49*(1+Settings!$K$8),J49*(1+Settings!$K$6)),Settings!$K$10))))</f>
        <v/>
      </c>
      <c r="L49" s="95" t="str">
        <f t="shared" si="1"/>
        <v/>
      </c>
      <c r="M49" s="82"/>
      <c r="N49" s="94" t="str">
        <f>IF(OR(D49="",E49=""),"",IF(M49="",H49,IF(D49="Buy",MROUND(MAX(E49*(1-Settings!$K$8),M49*(1-Settings!$K$6)),Settings!$K$10),MROUND(MIN(E49*(1+Settings!$K$8),M49*(1+Settings!$K$6)),Settings!$K$10))))</f>
        <v/>
      </c>
      <c r="O49" s="95" t="str">
        <f t="shared" si="2"/>
        <v/>
      </c>
      <c r="P49" s="82"/>
      <c r="Q49" s="94" t="str">
        <f>IF(OR(D49="",P49=""),"",IF(D49="Buy",MROUND(P49*(1-Settings!$K$6),Settings!$K$10),MROUND(P49*(1+Settings!$K$6),Settings!$K$10)))</f>
        <v/>
      </c>
      <c r="R49" s="95" t="str">
        <f t="shared" si="3"/>
        <v/>
      </c>
      <c r="S49" s="82"/>
      <c r="T49" s="94" t="str">
        <f>IF(OR(D49="",S49=""),"",IF(D49="Buy",MROUND(S49*(1-Settings!$K$6),Settings!$K$10),MROUND(S49*(1+Settings!$K$6),Settings!$K$10)))</f>
        <v/>
      </c>
      <c r="U49" s="67"/>
      <c r="V49" s="109" t="str">
        <f t="shared" si="4"/>
        <v/>
      </c>
      <c r="W49" s="110"/>
      <c r="X49" s="109" t="str">
        <f t="shared" si="5"/>
        <v/>
      </c>
      <c r="Y49" s="109" t="str">
        <f t="shared" si="6"/>
        <v/>
      </c>
      <c r="Z49" s="82"/>
    </row>
    <row r="50" ht="20" customHeight="1" spans="1:26">
      <c r="A50" s="64">
        <v>37</v>
      </c>
      <c r="B50" s="65"/>
      <c r="C50" s="66"/>
      <c r="D50" s="67"/>
      <c r="E50" s="82"/>
      <c r="F50" s="82"/>
      <c r="G50" s="82"/>
      <c r="H50" s="82"/>
      <c r="I50" s="93" t="str">
        <f t="shared" si="0"/>
        <v/>
      </c>
      <c r="J50" s="82"/>
      <c r="K50" s="94" t="str">
        <f>IF(OR(D50="",E50=""),"",IF(J50="",G50,IF(D50="Buy",MROUND(MAX(E50*(1-Settings!$K$8),J50*(1-Settings!$K$6)),Settings!$K$10),MROUND(MIN(E50*(1+Settings!$K$8),J50*(1+Settings!$K$6)),Settings!$K$10))))</f>
        <v/>
      </c>
      <c r="L50" s="95" t="str">
        <f t="shared" si="1"/>
        <v/>
      </c>
      <c r="M50" s="82"/>
      <c r="N50" s="94" t="str">
        <f>IF(OR(D50="",E50=""),"",IF(M50="",H50,IF(D50="Buy",MROUND(MAX(E50*(1-Settings!$K$8),M50*(1-Settings!$K$6)),Settings!$K$10),MROUND(MIN(E50*(1+Settings!$K$8),M50*(1+Settings!$K$6)),Settings!$K$10))))</f>
        <v/>
      </c>
      <c r="O50" s="95" t="str">
        <f t="shared" si="2"/>
        <v/>
      </c>
      <c r="P50" s="82"/>
      <c r="Q50" s="94" t="str">
        <f>IF(OR(D50="",P50=""),"",IF(D50="Buy",MROUND(P50*(1-Settings!$K$6),Settings!$K$10),MROUND(P50*(1+Settings!$K$6),Settings!$K$10)))</f>
        <v/>
      </c>
      <c r="R50" s="95" t="str">
        <f t="shared" si="3"/>
        <v/>
      </c>
      <c r="S50" s="82"/>
      <c r="T50" s="94" t="str">
        <f>IF(OR(D50="",S50=""),"",IF(D50="Buy",MROUND(S50*(1-Settings!$K$6),Settings!$K$10),MROUND(S50*(1+Settings!$K$6),Settings!$K$10)))</f>
        <v/>
      </c>
      <c r="U50" s="67"/>
      <c r="V50" s="109" t="str">
        <f t="shared" si="4"/>
        <v/>
      </c>
      <c r="W50" s="110"/>
      <c r="X50" s="109" t="str">
        <f t="shared" si="5"/>
        <v/>
      </c>
      <c r="Y50" s="109" t="str">
        <f t="shared" si="6"/>
        <v/>
      </c>
      <c r="Z50" s="82"/>
    </row>
    <row r="51" ht="20" customHeight="1" spans="1:26">
      <c r="A51" s="64">
        <v>38</v>
      </c>
      <c r="B51" s="65"/>
      <c r="C51" s="66"/>
      <c r="D51" s="67"/>
      <c r="E51" s="82"/>
      <c r="F51" s="82"/>
      <c r="G51" s="82"/>
      <c r="H51" s="82"/>
      <c r="I51" s="93" t="str">
        <f t="shared" si="0"/>
        <v/>
      </c>
      <c r="J51" s="82"/>
      <c r="K51" s="94" t="str">
        <f>IF(OR(D51="",E51=""),"",IF(J51="",G51,IF(D51="Buy",MROUND(MAX(E51*(1-Settings!$K$8),J51*(1-Settings!$K$6)),Settings!$K$10),MROUND(MIN(E51*(1+Settings!$K$8),J51*(1+Settings!$K$6)),Settings!$K$10))))</f>
        <v/>
      </c>
      <c r="L51" s="95" t="str">
        <f t="shared" si="1"/>
        <v/>
      </c>
      <c r="M51" s="82"/>
      <c r="N51" s="94" t="str">
        <f>IF(OR(D51="",E51=""),"",IF(M51="",H51,IF(D51="Buy",MROUND(MAX(E51*(1-Settings!$K$8),M51*(1-Settings!$K$6)),Settings!$K$10),MROUND(MIN(E51*(1+Settings!$K$8),M51*(1+Settings!$K$6)),Settings!$K$10))))</f>
        <v/>
      </c>
      <c r="O51" s="95" t="str">
        <f t="shared" si="2"/>
        <v/>
      </c>
      <c r="P51" s="82"/>
      <c r="Q51" s="94" t="str">
        <f>IF(OR(D51="",P51=""),"",IF(D51="Buy",MROUND(P51*(1-Settings!$K$6),Settings!$K$10),MROUND(P51*(1+Settings!$K$6),Settings!$K$10)))</f>
        <v/>
      </c>
      <c r="R51" s="95" t="str">
        <f t="shared" si="3"/>
        <v/>
      </c>
      <c r="S51" s="82"/>
      <c r="T51" s="94" t="str">
        <f>IF(OR(D51="",S51=""),"",IF(D51="Buy",MROUND(S51*(1-Settings!$K$6),Settings!$K$10),MROUND(S51*(1+Settings!$K$6),Settings!$K$10)))</f>
        <v/>
      </c>
      <c r="U51" s="67"/>
      <c r="V51" s="109" t="str">
        <f t="shared" si="4"/>
        <v/>
      </c>
      <c r="W51" s="110"/>
      <c r="X51" s="109" t="str">
        <f t="shared" si="5"/>
        <v/>
      </c>
      <c r="Y51" s="109" t="str">
        <f t="shared" si="6"/>
        <v/>
      </c>
      <c r="Z51" s="82"/>
    </row>
    <row r="52" ht="20" customHeight="1" spans="1:26">
      <c r="A52" s="64">
        <v>39</v>
      </c>
      <c r="B52" s="65"/>
      <c r="C52" s="66"/>
      <c r="D52" s="67"/>
      <c r="E52" s="82"/>
      <c r="F52" s="82"/>
      <c r="G52" s="82"/>
      <c r="H52" s="82"/>
      <c r="I52" s="93" t="str">
        <f t="shared" si="0"/>
        <v/>
      </c>
      <c r="J52" s="82"/>
      <c r="K52" s="94" t="str">
        <f>IF(OR(D52="",E52=""),"",IF(J52="",G52,IF(D52="Buy",MROUND(MAX(E52*(1-Settings!$K$8),J52*(1-Settings!$K$6)),Settings!$K$10),MROUND(MIN(E52*(1+Settings!$K$8),J52*(1+Settings!$K$6)),Settings!$K$10))))</f>
        <v/>
      </c>
      <c r="L52" s="95" t="str">
        <f t="shared" si="1"/>
        <v/>
      </c>
      <c r="M52" s="82"/>
      <c r="N52" s="94" t="str">
        <f>IF(OR(D52="",E52=""),"",IF(M52="",H52,IF(D52="Buy",MROUND(MAX(E52*(1-Settings!$K$8),M52*(1-Settings!$K$6)),Settings!$K$10),MROUND(MIN(E52*(1+Settings!$K$8),M52*(1+Settings!$K$6)),Settings!$K$10))))</f>
        <v/>
      </c>
      <c r="O52" s="95" t="str">
        <f t="shared" si="2"/>
        <v/>
      </c>
      <c r="P52" s="82"/>
      <c r="Q52" s="94" t="str">
        <f>IF(OR(D52="",P52=""),"",IF(D52="Buy",MROUND(P52*(1-Settings!$K$6),Settings!$K$10),MROUND(P52*(1+Settings!$K$6),Settings!$K$10)))</f>
        <v/>
      </c>
      <c r="R52" s="95" t="str">
        <f t="shared" si="3"/>
        <v/>
      </c>
      <c r="S52" s="82"/>
      <c r="T52" s="94" t="str">
        <f>IF(OR(D52="",S52=""),"",IF(D52="Buy",MROUND(S52*(1-Settings!$K$6),Settings!$K$10),MROUND(S52*(1+Settings!$K$6),Settings!$K$10)))</f>
        <v/>
      </c>
      <c r="U52" s="67"/>
      <c r="V52" s="109" t="str">
        <f t="shared" si="4"/>
        <v/>
      </c>
      <c r="W52" s="110"/>
      <c r="X52" s="109" t="str">
        <f t="shared" si="5"/>
        <v/>
      </c>
      <c r="Y52" s="109" t="str">
        <f t="shared" si="6"/>
        <v/>
      </c>
      <c r="Z52" s="82"/>
    </row>
    <row r="53" ht="20" customHeight="1" spans="1:26">
      <c r="A53" s="64">
        <v>40</v>
      </c>
      <c r="B53" s="65"/>
      <c r="C53" s="66"/>
      <c r="D53" s="67"/>
      <c r="E53" s="82"/>
      <c r="F53" s="82"/>
      <c r="G53" s="82"/>
      <c r="H53" s="82"/>
      <c r="I53" s="93" t="str">
        <f t="shared" si="0"/>
        <v/>
      </c>
      <c r="J53" s="82"/>
      <c r="K53" s="94" t="str">
        <f>IF(OR(D53="",E53=""),"",IF(J53="",G53,IF(D53="Buy",MROUND(MAX(E53*(1-Settings!$K$8),J53*(1-Settings!$K$6)),Settings!$K$10),MROUND(MIN(E53*(1+Settings!$K$8),J53*(1+Settings!$K$6)),Settings!$K$10))))</f>
        <v/>
      </c>
      <c r="L53" s="95" t="str">
        <f t="shared" si="1"/>
        <v/>
      </c>
      <c r="M53" s="82"/>
      <c r="N53" s="94" t="str">
        <f>IF(OR(D53="",E53=""),"",IF(M53="",H53,IF(D53="Buy",MROUND(MAX(E53*(1-Settings!$K$8),M53*(1-Settings!$K$6)),Settings!$K$10),MROUND(MIN(E53*(1+Settings!$K$8),M53*(1+Settings!$K$6)),Settings!$K$10))))</f>
        <v/>
      </c>
      <c r="O53" s="95" t="str">
        <f t="shared" si="2"/>
        <v/>
      </c>
      <c r="P53" s="82"/>
      <c r="Q53" s="94" t="str">
        <f>IF(OR(D53="",P53=""),"",IF(D53="Buy",MROUND(P53*(1-Settings!$K$6),Settings!$K$10),MROUND(P53*(1+Settings!$K$6),Settings!$K$10)))</f>
        <v/>
      </c>
      <c r="R53" s="95" t="str">
        <f t="shared" si="3"/>
        <v/>
      </c>
      <c r="S53" s="82"/>
      <c r="T53" s="94" t="str">
        <f>IF(OR(D53="",S53=""),"",IF(D53="Buy",MROUND(S53*(1-Settings!$K$6),Settings!$K$10),MROUND(S53*(1+Settings!$K$6),Settings!$K$10)))</f>
        <v/>
      </c>
      <c r="U53" s="67"/>
      <c r="V53" s="109" t="str">
        <f t="shared" si="4"/>
        <v/>
      </c>
      <c r="W53" s="110"/>
      <c r="X53" s="109" t="str">
        <f t="shared" si="5"/>
        <v/>
      </c>
      <c r="Y53" s="109" t="str">
        <f t="shared" si="6"/>
        <v/>
      </c>
      <c r="Z53" s="82"/>
    </row>
    <row r="54" ht="20" customHeight="1" spans="1:26">
      <c r="A54" s="64">
        <v>41</v>
      </c>
      <c r="B54" s="65"/>
      <c r="C54" s="66"/>
      <c r="D54" s="67"/>
      <c r="E54" s="82"/>
      <c r="F54" s="82"/>
      <c r="G54" s="82"/>
      <c r="H54" s="82"/>
      <c r="I54" s="93" t="str">
        <f t="shared" si="0"/>
        <v/>
      </c>
      <c r="J54" s="82"/>
      <c r="K54" s="94" t="str">
        <f>IF(OR(D54="",E54=""),"",IF(J54="",G54,IF(D54="Buy",MROUND(MAX(E54*(1-Settings!$K$8),J54*(1-Settings!$K$6)),Settings!$K$10),MROUND(MIN(E54*(1+Settings!$K$8),J54*(1+Settings!$K$6)),Settings!$K$10))))</f>
        <v/>
      </c>
      <c r="L54" s="95" t="str">
        <f t="shared" si="1"/>
        <v/>
      </c>
      <c r="M54" s="82"/>
      <c r="N54" s="94" t="str">
        <f>IF(OR(D54="",E54=""),"",IF(M54="",H54,IF(D54="Buy",MROUND(MAX(E54*(1-Settings!$K$8),M54*(1-Settings!$K$6)),Settings!$K$10),MROUND(MIN(E54*(1+Settings!$K$8),M54*(1+Settings!$K$6)),Settings!$K$10))))</f>
        <v/>
      </c>
      <c r="O54" s="95" t="str">
        <f t="shared" si="2"/>
        <v/>
      </c>
      <c r="P54" s="82"/>
      <c r="Q54" s="94" t="str">
        <f>IF(OR(D54="",P54=""),"",IF(D54="Buy",MROUND(P54*(1-Settings!$K$6),Settings!$K$10),MROUND(P54*(1+Settings!$K$6),Settings!$K$10)))</f>
        <v/>
      </c>
      <c r="R54" s="95" t="str">
        <f t="shared" si="3"/>
        <v/>
      </c>
      <c r="S54" s="82"/>
      <c r="T54" s="94" t="str">
        <f>IF(OR(D54="",S54=""),"",IF(D54="Buy",MROUND(S54*(1-Settings!$K$6),Settings!$K$10),MROUND(S54*(1+Settings!$K$6),Settings!$K$10)))</f>
        <v/>
      </c>
      <c r="U54" s="67"/>
      <c r="V54" s="109" t="str">
        <f t="shared" si="4"/>
        <v/>
      </c>
      <c r="W54" s="110"/>
      <c r="X54" s="109" t="str">
        <f t="shared" si="5"/>
        <v/>
      </c>
      <c r="Y54" s="109" t="str">
        <f t="shared" si="6"/>
        <v/>
      </c>
      <c r="Z54" s="82"/>
    </row>
    <row r="55" ht="20" customHeight="1" spans="1:26">
      <c r="A55" s="64">
        <v>42</v>
      </c>
      <c r="B55" s="65"/>
      <c r="C55" s="66"/>
      <c r="D55" s="67"/>
      <c r="E55" s="82"/>
      <c r="F55" s="82"/>
      <c r="G55" s="82"/>
      <c r="H55" s="82"/>
      <c r="I55" s="93" t="str">
        <f t="shared" si="0"/>
        <v/>
      </c>
      <c r="J55" s="82"/>
      <c r="K55" s="94" t="str">
        <f>IF(OR(D55="",E55=""),"",IF(J55="",G55,IF(D55="Buy",MROUND(MAX(E55*(1-Settings!$K$8),J55*(1-Settings!$K$6)),Settings!$K$10),MROUND(MIN(E55*(1+Settings!$K$8),J55*(1+Settings!$K$6)),Settings!$K$10))))</f>
        <v/>
      </c>
      <c r="L55" s="95" t="str">
        <f t="shared" si="1"/>
        <v/>
      </c>
      <c r="M55" s="82"/>
      <c r="N55" s="94" t="str">
        <f>IF(OR(D55="",E55=""),"",IF(M55="",H55,IF(D55="Buy",MROUND(MAX(E55*(1-Settings!$K$8),M55*(1-Settings!$K$6)),Settings!$K$10),MROUND(MIN(E55*(1+Settings!$K$8),M55*(1+Settings!$K$6)),Settings!$K$10))))</f>
        <v/>
      </c>
      <c r="O55" s="95" t="str">
        <f t="shared" si="2"/>
        <v/>
      </c>
      <c r="P55" s="82"/>
      <c r="Q55" s="94" t="str">
        <f>IF(OR(D55="",P55=""),"",IF(D55="Buy",MROUND(P55*(1-Settings!$K$6),Settings!$K$10),MROUND(P55*(1+Settings!$K$6),Settings!$K$10)))</f>
        <v/>
      </c>
      <c r="R55" s="95" t="str">
        <f t="shared" si="3"/>
        <v/>
      </c>
      <c r="S55" s="82"/>
      <c r="T55" s="94" t="str">
        <f>IF(OR(D55="",S55=""),"",IF(D55="Buy",MROUND(S55*(1-Settings!$K$6),Settings!$K$10),MROUND(S55*(1+Settings!$K$6),Settings!$K$10)))</f>
        <v/>
      </c>
      <c r="U55" s="67"/>
      <c r="V55" s="109" t="str">
        <f t="shared" si="4"/>
        <v/>
      </c>
      <c r="W55" s="110"/>
      <c r="X55" s="109" t="str">
        <f t="shared" si="5"/>
        <v/>
      </c>
      <c r="Y55" s="109" t="str">
        <f t="shared" si="6"/>
        <v/>
      </c>
      <c r="Z55" s="82"/>
    </row>
    <row r="56" ht="20" customHeight="1" spans="1:26">
      <c r="A56" s="64">
        <v>43</v>
      </c>
      <c r="B56" s="65"/>
      <c r="C56" s="66"/>
      <c r="D56" s="67"/>
      <c r="E56" s="82"/>
      <c r="F56" s="82"/>
      <c r="G56" s="82"/>
      <c r="H56" s="82"/>
      <c r="I56" s="93" t="str">
        <f t="shared" si="0"/>
        <v/>
      </c>
      <c r="J56" s="82"/>
      <c r="K56" s="94" t="str">
        <f>IF(OR(D56="",E56=""),"",IF(J56="",G56,IF(D56="Buy",MROUND(MAX(E56*(1-Settings!$K$8),J56*(1-Settings!$K$6)),Settings!$K$10),MROUND(MIN(E56*(1+Settings!$K$8),J56*(1+Settings!$K$6)),Settings!$K$10))))</f>
        <v/>
      </c>
      <c r="L56" s="95" t="str">
        <f t="shared" si="1"/>
        <v/>
      </c>
      <c r="M56" s="82"/>
      <c r="N56" s="94" t="str">
        <f>IF(OR(D56="",E56=""),"",IF(M56="",H56,IF(D56="Buy",MROUND(MAX(E56*(1-Settings!$K$8),M56*(1-Settings!$K$6)),Settings!$K$10),MROUND(MIN(E56*(1+Settings!$K$8),M56*(1+Settings!$K$6)),Settings!$K$10))))</f>
        <v/>
      </c>
      <c r="O56" s="95" t="str">
        <f t="shared" si="2"/>
        <v/>
      </c>
      <c r="P56" s="82"/>
      <c r="Q56" s="94" t="str">
        <f>IF(OR(D56="",P56=""),"",IF(D56="Buy",MROUND(P56*(1-Settings!$K$6),Settings!$K$10),MROUND(P56*(1+Settings!$K$6),Settings!$K$10)))</f>
        <v/>
      </c>
      <c r="R56" s="95" t="str">
        <f t="shared" si="3"/>
        <v/>
      </c>
      <c r="S56" s="82"/>
      <c r="T56" s="94" t="str">
        <f>IF(OR(D56="",S56=""),"",IF(D56="Buy",MROUND(S56*(1-Settings!$K$6),Settings!$K$10),MROUND(S56*(1+Settings!$K$6),Settings!$K$10)))</f>
        <v/>
      </c>
      <c r="U56" s="67"/>
      <c r="V56" s="109" t="str">
        <f t="shared" si="4"/>
        <v/>
      </c>
      <c r="W56" s="110"/>
      <c r="X56" s="109" t="str">
        <f t="shared" si="5"/>
        <v/>
      </c>
      <c r="Y56" s="109" t="str">
        <f t="shared" si="6"/>
        <v/>
      </c>
      <c r="Z56" s="82"/>
    </row>
    <row r="57" ht="20" customHeight="1" spans="1:26">
      <c r="A57" s="64">
        <v>44</v>
      </c>
      <c r="B57" s="65"/>
      <c r="C57" s="66"/>
      <c r="D57" s="67"/>
      <c r="E57" s="82"/>
      <c r="F57" s="82"/>
      <c r="G57" s="82"/>
      <c r="H57" s="82"/>
      <c r="I57" s="93" t="str">
        <f t="shared" si="0"/>
        <v/>
      </c>
      <c r="J57" s="82"/>
      <c r="K57" s="94" t="str">
        <f>IF(OR(D57="",E57=""),"",IF(J57="",G57,IF(D57="Buy",MROUND(MAX(E57*(1-Settings!$K$8),J57*(1-Settings!$K$6)),Settings!$K$10),MROUND(MIN(E57*(1+Settings!$K$8),J57*(1+Settings!$K$6)),Settings!$K$10))))</f>
        <v/>
      </c>
      <c r="L57" s="95" t="str">
        <f t="shared" si="1"/>
        <v/>
      </c>
      <c r="M57" s="82"/>
      <c r="N57" s="94" t="str">
        <f>IF(OR(D57="",E57=""),"",IF(M57="",H57,IF(D57="Buy",MROUND(MAX(E57*(1-Settings!$K$8),M57*(1-Settings!$K$6)),Settings!$K$10),MROUND(MIN(E57*(1+Settings!$K$8),M57*(1+Settings!$K$6)),Settings!$K$10))))</f>
        <v/>
      </c>
      <c r="O57" s="95" t="str">
        <f t="shared" si="2"/>
        <v/>
      </c>
      <c r="P57" s="82"/>
      <c r="Q57" s="94" t="str">
        <f>IF(OR(D57="",P57=""),"",IF(D57="Buy",MROUND(P57*(1-Settings!$K$6),Settings!$K$10),MROUND(P57*(1+Settings!$K$6),Settings!$K$10)))</f>
        <v/>
      </c>
      <c r="R57" s="95" t="str">
        <f t="shared" si="3"/>
        <v/>
      </c>
      <c r="S57" s="82"/>
      <c r="T57" s="94" t="str">
        <f>IF(OR(D57="",S57=""),"",IF(D57="Buy",MROUND(S57*(1-Settings!$K$6),Settings!$K$10),MROUND(S57*(1+Settings!$K$6),Settings!$K$10)))</f>
        <v/>
      </c>
      <c r="U57" s="67"/>
      <c r="V57" s="109" t="str">
        <f t="shared" si="4"/>
        <v/>
      </c>
      <c r="W57" s="110"/>
      <c r="X57" s="109" t="str">
        <f t="shared" si="5"/>
        <v/>
      </c>
      <c r="Y57" s="109" t="str">
        <f t="shared" si="6"/>
        <v/>
      </c>
      <c r="Z57" s="82"/>
    </row>
    <row r="58" ht="20" customHeight="1" spans="1:26">
      <c r="A58" s="64">
        <v>45</v>
      </c>
      <c r="B58" s="65"/>
      <c r="C58" s="66"/>
      <c r="D58" s="67"/>
      <c r="E58" s="82"/>
      <c r="F58" s="82"/>
      <c r="G58" s="82"/>
      <c r="H58" s="82"/>
      <c r="I58" s="93" t="str">
        <f t="shared" si="0"/>
        <v/>
      </c>
      <c r="J58" s="82"/>
      <c r="K58" s="94" t="str">
        <f>IF(OR(D58="",E58=""),"",IF(J58="",G58,IF(D58="Buy",MROUND(MAX(E58*(1-Settings!$K$8),J58*(1-Settings!$K$6)),Settings!$K$10),MROUND(MIN(E58*(1+Settings!$K$8),J58*(1+Settings!$K$6)),Settings!$K$10))))</f>
        <v/>
      </c>
      <c r="L58" s="95" t="str">
        <f t="shared" si="1"/>
        <v/>
      </c>
      <c r="M58" s="82"/>
      <c r="N58" s="94" t="str">
        <f>IF(OR(D58="",E58=""),"",IF(M58="",H58,IF(D58="Buy",MROUND(MAX(E58*(1-Settings!$K$8),M58*(1-Settings!$K$6)),Settings!$K$10),MROUND(MIN(E58*(1+Settings!$K$8),M58*(1+Settings!$K$6)),Settings!$K$10))))</f>
        <v/>
      </c>
      <c r="O58" s="95" t="str">
        <f t="shared" si="2"/>
        <v/>
      </c>
      <c r="P58" s="82"/>
      <c r="Q58" s="94" t="str">
        <f>IF(OR(D58="",P58=""),"",IF(D58="Buy",MROUND(P58*(1-Settings!$K$6),Settings!$K$10),MROUND(P58*(1+Settings!$K$6),Settings!$K$10)))</f>
        <v/>
      </c>
      <c r="R58" s="95" t="str">
        <f t="shared" si="3"/>
        <v/>
      </c>
      <c r="S58" s="82"/>
      <c r="T58" s="94" t="str">
        <f>IF(OR(D58="",S58=""),"",IF(D58="Buy",MROUND(S58*(1-Settings!$K$6),Settings!$K$10),MROUND(S58*(1+Settings!$K$6),Settings!$K$10)))</f>
        <v/>
      </c>
      <c r="U58" s="67"/>
      <c r="V58" s="109" t="str">
        <f t="shared" si="4"/>
        <v/>
      </c>
      <c r="W58" s="110"/>
      <c r="X58" s="109" t="str">
        <f t="shared" si="5"/>
        <v/>
      </c>
      <c r="Y58" s="109" t="str">
        <f t="shared" si="6"/>
        <v/>
      </c>
      <c r="Z58" s="82"/>
    </row>
    <row r="59" ht="20" customHeight="1" spans="1:26">
      <c r="A59" s="64">
        <v>46</v>
      </c>
      <c r="B59" s="65"/>
      <c r="C59" s="66"/>
      <c r="D59" s="67"/>
      <c r="E59" s="82"/>
      <c r="F59" s="82"/>
      <c r="G59" s="82"/>
      <c r="H59" s="82"/>
      <c r="I59" s="93" t="str">
        <f t="shared" si="0"/>
        <v/>
      </c>
      <c r="J59" s="82"/>
      <c r="K59" s="94" t="str">
        <f>IF(OR(D59="",E59=""),"",IF(J59="",G59,IF(D59="Buy",MROUND(MAX(E59*(1-Settings!$K$8),J59*(1-Settings!$K$6)),Settings!$K$10),MROUND(MIN(E59*(1+Settings!$K$8),J59*(1+Settings!$K$6)),Settings!$K$10))))</f>
        <v/>
      </c>
      <c r="L59" s="95" t="str">
        <f t="shared" si="1"/>
        <v/>
      </c>
      <c r="M59" s="82"/>
      <c r="N59" s="94" t="str">
        <f>IF(OR(D59="",E59=""),"",IF(M59="",H59,IF(D59="Buy",MROUND(MAX(E59*(1-Settings!$K$8),M59*(1-Settings!$K$6)),Settings!$K$10),MROUND(MIN(E59*(1+Settings!$K$8),M59*(1+Settings!$K$6)),Settings!$K$10))))</f>
        <v/>
      </c>
      <c r="O59" s="95" t="str">
        <f t="shared" si="2"/>
        <v/>
      </c>
      <c r="P59" s="82"/>
      <c r="Q59" s="94" t="str">
        <f>IF(OR(D59="",P59=""),"",IF(D59="Buy",MROUND(P59*(1-Settings!$K$6),Settings!$K$10),MROUND(P59*(1+Settings!$K$6),Settings!$K$10)))</f>
        <v/>
      </c>
      <c r="R59" s="95" t="str">
        <f t="shared" si="3"/>
        <v/>
      </c>
      <c r="S59" s="82"/>
      <c r="T59" s="94" t="str">
        <f>IF(OR(D59="",S59=""),"",IF(D59="Buy",MROUND(S59*(1-Settings!$K$6),Settings!$K$10),MROUND(S59*(1+Settings!$K$6),Settings!$K$10)))</f>
        <v/>
      </c>
      <c r="U59" s="67"/>
      <c r="V59" s="109" t="str">
        <f t="shared" si="4"/>
        <v/>
      </c>
      <c r="W59" s="110"/>
      <c r="X59" s="109" t="str">
        <f t="shared" si="5"/>
        <v/>
      </c>
      <c r="Y59" s="109" t="str">
        <f t="shared" si="6"/>
        <v/>
      </c>
      <c r="Z59" s="82"/>
    </row>
    <row r="60" ht="20" customHeight="1" spans="1:26">
      <c r="A60" s="64">
        <v>47</v>
      </c>
      <c r="B60" s="65"/>
      <c r="C60" s="66"/>
      <c r="D60" s="67"/>
      <c r="E60" s="82"/>
      <c r="F60" s="82"/>
      <c r="G60" s="82"/>
      <c r="H60" s="82"/>
      <c r="I60" s="93" t="str">
        <f t="shared" si="0"/>
        <v/>
      </c>
      <c r="J60" s="82"/>
      <c r="K60" s="94" t="str">
        <f>IF(OR(D60="",E60=""),"",IF(J60="",G60,IF(D60="Buy",MROUND(MAX(E60*(1-Settings!$K$8),J60*(1-Settings!$K$6)),Settings!$K$10),MROUND(MIN(E60*(1+Settings!$K$8),J60*(1+Settings!$K$6)),Settings!$K$10))))</f>
        <v/>
      </c>
      <c r="L60" s="95" t="str">
        <f t="shared" si="1"/>
        <v/>
      </c>
      <c r="M60" s="82"/>
      <c r="N60" s="94" t="str">
        <f>IF(OR(D60="",E60=""),"",IF(M60="",H60,IF(D60="Buy",MROUND(MAX(E60*(1-Settings!$K$8),M60*(1-Settings!$K$6)),Settings!$K$10),MROUND(MIN(E60*(1+Settings!$K$8),M60*(1+Settings!$K$6)),Settings!$K$10))))</f>
        <v/>
      </c>
      <c r="O60" s="95" t="str">
        <f t="shared" si="2"/>
        <v/>
      </c>
      <c r="P60" s="82"/>
      <c r="Q60" s="94" t="str">
        <f>IF(OR(D60="",P60=""),"",IF(D60="Buy",MROUND(P60*(1-Settings!$K$6),Settings!$K$10),MROUND(P60*(1+Settings!$K$6),Settings!$K$10)))</f>
        <v/>
      </c>
      <c r="R60" s="95" t="str">
        <f t="shared" si="3"/>
        <v/>
      </c>
      <c r="S60" s="82"/>
      <c r="T60" s="94" t="str">
        <f>IF(OR(D60="",S60=""),"",IF(D60="Buy",MROUND(S60*(1-Settings!$K$6),Settings!$K$10),MROUND(S60*(1+Settings!$K$6),Settings!$K$10)))</f>
        <v/>
      </c>
      <c r="U60" s="67"/>
      <c r="V60" s="109" t="str">
        <f t="shared" si="4"/>
        <v/>
      </c>
      <c r="W60" s="110"/>
      <c r="X60" s="109" t="str">
        <f t="shared" si="5"/>
        <v/>
      </c>
      <c r="Y60" s="109" t="str">
        <f t="shared" si="6"/>
        <v/>
      </c>
      <c r="Z60" s="82"/>
    </row>
    <row r="61" ht="20" customHeight="1" spans="1:26">
      <c r="A61" s="64">
        <v>48</v>
      </c>
      <c r="B61" s="65"/>
      <c r="C61" s="66"/>
      <c r="D61" s="67"/>
      <c r="E61" s="82"/>
      <c r="F61" s="82"/>
      <c r="G61" s="82"/>
      <c r="H61" s="82"/>
      <c r="I61" s="93" t="str">
        <f t="shared" si="0"/>
        <v/>
      </c>
      <c r="J61" s="82"/>
      <c r="K61" s="94" t="str">
        <f>IF(OR(D61="",E61=""),"",IF(J61="",G61,IF(D61="Buy",MROUND(MAX(E61*(1-Settings!$K$8),J61*(1-Settings!$K$6)),Settings!$K$10),MROUND(MIN(E61*(1+Settings!$K$8),J61*(1+Settings!$K$6)),Settings!$K$10))))</f>
        <v/>
      </c>
      <c r="L61" s="95" t="str">
        <f t="shared" si="1"/>
        <v/>
      </c>
      <c r="M61" s="82"/>
      <c r="N61" s="94" t="str">
        <f>IF(OR(D61="",E61=""),"",IF(M61="",H61,IF(D61="Buy",MROUND(MAX(E61*(1-Settings!$K$8),M61*(1-Settings!$K$6)),Settings!$K$10),MROUND(MIN(E61*(1+Settings!$K$8),M61*(1+Settings!$K$6)),Settings!$K$10))))</f>
        <v/>
      </c>
      <c r="O61" s="95" t="str">
        <f t="shared" si="2"/>
        <v/>
      </c>
      <c r="P61" s="82"/>
      <c r="Q61" s="94" t="str">
        <f>IF(OR(D61="",P61=""),"",IF(D61="Buy",MROUND(P61*(1-Settings!$K$6),Settings!$K$10),MROUND(P61*(1+Settings!$K$6),Settings!$K$10)))</f>
        <v/>
      </c>
      <c r="R61" s="95" t="str">
        <f t="shared" si="3"/>
        <v/>
      </c>
      <c r="S61" s="82"/>
      <c r="T61" s="94" t="str">
        <f>IF(OR(D61="",S61=""),"",IF(D61="Buy",MROUND(S61*(1-Settings!$K$6),Settings!$K$10),MROUND(S61*(1+Settings!$K$6),Settings!$K$10)))</f>
        <v/>
      </c>
      <c r="U61" s="67"/>
      <c r="V61" s="109" t="str">
        <f t="shared" si="4"/>
        <v/>
      </c>
      <c r="W61" s="110"/>
      <c r="X61" s="109" t="str">
        <f t="shared" si="5"/>
        <v/>
      </c>
      <c r="Y61" s="109" t="str">
        <f t="shared" si="6"/>
        <v/>
      </c>
      <c r="Z61" s="82"/>
    </row>
    <row r="62" ht="20" customHeight="1" spans="1:26">
      <c r="A62" s="64">
        <v>49</v>
      </c>
      <c r="B62" s="65"/>
      <c r="C62" s="66"/>
      <c r="D62" s="67"/>
      <c r="E62" s="82"/>
      <c r="F62" s="82"/>
      <c r="G62" s="82"/>
      <c r="H62" s="82"/>
      <c r="I62" s="93" t="str">
        <f t="shared" si="0"/>
        <v/>
      </c>
      <c r="J62" s="82"/>
      <c r="K62" s="94" t="str">
        <f>IF(OR(D62="",E62=""),"",IF(J62="",G62,IF(D62="Buy",MROUND(MAX(E62*(1-Settings!$K$8),J62*(1-Settings!$K$6)),Settings!$K$10),MROUND(MIN(E62*(1+Settings!$K$8),J62*(1+Settings!$K$6)),Settings!$K$10))))</f>
        <v/>
      </c>
      <c r="L62" s="95" t="str">
        <f t="shared" si="1"/>
        <v/>
      </c>
      <c r="M62" s="82"/>
      <c r="N62" s="94" t="str">
        <f>IF(OR(D62="",E62=""),"",IF(M62="",H62,IF(D62="Buy",MROUND(MAX(E62*(1-Settings!$K$8),M62*(1-Settings!$K$6)),Settings!$K$10),MROUND(MIN(E62*(1+Settings!$K$8),M62*(1+Settings!$K$6)),Settings!$K$10))))</f>
        <v/>
      </c>
      <c r="O62" s="95" t="str">
        <f t="shared" si="2"/>
        <v/>
      </c>
      <c r="P62" s="82"/>
      <c r="Q62" s="94" t="str">
        <f>IF(OR(D62="",P62=""),"",IF(D62="Buy",MROUND(P62*(1-Settings!$K$6),Settings!$K$10),MROUND(P62*(1+Settings!$K$6),Settings!$K$10)))</f>
        <v/>
      </c>
      <c r="R62" s="95" t="str">
        <f t="shared" si="3"/>
        <v/>
      </c>
      <c r="S62" s="82"/>
      <c r="T62" s="94" t="str">
        <f>IF(OR(D62="",S62=""),"",IF(D62="Buy",MROUND(S62*(1-Settings!$K$6),Settings!$K$10),MROUND(S62*(1+Settings!$K$6),Settings!$K$10)))</f>
        <v/>
      </c>
      <c r="U62" s="67"/>
      <c r="V62" s="109" t="str">
        <f t="shared" si="4"/>
        <v/>
      </c>
      <c r="W62" s="110"/>
      <c r="X62" s="109" t="str">
        <f t="shared" si="5"/>
        <v/>
      </c>
      <c r="Y62" s="109" t="str">
        <f t="shared" si="6"/>
        <v/>
      </c>
      <c r="Z62" s="82"/>
    </row>
    <row r="63" ht="20" customHeight="1" spans="1:26">
      <c r="A63" s="64">
        <v>50</v>
      </c>
      <c r="B63" s="65"/>
      <c r="C63" s="66"/>
      <c r="D63" s="67"/>
      <c r="E63" s="82"/>
      <c r="F63" s="82"/>
      <c r="G63" s="82"/>
      <c r="H63" s="82"/>
      <c r="I63" s="93" t="str">
        <f t="shared" si="0"/>
        <v/>
      </c>
      <c r="J63" s="82"/>
      <c r="K63" s="94" t="str">
        <f>IF(OR(D63="",E63=""),"",IF(J63="",G63,IF(D63="Buy",MROUND(MAX(E63*(1-Settings!$K$8),J63*(1-Settings!$K$6)),Settings!$K$10),MROUND(MIN(E63*(1+Settings!$K$8),J63*(1+Settings!$K$6)),Settings!$K$10))))</f>
        <v/>
      </c>
      <c r="L63" s="95" t="str">
        <f t="shared" si="1"/>
        <v/>
      </c>
      <c r="M63" s="82"/>
      <c r="N63" s="94" t="str">
        <f>IF(OR(D63="",E63=""),"",IF(M63="",H63,IF(D63="Buy",MROUND(MAX(E63*(1-Settings!$K$8),M63*(1-Settings!$K$6)),Settings!$K$10),MROUND(MIN(E63*(1+Settings!$K$8),M63*(1+Settings!$K$6)),Settings!$K$10))))</f>
        <v/>
      </c>
      <c r="O63" s="95" t="str">
        <f t="shared" si="2"/>
        <v/>
      </c>
      <c r="P63" s="82"/>
      <c r="Q63" s="94" t="str">
        <f>IF(OR(D63="",P63=""),"",IF(D63="Buy",MROUND(P63*(1-Settings!$K$6),Settings!$K$10),MROUND(P63*(1+Settings!$K$6),Settings!$K$10)))</f>
        <v/>
      </c>
      <c r="R63" s="95" t="str">
        <f t="shared" si="3"/>
        <v/>
      </c>
      <c r="S63" s="82"/>
      <c r="T63" s="94" t="str">
        <f>IF(OR(D63="",S63=""),"",IF(D63="Buy",MROUND(S63*(1-Settings!$K$6),Settings!$K$10),MROUND(S63*(1+Settings!$K$6),Settings!$K$10)))</f>
        <v/>
      </c>
      <c r="U63" s="67"/>
      <c r="V63" s="109" t="str">
        <f t="shared" si="4"/>
        <v/>
      </c>
      <c r="W63" s="110"/>
      <c r="X63" s="109" t="str">
        <f t="shared" si="5"/>
        <v/>
      </c>
      <c r="Y63" s="109" t="str">
        <f t="shared" si="6"/>
        <v/>
      </c>
      <c r="Z63" s="82"/>
    </row>
    <row r="64" ht="20" customHeight="1" spans="1:26">
      <c r="A64" s="64">
        <v>51</v>
      </c>
      <c r="B64" s="65"/>
      <c r="C64" s="66"/>
      <c r="D64" s="67"/>
      <c r="E64" s="82"/>
      <c r="F64" s="82"/>
      <c r="G64" s="82"/>
      <c r="H64" s="82"/>
      <c r="I64" s="93" t="str">
        <f t="shared" si="0"/>
        <v/>
      </c>
      <c r="J64" s="82"/>
      <c r="K64" s="94" t="str">
        <f>IF(OR(D64="",E64=""),"",IF(J64="",G64,IF(D64="Buy",MROUND(MAX(E64*(1-Settings!$K$8),J64*(1-Settings!$K$6)),Settings!$K$10),MROUND(MIN(E64*(1+Settings!$K$8),J64*(1+Settings!$K$6)),Settings!$K$10))))</f>
        <v/>
      </c>
      <c r="L64" s="95" t="str">
        <f t="shared" si="1"/>
        <v/>
      </c>
      <c r="M64" s="82"/>
      <c r="N64" s="94" t="str">
        <f>IF(OR(D64="",E64=""),"",IF(M64="",H64,IF(D64="Buy",MROUND(MAX(E64*(1-Settings!$K$8),M64*(1-Settings!$K$6)),Settings!$K$10),MROUND(MIN(E64*(1+Settings!$K$8),M64*(1+Settings!$K$6)),Settings!$K$10))))</f>
        <v/>
      </c>
      <c r="O64" s="95" t="str">
        <f t="shared" si="2"/>
        <v/>
      </c>
      <c r="P64" s="82"/>
      <c r="Q64" s="94" t="str">
        <f>IF(OR(D64="",P64=""),"",IF(D64="Buy",MROUND(P64*(1-Settings!$K$6),Settings!$K$10),MROUND(P64*(1+Settings!$K$6),Settings!$K$10)))</f>
        <v/>
      </c>
      <c r="R64" s="95" t="str">
        <f t="shared" si="3"/>
        <v/>
      </c>
      <c r="S64" s="82"/>
      <c r="T64" s="94" t="str">
        <f>IF(OR(D64="",S64=""),"",IF(D64="Buy",MROUND(S64*(1-Settings!$K$6),Settings!$K$10),MROUND(S64*(1+Settings!$K$6),Settings!$K$10)))</f>
        <v/>
      </c>
      <c r="U64" s="67"/>
      <c r="V64" s="109" t="str">
        <f t="shared" si="4"/>
        <v/>
      </c>
      <c r="W64" s="110"/>
      <c r="X64" s="109" t="str">
        <f t="shared" si="5"/>
        <v/>
      </c>
      <c r="Y64" s="109" t="str">
        <f t="shared" si="6"/>
        <v/>
      </c>
      <c r="Z64" s="82"/>
    </row>
    <row r="65" ht="20" customHeight="1" spans="1:26">
      <c r="A65" s="64">
        <v>52</v>
      </c>
      <c r="B65" s="65"/>
      <c r="C65" s="66"/>
      <c r="D65" s="67"/>
      <c r="E65" s="82"/>
      <c r="F65" s="82"/>
      <c r="G65" s="82"/>
      <c r="H65" s="82"/>
      <c r="I65" s="93" t="str">
        <f t="shared" si="0"/>
        <v/>
      </c>
      <c r="J65" s="82"/>
      <c r="K65" s="94" t="str">
        <f>IF(OR(D65="",E65=""),"",IF(J65="",G65,IF(D65="Buy",MROUND(MAX(E65*(1-Settings!$K$8),J65*(1-Settings!$K$6)),Settings!$K$10),MROUND(MIN(E65*(1+Settings!$K$8),J65*(1+Settings!$K$6)),Settings!$K$10))))</f>
        <v/>
      </c>
      <c r="L65" s="95" t="str">
        <f t="shared" si="1"/>
        <v/>
      </c>
      <c r="M65" s="82"/>
      <c r="N65" s="94" t="str">
        <f>IF(OR(D65="",E65=""),"",IF(M65="",H65,IF(D65="Buy",MROUND(MAX(E65*(1-Settings!$K$8),M65*(1-Settings!$K$6)),Settings!$K$10),MROUND(MIN(E65*(1+Settings!$K$8),M65*(1+Settings!$K$6)),Settings!$K$10))))</f>
        <v/>
      </c>
      <c r="O65" s="95" t="str">
        <f t="shared" si="2"/>
        <v/>
      </c>
      <c r="P65" s="82"/>
      <c r="Q65" s="94" t="str">
        <f>IF(OR(D65="",P65=""),"",IF(D65="Buy",MROUND(P65*(1-Settings!$K$6),Settings!$K$10),MROUND(P65*(1+Settings!$K$6),Settings!$K$10)))</f>
        <v/>
      </c>
      <c r="R65" s="95" t="str">
        <f t="shared" si="3"/>
        <v/>
      </c>
      <c r="S65" s="82"/>
      <c r="T65" s="94" t="str">
        <f>IF(OR(D65="",S65=""),"",IF(D65="Buy",MROUND(S65*(1-Settings!$K$6),Settings!$K$10),MROUND(S65*(1+Settings!$K$6),Settings!$K$10)))</f>
        <v/>
      </c>
      <c r="U65" s="67"/>
      <c r="V65" s="109" t="str">
        <f t="shared" si="4"/>
        <v/>
      </c>
      <c r="W65" s="110"/>
      <c r="X65" s="109" t="str">
        <f t="shared" si="5"/>
        <v/>
      </c>
      <c r="Y65" s="109" t="str">
        <f t="shared" si="6"/>
        <v/>
      </c>
      <c r="Z65" s="82"/>
    </row>
    <row r="66" ht="20" customHeight="1" spans="1:26">
      <c r="A66" s="64">
        <v>53</v>
      </c>
      <c r="B66" s="65"/>
      <c r="C66" s="66"/>
      <c r="D66" s="67"/>
      <c r="E66" s="82"/>
      <c r="F66" s="82"/>
      <c r="G66" s="82"/>
      <c r="H66" s="82"/>
      <c r="I66" s="93" t="str">
        <f t="shared" si="0"/>
        <v/>
      </c>
      <c r="J66" s="82"/>
      <c r="K66" s="94" t="str">
        <f>IF(OR(D66="",E66=""),"",IF(J66="",G66,IF(D66="Buy",MROUND(MAX(E66*(1-Settings!$K$8),J66*(1-Settings!$K$6)),Settings!$K$10),MROUND(MIN(E66*(1+Settings!$K$8),J66*(1+Settings!$K$6)),Settings!$K$10))))</f>
        <v/>
      </c>
      <c r="L66" s="95" t="str">
        <f t="shared" si="1"/>
        <v/>
      </c>
      <c r="M66" s="82"/>
      <c r="N66" s="94" t="str">
        <f>IF(OR(D66="",E66=""),"",IF(M66="",H66,IF(D66="Buy",MROUND(MAX(E66*(1-Settings!$K$8),M66*(1-Settings!$K$6)),Settings!$K$10),MROUND(MIN(E66*(1+Settings!$K$8),M66*(1+Settings!$K$6)),Settings!$K$10))))</f>
        <v/>
      </c>
      <c r="O66" s="95" t="str">
        <f t="shared" si="2"/>
        <v/>
      </c>
      <c r="P66" s="82"/>
      <c r="Q66" s="94" t="str">
        <f>IF(OR(D66="",P66=""),"",IF(D66="Buy",MROUND(P66*(1-Settings!$K$6),Settings!$K$10),MROUND(P66*(1+Settings!$K$6),Settings!$K$10)))</f>
        <v/>
      </c>
      <c r="R66" s="95" t="str">
        <f t="shared" si="3"/>
        <v/>
      </c>
      <c r="S66" s="82"/>
      <c r="T66" s="94" t="str">
        <f>IF(OR(D66="",S66=""),"",IF(D66="Buy",MROUND(S66*(1-Settings!$K$6),Settings!$K$10),MROUND(S66*(1+Settings!$K$6),Settings!$K$10)))</f>
        <v/>
      </c>
      <c r="U66" s="67"/>
      <c r="V66" s="109" t="str">
        <f t="shared" si="4"/>
        <v/>
      </c>
      <c r="W66" s="110"/>
      <c r="X66" s="109" t="str">
        <f t="shared" si="5"/>
        <v/>
      </c>
      <c r="Y66" s="109" t="str">
        <f t="shared" si="6"/>
        <v/>
      </c>
      <c r="Z66" s="82"/>
    </row>
    <row r="67" ht="20" customHeight="1" spans="1:26">
      <c r="A67" s="64">
        <v>54</v>
      </c>
      <c r="B67" s="65"/>
      <c r="C67" s="66"/>
      <c r="D67" s="67"/>
      <c r="E67" s="82"/>
      <c r="F67" s="82"/>
      <c r="G67" s="82"/>
      <c r="H67" s="82"/>
      <c r="I67" s="93" t="str">
        <f t="shared" si="0"/>
        <v/>
      </c>
      <c r="J67" s="82"/>
      <c r="K67" s="94" t="str">
        <f>IF(OR(D67="",E67=""),"",IF(J67="",G67,IF(D67="Buy",MROUND(MAX(E67*(1-Settings!$K$8),J67*(1-Settings!$K$6)),Settings!$K$10),MROUND(MIN(E67*(1+Settings!$K$8),J67*(1+Settings!$K$6)),Settings!$K$10))))</f>
        <v/>
      </c>
      <c r="L67" s="95" t="str">
        <f t="shared" si="1"/>
        <v/>
      </c>
      <c r="M67" s="82"/>
      <c r="N67" s="94" t="str">
        <f>IF(OR(D67="",E67=""),"",IF(M67="",H67,IF(D67="Buy",MROUND(MAX(E67*(1-Settings!$K$8),M67*(1-Settings!$K$6)),Settings!$K$10),MROUND(MIN(E67*(1+Settings!$K$8),M67*(1+Settings!$K$6)),Settings!$K$10))))</f>
        <v/>
      </c>
      <c r="O67" s="95" t="str">
        <f t="shared" si="2"/>
        <v/>
      </c>
      <c r="P67" s="82"/>
      <c r="Q67" s="94" t="str">
        <f>IF(OR(D67="",P67=""),"",IF(D67="Buy",MROUND(P67*(1-Settings!$K$6),Settings!$K$10),MROUND(P67*(1+Settings!$K$6),Settings!$K$10)))</f>
        <v/>
      </c>
      <c r="R67" s="95" t="str">
        <f t="shared" si="3"/>
        <v/>
      </c>
      <c r="S67" s="82"/>
      <c r="T67" s="94" t="str">
        <f>IF(OR(D67="",S67=""),"",IF(D67="Buy",MROUND(S67*(1-Settings!$K$6),Settings!$K$10),MROUND(S67*(1+Settings!$K$6),Settings!$K$10)))</f>
        <v/>
      </c>
      <c r="U67" s="67"/>
      <c r="V67" s="109" t="str">
        <f t="shared" si="4"/>
        <v/>
      </c>
      <c r="W67" s="110"/>
      <c r="X67" s="109" t="str">
        <f t="shared" si="5"/>
        <v/>
      </c>
      <c r="Y67" s="109" t="str">
        <f t="shared" si="6"/>
        <v/>
      </c>
      <c r="Z67" s="82"/>
    </row>
    <row r="68" ht="20" customHeight="1" spans="1:26">
      <c r="A68" s="64">
        <v>55</v>
      </c>
      <c r="B68" s="65"/>
      <c r="C68" s="66"/>
      <c r="D68" s="67"/>
      <c r="E68" s="82"/>
      <c r="F68" s="82"/>
      <c r="G68" s="82"/>
      <c r="H68" s="82"/>
      <c r="I68" s="93" t="str">
        <f t="shared" si="0"/>
        <v/>
      </c>
      <c r="J68" s="82"/>
      <c r="K68" s="94" t="str">
        <f>IF(OR(D68="",E68=""),"",IF(J68="",G68,IF(D68="Buy",MROUND(MAX(E68*(1-Settings!$K$8),J68*(1-Settings!$K$6)),Settings!$K$10),MROUND(MIN(E68*(1+Settings!$K$8),J68*(1+Settings!$K$6)),Settings!$K$10))))</f>
        <v/>
      </c>
      <c r="L68" s="95" t="str">
        <f t="shared" si="1"/>
        <v/>
      </c>
      <c r="M68" s="82"/>
      <c r="N68" s="94" t="str">
        <f>IF(OR(D68="",E68=""),"",IF(M68="",H68,IF(D68="Buy",MROUND(MAX(E68*(1-Settings!$K$8),M68*(1-Settings!$K$6)),Settings!$K$10),MROUND(MIN(E68*(1+Settings!$K$8),M68*(1+Settings!$K$6)),Settings!$K$10))))</f>
        <v/>
      </c>
      <c r="O68" s="95" t="str">
        <f t="shared" si="2"/>
        <v/>
      </c>
      <c r="P68" s="82"/>
      <c r="Q68" s="94" t="str">
        <f>IF(OR(D68="",P68=""),"",IF(D68="Buy",MROUND(P68*(1-Settings!$K$6),Settings!$K$10),MROUND(P68*(1+Settings!$K$6),Settings!$K$10)))</f>
        <v/>
      </c>
      <c r="R68" s="95" t="str">
        <f t="shared" si="3"/>
        <v/>
      </c>
      <c r="S68" s="82"/>
      <c r="T68" s="94" t="str">
        <f>IF(OR(D68="",S68=""),"",IF(D68="Buy",MROUND(S68*(1-Settings!$K$6),Settings!$K$10),MROUND(S68*(1+Settings!$K$6),Settings!$K$10)))</f>
        <v/>
      </c>
      <c r="U68" s="67"/>
      <c r="V68" s="109" t="str">
        <f t="shared" si="4"/>
        <v/>
      </c>
      <c r="W68" s="110"/>
      <c r="X68" s="109" t="str">
        <f t="shared" si="5"/>
        <v/>
      </c>
      <c r="Y68" s="109" t="str">
        <f t="shared" si="6"/>
        <v/>
      </c>
      <c r="Z68" s="82"/>
    </row>
    <row r="69" ht="20" customHeight="1" spans="1:26">
      <c r="A69" s="64">
        <v>56</v>
      </c>
      <c r="B69" s="65"/>
      <c r="C69" s="66"/>
      <c r="D69" s="67"/>
      <c r="E69" s="82"/>
      <c r="F69" s="82"/>
      <c r="G69" s="82"/>
      <c r="H69" s="82"/>
      <c r="I69" s="93" t="str">
        <f t="shared" si="0"/>
        <v/>
      </c>
      <c r="J69" s="82"/>
      <c r="K69" s="94" t="str">
        <f>IF(OR(D69="",E69=""),"",IF(J69="",G69,IF(D69="Buy",MROUND(MAX(E69*(1-Settings!$K$8),J69*(1-Settings!$K$6)),Settings!$K$10),MROUND(MIN(E69*(1+Settings!$K$8),J69*(1+Settings!$K$6)),Settings!$K$10))))</f>
        <v/>
      </c>
      <c r="L69" s="95" t="str">
        <f t="shared" si="1"/>
        <v/>
      </c>
      <c r="M69" s="82"/>
      <c r="N69" s="94" t="str">
        <f>IF(OR(D69="",E69=""),"",IF(M69="",H69,IF(D69="Buy",MROUND(MAX(E69*(1-Settings!$K$8),M69*(1-Settings!$K$6)),Settings!$K$10),MROUND(MIN(E69*(1+Settings!$K$8),M69*(1+Settings!$K$6)),Settings!$K$10))))</f>
        <v/>
      </c>
      <c r="O69" s="95" t="str">
        <f t="shared" si="2"/>
        <v/>
      </c>
      <c r="P69" s="82"/>
      <c r="Q69" s="94" t="str">
        <f>IF(OR(D69="",P69=""),"",IF(D69="Buy",MROUND(P69*(1-Settings!$K$6),Settings!$K$10),MROUND(P69*(1+Settings!$K$6),Settings!$K$10)))</f>
        <v/>
      </c>
      <c r="R69" s="95" t="str">
        <f t="shared" si="3"/>
        <v/>
      </c>
      <c r="S69" s="82"/>
      <c r="T69" s="94" t="str">
        <f>IF(OR(D69="",S69=""),"",IF(D69="Buy",MROUND(S69*(1-Settings!$K$6),Settings!$K$10),MROUND(S69*(1+Settings!$K$6),Settings!$K$10)))</f>
        <v/>
      </c>
      <c r="U69" s="67"/>
      <c r="V69" s="109" t="str">
        <f t="shared" si="4"/>
        <v/>
      </c>
      <c r="W69" s="110"/>
      <c r="X69" s="109" t="str">
        <f t="shared" si="5"/>
        <v/>
      </c>
      <c r="Y69" s="109" t="str">
        <f t="shared" si="6"/>
        <v/>
      </c>
      <c r="Z69" s="82"/>
    </row>
    <row r="70" ht="20" customHeight="1" spans="1:26">
      <c r="A70" s="64">
        <v>57</v>
      </c>
      <c r="B70" s="65"/>
      <c r="C70" s="66"/>
      <c r="D70" s="67"/>
      <c r="E70" s="82"/>
      <c r="F70" s="82"/>
      <c r="G70" s="82"/>
      <c r="H70" s="82"/>
      <c r="I70" s="93" t="str">
        <f t="shared" si="0"/>
        <v/>
      </c>
      <c r="J70" s="82"/>
      <c r="K70" s="94" t="str">
        <f>IF(OR(D70="",E70=""),"",IF(J70="",G70,IF(D70="Buy",MROUND(MAX(E70*(1-Settings!$K$8),J70*(1-Settings!$K$6)),Settings!$K$10),MROUND(MIN(E70*(1+Settings!$K$8),J70*(1+Settings!$K$6)),Settings!$K$10))))</f>
        <v/>
      </c>
      <c r="L70" s="95" t="str">
        <f t="shared" si="1"/>
        <v/>
      </c>
      <c r="M70" s="82"/>
      <c r="N70" s="94" t="str">
        <f>IF(OR(D70="",E70=""),"",IF(M70="",H70,IF(D70="Buy",MROUND(MAX(E70*(1-Settings!$K$8),M70*(1-Settings!$K$6)),Settings!$K$10),MROUND(MIN(E70*(1+Settings!$K$8),M70*(1+Settings!$K$6)),Settings!$K$10))))</f>
        <v/>
      </c>
      <c r="O70" s="95" t="str">
        <f t="shared" si="2"/>
        <v/>
      </c>
      <c r="P70" s="82"/>
      <c r="Q70" s="94" t="str">
        <f>IF(OR(D70="",P70=""),"",IF(D70="Buy",MROUND(P70*(1-Settings!$K$6),Settings!$K$10),MROUND(P70*(1+Settings!$K$6),Settings!$K$10)))</f>
        <v/>
      </c>
      <c r="R70" s="95" t="str">
        <f t="shared" si="3"/>
        <v/>
      </c>
      <c r="S70" s="82"/>
      <c r="T70" s="94" t="str">
        <f>IF(OR(D70="",S70=""),"",IF(D70="Buy",MROUND(S70*(1-Settings!$K$6),Settings!$K$10),MROUND(S70*(1+Settings!$K$6),Settings!$K$10)))</f>
        <v/>
      </c>
      <c r="U70" s="67"/>
      <c r="V70" s="109" t="str">
        <f t="shared" si="4"/>
        <v/>
      </c>
      <c r="W70" s="110"/>
      <c r="X70" s="109" t="str">
        <f t="shared" si="5"/>
        <v/>
      </c>
      <c r="Y70" s="109" t="str">
        <f t="shared" si="6"/>
        <v/>
      </c>
      <c r="Z70" s="82"/>
    </row>
    <row r="71" ht="20" customHeight="1" spans="1:26">
      <c r="A71" s="64">
        <v>58</v>
      </c>
      <c r="B71" s="65"/>
      <c r="C71" s="66"/>
      <c r="D71" s="67"/>
      <c r="E71" s="82"/>
      <c r="F71" s="82"/>
      <c r="G71" s="82"/>
      <c r="H71" s="82"/>
      <c r="I71" s="93" t="str">
        <f t="shared" si="0"/>
        <v/>
      </c>
      <c r="J71" s="82"/>
      <c r="K71" s="94" t="str">
        <f>IF(OR(D71="",E71=""),"",IF(J71="",G71,IF(D71="Buy",MROUND(MAX(E71*(1-Settings!$K$8),J71*(1-Settings!$K$6)),Settings!$K$10),MROUND(MIN(E71*(1+Settings!$K$8),J71*(1+Settings!$K$6)),Settings!$K$10))))</f>
        <v/>
      </c>
      <c r="L71" s="95" t="str">
        <f t="shared" si="1"/>
        <v/>
      </c>
      <c r="M71" s="82"/>
      <c r="N71" s="94" t="str">
        <f>IF(OR(D71="",E71=""),"",IF(M71="",H71,IF(D71="Buy",MROUND(MAX(E71*(1-Settings!$K$8),M71*(1-Settings!$K$6)),Settings!$K$10),MROUND(MIN(E71*(1+Settings!$K$8),M71*(1+Settings!$K$6)),Settings!$K$10))))</f>
        <v/>
      </c>
      <c r="O71" s="95" t="str">
        <f t="shared" si="2"/>
        <v/>
      </c>
      <c r="P71" s="82"/>
      <c r="Q71" s="94" t="str">
        <f>IF(OR(D71="",P71=""),"",IF(D71="Buy",MROUND(P71*(1-Settings!$K$6),Settings!$K$10),MROUND(P71*(1+Settings!$K$6),Settings!$K$10)))</f>
        <v/>
      </c>
      <c r="R71" s="95" t="str">
        <f t="shared" si="3"/>
        <v/>
      </c>
      <c r="S71" s="82"/>
      <c r="T71" s="94" t="str">
        <f>IF(OR(D71="",S71=""),"",IF(D71="Buy",MROUND(S71*(1-Settings!$K$6),Settings!$K$10),MROUND(S71*(1+Settings!$K$6),Settings!$K$10)))</f>
        <v/>
      </c>
      <c r="U71" s="67"/>
      <c r="V71" s="109" t="str">
        <f t="shared" si="4"/>
        <v/>
      </c>
      <c r="W71" s="110"/>
      <c r="X71" s="109" t="str">
        <f t="shared" si="5"/>
        <v/>
      </c>
      <c r="Y71" s="109" t="str">
        <f t="shared" si="6"/>
        <v/>
      </c>
      <c r="Z71" s="82"/>
    </row>
    <row r="72" ht="20" customHeight="1" spans="1:26">
      <c r="A72" s="64">
        <v>59</v>
      </c>
      <c r="B72" s="65"/>
      <c r="C72" s="66"/>
      <c r="D72" s="67"/>
      <c r="E72" s="82"/>
      <c r="F72" s="82"/>
      <c r="G72" s="82"/>
      <c r="H72" s="82"/>
      <c r="I72" s="93" t="str">
        <f t="shared" si="0"/>
        <v/>
      </c>
      <c r="J72" s="82"/>
      <c r="K72" s="94" t="str">
        <f>IF(OR(D72="",E72=""),"",IF(J72="",G72,IF(D72="Buy",MROUND(MAX(E72*(1-Settings!$K$8),J72*(1-Settings!$K$6)),Settings!$K$10),MROUND(MIN(E72*(1+Settings!$K$8),J72*(1+Settings!$K$6)),Settings!$K$10))))</f>
        <v/>
      </c>
      <c r="L72" s="95" t="str">
        <f t="shared" si="1"/>
        <v/>
      </c>
      <c r="M72" s="82"/>
      <c r="N72" s="94" t="str">
        <f>IF(OR(D72="",E72=""),"",IF(M72="",H72,IF(D72="Buy",MROUND(MAX(E72*(1-Settings!$K$8),M72*(1-Settings!$K$6)),Settings!$K$10),MROUND(MIN(E72*(1+Settings!$K$8),M72*(1+Settings!$K$6)),Settings!$K$10))))</f>
        <v/>
      </c>
      <c r="O72" s="95" t="str">
        <f t="shared" si="2"/>
        <v/>
      </c>
      <c r="P72" s="82"/>
      <c r="Q72" s="94" t="str">
        <f>IF(OR(D72="",P72=""),"",IF(D72="Buy",MROUND(P72*(1-Settings!$K$6),Settings!$K$10),MROUND(P72*(1+Settings!$K$6),Settings!$K$10)))</f>
        <v/>
      </c>
      <c r="R72" s="95" t="str">
        <f t="shared" si="3"/>
        <v/>
      </c>
      <c r="S72" s="82"/>
      <c r="T72" s="94" t="str">
        <f>IF(OR(D72="",S72=""),"",IF(D72="Buy",MROUND(S72*(1-Settings!$K$6),Settings!$K$10),MROUND(S72*(1+Settings!$K$6),Settings!$K$10)))</f>
        <v/>
      </c>
      <c r="U72" s="67"/>
      <c r="V72" s="109" t="str">
        <f t="shared" si="4"/>
        <v/>
      </c>
      <c r="W72" s="110"/>
      <c r="X72" s="109" t="str">
        <f t="shared" si="5"/>
        <v/>
      </c>
      <c r="Y72" s="109" t="str">
        <f t="shared" si="6"/>
        <v/>
      </c>
      <c r="Z72" s="82"/>
    </row>
    <row r="73" ht="20" customHeight="1" spans="1:26">
      <c r="A73" s="64">
        <v>60</v>
      </c>
      <c r="B73" s="65"/>
      <c r="C73" s="66"/>
      <c r="D73" s="67"/>
      <c r="E73" s="82"/>
      <c r="F73" s="82"/>
      <c r="G73" s="82"/>
      <c r="H73" s="82"/>
      <c r="I73" s="93" t="str">
        <f t="shared" si="0"/>
        <v/>
      </c>
      <c r="J73" s="82"/>
      <c r="K73" s="94" t="str">
        <f>IF(OR(D73="",E73=""),"",IF(J73="",G73,IF(D73="Buy",MROUND(MAX(E73*(1-Settings!$K$8),J73*(1-Settings!$K$6)),Settings!$K$10),MROUND(MIN(E73*(1+Settings!$K$8),J73*(1+Settings!$K$6)),Settings!$K$10))))</f>
        <v/>
      </c>
      <c r="L73" s="95" t="str">
        <f t="shared" si="1"/>
        <v/>
      </c>
      <c r="M73" s="82"/>
      <c r="N73" s="94" t="str">
        <f>IF(OR(D73="",E73=""),"",IF(M73="",H73,IF(D73="Buy",MROUND(MAX(E73*(1-Settings!$K$8),M73*(1-Settings!$K$6)),Settings!$K$10),MROUND(MIN(E73*(1+Settings!$K$8),M73*(1+Settings!$K$6)),Settings!$K$10))))</f>
        <v/>
      </c>
      <c r="O73" s="95" t="str">
        <f t="shared" si="2"/>
        <v/>
      </c>
      <c r="P73" s="82"/>
      <c r="Q73" s="94" t="str">
        <f>IF(OR(D73="",P73=""),"",IF(D73="Buy",MROUND(P73*(1-Settings!$K$6),Settings!$K$10),MROUND(P73*(1+Settings!$K$6),Settings!$K$10)))</f>
        <v/>
      </c>
      <c r="R73" s="95" t="str">
        <f t="shared" si="3"/>
        <v/>
      </c>
      <c r="S73" s="82"/>
      <c r="T73" s="94" t="str">
        <f>IF(OR(D73="",S73=""),"",IF(D73="Buy",MROUND(S73*(1-Settings!$K$6),Settings!$K$10),MROUND(S73*(1+Settings!$K$6),Settings!$K$10)))</f>
        <v/>
      </c>
      <c r="U73" s="67"/>
      <c r="V73" s="109" t="str">
        <f t="shared" si="4"/>
        <v/>
      </c>
      <c r="W73" s="110"/>
      <c r="X73" s="109" t="str">
        <f t="shared" si="5"/>
        <v/>
      </c>
      <c r="Y73" s="109" t="str">
        <f t="shared" si="6"/>
        <v/>
      </c>
      <c r="Z73" s="82"/>
    </row>
    <row r="74" ht="20" customHeight="1" spans="1:26">
      <c r="A74" s="64">
        <v>61</v>
      </c>
      <c r="B74" s="65"/>
      <c r="C74" s="66"/>
      <c r="D74" s="67"/>
      <c r="E74" s="82"/>
      <c r="F74" s="82"/>
      <c r="G74" s="82"/>
      <c r="H74" s="82"/>
      <c r="I74" s="93" t="str">
        <f t="shared" si="0"/>
        <v/>
      </c>
      <c r="J74" s="82"/>
      <c r="K74" s="94" t="str">
        <f>IF(OR(D74="",E74=""),"",IF(J74="",G74,IF(D74="Buy",MROUND(MAX(E74*(1-Settings!$K$8),J74*(1-Settings!$K$6)),Settings!$K$10),MROUND(MIN(E74*(1+Settings!$K$8),J74*(1+Settings!$K$6)),Settings!$K$10))))</f>
        <v/>
      </c>
      <c r="L74" s="95" t="str">
        <f t="shared" si="1"/>
        <v/>
      </c>
      <c r="M74" s="82"/>
      <c r="N74" s="94" t="str">
        <f>IF(OR(D74="",E74=""),"",IF(M74="",H74,IF(D74="Buy",MROUND(MAX(E74*(1-Settings!$K$8),M74*(1-Settings!$K$6)),Settings!$K$10),MROUND(MIN(E74*(1+Settings!$K$8),M74*(1+Settings!$K$6)),Settings!$K$10))))</f>
        <v/>
      </c>
      <c r="O74" s="95" t="str">
        <f t="shared" si="2"/>
        <v/>
      </c>
      <c r="P74" s="82"/>
      <c r="Q74" s="94" t="str">
        <f>IF(OR(D74="",P74=""),"",IF(D74="Buy",MROUND(P74*(1-Settings!$K$6),Settings!$K$10),MROUND(P74*(1+Settings!$K$6),Settings!$K$10)))</f>
        <v/>
      </c>
      <c r="R74" s="95" t="str">
        <f t="shared" si="3"/>
        <v/>
      </c>
      <c r="S74" s="82"/>
      <c r="T74" s="94" t="str">
        <f>IF(OR(D74="",S74=""),"",IF(D74="Buy",MROUND(S74*(1-Settings!$K$6),Settings!$K$10),MROUND(S74*(1+Settings!$K$6),Settings!$K$10)))</f>
        <v/>
      </c>
      <c r="U74" s="67"/>
      <c r="V74" s="109" t="str">
        <f t="shared" si="4"/>
        <v/>
      </c>
      <c r="W74" s="110"/>
      <c r="X74" s="109" t="str">
        <f t="shared" si="5"/>
        <v/>
      </c>
      <c r="Y74" s="109" t="str">
        <f t="shared" si="6"/>
        <v/>
      </c>
      <c r="Z74" s="82"/>
    </row>
    <row r="75" ht="20" customHeight="1" spans="1:26">
      <c r="A75" s="64">
        <v>62</v>
      </c>
      <c r="B75" s="65"/>
      <c r="C75" s="66"/>
      <c r="D75" s="67"/>
      <c r="E75" s="82"/>
      <c r="F75" s="82"/>
      <c r="G75" s="82"/>
      <c r="H75" s="82"/>
      <c r="I75" s="93" t="str">
        <f t="shared" si="0"/>
        <v/>
      </c>
      <c r="J75" s="82"/>
      <c r="K75" s="94" t="str">
        <f>IF(OR(D75="",E75=""),"",IF(J75="",G75,IF(D75="Buy",MROUND(MAX(E75*(1-Settings!$K$8),J75*(1-Settings!$K$6)),Settings!$K$10),MROUND(MIN(E75*(1+Settings!$K$8),J75*(1+Settings!$K$6)),Settings!$K$10))))</f>
        <v/>
      </c>
      <c r="L75" s="95" t="str">
        <f t="shared" si="1"/>
        <v/>
      </c>
      <c r="M75" s="82"/>
      <c r="N75" s="94" t="str">
        <f>IF(OR(D75="",E75=""),"",IF(M75="",H75,IF(D75="Buy",MROUND(MAX(E75*(1-Settings!$K$8),M75*(1-Settings!$K$6)),Settings!$K$10),MROUND(MIN(E75*(1+Settings!$K$8),M75*(1+Settings!$K$6)),Settings!$K$10))))</f>
        <v/>
      </c>
      <c r="O75" s="95" t="str">
        <f t="shared" si="2"/>
        <v/>
      </c>
      <c r="P75" s="82"/>
      <c r="Q75" s="94" t="str">
        <f>IF(OR(D75="",P75=""),"",IF(D75="Buy",MROUND(P75*(1-Settings!$K$6),Settings!$K$10),MROUND(P75*(1+Settings!$K$6),Settings!$K$10)))</f>
        <v/>
      </c>
      <c r="R75" s="95" t="str">
        <f t="shared" si="3"/>
        <v/>
      </c>
      <c r="S75" s="82"/>
      <c r="T75" s="94" t="str">
        <f>IF(OR(D75="",S75=""),"",IF(D75="Buy",MROUND(S75*(1-Settings!$K$6),Settings!$K$10),MROUND(S75*(1+Settings!$K$6),Settings!$K$10)))</f>
        <v/>
      </c>
      <c r="U75" s="67"/>
      <c r="V75" s="109" t="str">
        <f t="shared" si="4"/>
        <v/>
      </c>
      <c r="W75" s="110"/>
      <c r="X75" s="109" t="str">
        <f t="shared" si="5"/>
        <v/>
      </c>
      <c r="Y75" s="109" t="str">
        <f t="shared" si="6"/>
        <v/>
      </c>
      <c r="Z75" s="82"/>
    </row>
    <row r="76" ht="20" customHeight="1" spans="1:26">
      <c r="A76" s="64">
        <v>63</v>
      </c>
      <c r="B76" s="65"/>
      <c r="C76" s="66"/>
      <c r="D76" s="67"/>
      <c r="E76" s="82"/>
      <c r="F76" s="82"/>
      <c r="G76" s="82"/>
      <c r="H76" s="82"/>
      <c r="I76" s="93" t="str">
        <f t="shared" si="0"/>
        <v/>
      </c>
      <c r="J76" s="82"/>
      <c r="K76" s="94" t="str">
        <f>IF(OR(D76="",E76=""),"",IF(J76="",G76,IF(D76="Buy",MROUND(MAX(E76*(1-Settings!$K$8),J76*(1-Settings!$K$6)),Settings!$K$10),MROUND(MIN(E76*(1+Settings!$K$8),J76*(1+Settings!$K$6)),Settings!$K$10))))</f>
        <v/>
      </c>
      <c r="L76" s="95" t="str">
        <f t="shared" si="1"/>
        <v/>
      </c>
      <c r="M76" s="82"/>
      <c r="N76" s="94" t="str">
        <f>IF(OR(D76="",E76=""),"",IF(M76="",H76,IF(D76="Buy",MROUND(MAX(E76*(1-Settings!$K$8),M76*(1-Settings!$K$6)),Settings!$K$10),MROUND(MIN(E76*(1+Settings!$K$8),M76*(1+Settings!$K$6)),Settings!$K$10))))</f>
        <v/>
      </c>
      <c r="O76" s="95" t="str">
        <f t="shared" si="2"/>
        <v/>
      </c>
      <c r="P76" s="82"/>
      <c r="Q76" s="94" t="str">
        <f>IF(OR(D76="",P76=""),"",IF(D76="Buy",MROUND(P76*(1-Settings!$K$6),Settings!$K$10),MROUND(P76*(1+Settings!$K$6),Settings!$K$10)))</f>
        <v/>
      </c>
      <c r="R76" s="95" t="str">
        <f t="shared" si="3"/>
        <v/>
      </c>
      <c r="S76" s="82"/>
      <c r="T76" s="94" t="str">
        <f>IF(OR(D76="",S76=""),"",IF(D76="Buy",MROUND(S76*(1-Settings!$K$6),Settings!$K$10),MROUND(S76*(1+Settings!$K$6),Settings!$K$10)))</f>
        <v/>
      </c>
      <c r="U76" s="67"/>
      <c r="V76" s="109" t="str">
        <f t="shared" si="4"/>
        <v/>
      </c>
      <c r="W76" s="110"/>
      <c r="X76" s="109" t="str">
        <f t="shared" si="5"/>
        <v/>
      </c>
      <c r="Y76" s="109" t="str">
        <f t="shared" si="6"/>
        <v/>
      </c>
      <c r="Z76" s="82"/>
    </row>
    <row r="77" ht="20" customHeight="1" spans="1:26">
      <c r="A77" s="64">
        <v>64</v>
      </c>
      <c r="B77" s="65"/>
      <c r="C77" s="66"/>
      <c r="D77" s="67"/>
      <c r="E77" s="82"/>
      <c r="F77" s="82"/>
      <c r="G77" s="82"/>
      <c r="H77" s="82"/>
      <c r="I77" s="93" t="str">
        <f t="shared" si="0"/>
        <v/>
      </c>
      <c r="J77" s="82"/>
      <c r="K77" s="94" t="str">
        <f>IF(OR(D77="",E77=""),"",IF(J77="",G77,IF(D77="Buy",MROUND(MAX(E77*(1-Settings!$K$8),J77*(1-Settings!$K$6)),Settings!$K$10),MROUND(MIN(E77*(1+Settings!$K$8),J77*(1+Settings!$K$6)),Settings!$K$10))))</f>
        <v/>
      </c>
      <c r="L77" s="95" t="str">
        <f t="shared" si="1"/>
        <v/>
      </c>
      <c r="M77" s="82"/>
      <c r="N77" s="94" t="str">
        <f>IF(OR(D77="",E77=""),"",IF(M77="",H77,IF(D77="Buy",MROUND(MAX(E77*(1-Settings!$K$8),M77*(1-Settings!$K$6)),Settings!$K$10),MROUND(MIN(E77*(1+Settings!$K$8),M77*(1+Settings!$K$6)),Settings!$K$10))))</f>
        <v/>
      </c>
      <c r="O77" s="95" t="str">
        <f t="shared" si="2"/>
        <v/>
      </c>
      <c r="P77" s="82"/>
      <c r="Q77" s="94" t="str">
        <f>IF(OR(D77="",P77=""),"",IF(D77="Buy",MROUND(P77*(1-Settings!$K$6),Settings!$K$10),MROUND(P77*(1+Settings!$K$6),Settings!$K$10)))</f>
        <v/>
      </c>
      <c r="R77" s="95" t="str">
        <f t="shared" si="3"/>
        <v/>
      </c>
      <c r="S77" s="82"/>
      <c r="T77" s="94" t="str">
        <f>IF(OR(D77="",S77=""),"",IF(D77="Buy",MROUND(S77*(1-Settings!$K$6),Settings!$K$10),MROUND(S77*(1+Settings!$K$6),Settings!$K$10)))</f>
        <v/>
      </c>
      <c r="U77" s="67"/>
      <c r="V77" s="109" t="str">
        <f t="shared" si="4"/>
        <v/>
      </c>
      <c r="W77" s="110"/>
      <c r="X77" s="109" t="str">
        <f t="shared" si="5"/>
        <v/>
      </c>
      <c r="Y77" s="109" t="str">
        <f t="shared" si="6"/>
        <v/>
      </c>
      <c r="Z77" s="82"/>
    </row>
    <row r="78" ht="20" customHeight="1" spans="1:26">
      <c r="A78" s="64">
        <v>65</v>
      </c>
      <c r="B78" s="65"/>
      <c r="C78" s="66"/>
      <c r="D78" s="67"/>
      <c r="E78" s="82"/>
      <c r="F78" s="82"/>
      <c r="G78" s="82"/>
      <c r="H78" s="82"/>
      <c r="I78" s="93" t="str">
        <f t="shared" ref="I78:I141" si="7">IF(D78="Buy","Enter New 2DLL",IF(D78="Sell","Enter New 2DHH",""))</f>
        <v/>
      </c>
      <c r="J78" s="82"/>
      <c r="K78" s="94" t="str">
        <f>IF(OR(D78="",E78=""),"",IF(J78="",G78,IF(D78="Buy",MROUND(MAX(E78*(1-Settings!$K$8),J78*(1-Settings!$K$6)),Settings!$K$10),MROUND(MIN(E78*(1+Settings!$K$8),J78*(1+Settings!$K$6)),Settings!$K$10))))</f>
        <v/>
      </c>
      <c r="L78" s="95" t="str">
        <f t="shared" ref="L78:L141" si="8">IF(D78="Buy","Enter New 4DLL",IF(D78="Sell","Enter New 4DHH",""))</f>
        <v/>
      </c>
      <c r="M78" s="82"/>
      <c r="N78" s="94" t="str">
        <f>IF(OR(D78="",E78=""),"",IF(M78="",H78,IF(D78="Buy",MROUND(MAX(E78*(1-Settings!$K$8),M78*(1-Settings!$K$6)),Settings!$K$10),MROUND(MIN(E78*(1+Settings!$K$8),M78*(1+Settings!$K$6)),Settings!$K$10))))</f>
        <v/>
      </c>
      <c r="O78" s="95" t="str">
        <f t="shared" ref="O78:O141" si="9">IF(D78="Buy","Enter First 15-Minute Low",IF(D78="Sell","Enter First 15-Minute High",""))</f>
        <v/>
      </c>
      <c r="P78" s="82"/>
      <c r="Q78" s="94" t="str">
        <f>IF(OR(D78="",P78=""),"",IF(D78="Buy",MROUND(P78*(1-Settings!$K$6),Settings!$K$10),MROUND(P78*(1+Settings!$K$6),Settings!$K$10)))</f>
        <v/>
      </c>
      <c r="R78" s="95" t="str">
        <f t="shared" ref="R78:R141" si="10">IF(D78="Buy","Enter First 15-Minute Low",IF(D78="Sell","Enter First 15-Minute High",""))</f>
        <v/>
      </c>
      <c r="S78" s="82"/>
      <c r="T78" s="94" t="str">
        <f>IF(OR(D78="",S78=""),"",IF(D78="Buy",MROUND(S78*(1-Settings!$K$6),Settings!$K$10),MROUND(S78*(1+Settings!$K$6),Settings!$K$10)))</f>
        <v/>
      </c>
      <c r="U78" s="67"/>
      <c r="V78" s="109" t="str">
        <f t="shared" ref="V78:V141" si="11">IF(OR(D78="",E78="",U78="",$C$8="",$C$9=""),"",IF(U78="Target Hit",IF(F78="","",IF(D78="Buy",(F78-E78)*($C$8/2)*$C$9,(E78-F78)*($C$8/2)*$C$9)),IF(U78="Rollover",IF(Z78="","",IF(D78="Buy",(Z78-E78)*$C$8*$C$9,(E78-Z78)*$C$8*$C$9)),IF(U78="Stoploss 1 Hit",IF(K78="","",IF(D78="Buy",(K78-E78)*$C$8*$C$9,(E78-K78)*$C$8*$C$9)),IF(OR(AND(D78="Buy",U78="Gap Down Stoploss 1 Hit"),AND(D78="Sell",U78="Gap Up Stoploss 1 Hit")),IF(Q78="","",IF(D78="Buy",(Q78-E78)*$C$8*$C$9,(E78-Q78)*$C$8*$C$9)),"")))))</f>
        <v/>
      </c>
      <c r="W78" s="110"/>
      <c r="X78" s="109" t="str">
        <f t="shared" ref="X78:X141" si="12">IF(OR(D78="",E78="",U78&lt;&gt;"Target Hit",W78="",$C$8="",$C$9=""),"",IF(W78="Stoploss 2 Hit",IF(N78="","",IF(D78="Buy",(N78-E78)*($C$8/2)*$C$9,(E78-N78)*($C$8/2)*$C$9)),IF(W78="Rollover",IF(Z78="","",IF(D78="Buy",(Z78-E78)*($C$8/2)*$C$9,(E78-Z78)*($C$8/2)*$C$9)),IF(OR(AND(D78="Buy",W78="Gap Down Stoploss 2 Hit"),AND(D78="Sell",W78="Gap Up Stoploss 2 Hit")),IF(T78="","",IF(D78="Buy",(T78-E78)*($C$8/2)*$C$9,(E78-T78)*($C$8/2)*$C$9)),""))))</f>
        <v/>
      </c>
      <c r="Y78" s="109" t="str">
        <f t="shared" ref="Y78:Y141" si="13">IF(AND(V78="",X78=""),"",SUM(V78,X78))</f>
        <v/>
      </c>
      <c r="Z78" s="82"/>
    </row>
    <row r="79" ht="20" customHeight="1" spans="1:26">
      <c r="A79" s="64">
        <v>66</v>
      </c>
      <c r="B79" s="65"/>
      <c r="C79" s="66"/>
      <c r="D79" s="67"/>
      <c r="E79" s="82"/>
      <c r="F79" s="82"/>
      <c r="G79" s="82"/>
      <c r="H79" s="82"/>
      <c r="I79" s="93" t="str">
        <f t="shared" si="7"/>
        <v/>
      </c>
      <c r="J79" s="82"/>
      <c r="K79" s="94" t="str">
        <f>IF(OR(D79="",E79=""),"",IF(J79="",G79,IF(D79="Buy",MROUND(MAX(E79*(1-Settings!$K$8),J79*(1-Settings!$K$6)),Settings!$K$10),MROUND(MIN(E79*(1+Settings!$K$8),J79*(1+Settings!$K$6)),Settings!$K$10))))</f>
        <v/>
      </c>
      <c r="L79" s="95" t="str">
        <f t="shared" si="8"/>
        <v/>
      </c>
      <c r="M79" s="82"/>
      <c r="N79" s="94" t="str">
        <f>IF(OR(D79="",E79=""),"",IF(M79="",H79,IF(D79="Buy",MROUND(MAX(E79*(1-Settings!$K$8),M79*(1-Settings!$K$6)),Settings!$K$10),MROUND(MIN(E79*(1+Settings!$K$8),M79*(1+Settings!$K$6)),Settings!$K$10))))</f>
        <v/>
      </c>
      <c r="O79" s="95" t="str">
        <f t="shared" si="9"/>
        <v/>
      </c>
      <c r="P79" s="82"/>
      <c r="Q79" s="94" t="str">
        <f>IF(OR(D79="",P79=""),"",IF(D79="Buy",MROUND(P79*(1-Settings!$K$6),Settings!$K$10),MROUND(P79*(1+Settings!$K$6),Settings!$K$10)))</f>
        <v/>
      </c>
      <c r="R79" s="95" t="str">
        <f t="shared" si="10"/>
        <v/>
      </c>
      <c r="S79" s="82"/>
      <c r="T79" s="94" t="str">
        <f>IF(OR(D79="",S79=""),"",IF(D79="Buy",MROUND(S79*(1-Settings!$K$6),Settings!$K$10),MROUND(S79*(1+Settings!$K$6),Settings!$K$10)))</f>
        <v/>
      </c>
      <c r="U79" s="67"/>
      <c r="V79" s="109" t="str">
        <f t="shared" si="11"/>
        <v/>
      </c>
      <c r="W79" s="110"/>
      <c r="X79" s="109" t="str">
        <f t="shared" si="12"/>
        <v/>
      </c>
      <c r="Y79" s="109" t="str">
        <f t="shared" si="13"/>
        <v/>
      </c>
      <c r="Z79" s="82"/>
    </row>
    <row r="80" ht="20" customHeight="1" spans="1:26">
      <c r="A80" s="64">
        <v>67</v>
      </c>
      <c r="B80" s="65"/>
      <c r="C80" s="66"/>
      <c r="D80" s="67"/>
      <c r="E80" s="82"/>
      <c r="F80" s="82"/>
      <c r="G80" s="82"/>
      <c r="H80" s="82"/>
      <c r="I80" s="93" t="str">
        <f t="shared" si="7"/>
        <v/>
      </c>
      <c r="J80" s="82"/>
      <c r="K80" s="94" t="str">
        <f>IF(OR(D80="",E80=""),"",IF(J80="",G80,IF(D80="Buy",MROUND(MAX(E80*(1-Settings!$K$8),J80*(1-Settings!$K$6)),Settings!$K$10),MROUND(MIN(E80*(1+Settings!$K$8),J80*(1+Settings!$K$6)),Settings!$K$10))))</f>
        <v/>
      </c>
      <c r="L80" s="95" t="str">
        <f t="shared" si="8"/>
        <v/>
      </c>
      <c r="M80" s="82"/>
      <c r="N80" s="94" t="str">
        <f>IF(OR(D80="",E80=""),"",IF(M80="",H80,IF(D80="Buy",MROUND(MAX(E80*(1-Settings!$K$8),M80*(1-Settings!$K$6)),Settings!$K$10),MROUND(MIN(E80*(1+Settings!$K$8),M80*(1+Settings!$K$6)),Settings!$K$10))))</f>
        <v/>
      </c>
      <c r="O80" s="95" t="str">
        <f t="shared" si="9"/>
        <v/>
      </c>
      <c r="P80" s="82"/>
      <c r="Q80" s="94" t="str">
        <f>IF(OR(D80="",P80=""),"",IF(D80="Buy",MROUND(P80*(1-Settings!$K$6),Settings!$K$10),MROUND(P80*(1+Settings!$K$6),Settings!$K$10)))</f>
        <v/>
      </c>
      <c r="R80" s="95" t="str">
        <f t="shared" si="10"/>
        <v/>
      </c>
      <c r="S80" s="82"/>
      <c r="T80" s="94" t="str">
        <f>IF(OR(D80="",S80=""),"",IF(D80="Buy",MROUND(S80*(1-Settings!$K$6),Settings!$K$10),MROUND(S80*(1+Settings!$K$6),Settings!$K$10)))</f>
        <v/>
      </c>
      <c r="U80" s="67"/>
      <c r="V80" s="109" t="str">
        <f t="shared" si="11"/>
        <v/>
      </c>
      <c r="W80" s="110"/>
      <c r="X80" s="109" t="str">
        <f t="shared" si="12"/>
        <v/>
      </c>
      <c r="Y80" s="109" t="str">
        <f t="shared" si="13"/>
        <v/>
      </c>
      <c r="Z80" s="82"/>
    </row>
    <row r="81" ht="20" customHeight="1" spans="1:26">
      <c r="A81" s="64">
        <v>68</v>
      </c>
      <c r="B81" s="65"/>
      <c r="C81" s="66"/>
      <c r="D81" s="67"/>
      <c r="E81" s="82"/>
      <c r="F81" s="82"/>
      <c r="G81" s="82"/>
      <c r="H81" s="82"/>
      <c r="I81" s="93" t="str">
        <f t="shared" si="7"/>
        <v/>
      </c>
      <c r="J81" s="82"/>
      <c r="K81" s="94" t="str">
        <f>IF(OR(D81="",E81=""),"",IF(J81="",G81,IF(D81="Buy",MROUND(MAX(E81*(1-Settings!$K$8),J81*(1-Settings!$K$6)),Settings!$K$10),MROUND(MIN(E81*(1+Settings!$K$8),J81*(1+Settings!$K$6)),Settings!$K$10))))</f>
        <v/>
      </c>
      <c r="L81" s="95" t="str">
        <f t="shared" si="8"/>
        <v/>
      </c>
      <c r="M81" s="82"/>
      <c r="N81" s="94" t="str">
        <f>IF(OR(D81="",E81=""),"",IF(M81="",H81,IF(D81="Buy",MROUND(MAX(E81*(1-Settings!$K$8),M81*(1-Settings!$K$6)),Settings!$K$10),MROUND(MIN(E81*(1+Settings!$K$8),M81*(1+Settings!$K$6)),Settings!$K$10))))</f>
        <v/>
      </c>
      <c r="O81" s="95" t="str">
        <f t="shared" si="9"/>
        <v/>
      </c>
      <c r="P81" s="82"/>
      <c r="Q81" s="94" t="str">
        <f>IF(OR(D81="",P81=""),"",IF(D81="Buy",MROUND(P81*(1-Settings!$K$6),Settings!$K$10),MROUND(P81*(1+Settings!$K$6),Settings!$K$10)))</f>
        <v/>
      </c>
      <c r="R81" s="95" t="str">
        <f t="shared" si="10"/>
        <v/>
      </c>
      <c r="S81" s="82"/>
      <c r="T81" s="94" t="str">
        <f>IF(OR(D81="",S81=""),"",IF(D81="Buy",MROUND(S81*(1-Settings!$K$6),Settings!$K$10),MROUND(S81*(1+Settings!$K$6),Settings!$K$10)))</f>
        <v/>
      </c>
      <c r="U81" s="67"/>
      <c r="V81" s="109" t="str">
        <f t="shared" si="11"/>
        <v/>
      </c>
      <c r="W81" s="110"/>
      <c r="X81" s="109" t="str">
        <f t="shared" si="12"/>
        <v/>
      </c>
      <c r="Y81" s="109" t="str">
        <f t="shared" si="13"/>
        <v/>
      </c>
      <c r="Z81" s="82"/>
    </row>
    <row r="82" ht="20" customHeight="1" spans="1:26">
      <c r="A82" s="64">
        <v>69</v>
      </c>
      <c r="B82" s="65"/>
      <c r="C82" s="66"/>
      <c r="D82" s="67"/>
      <c r="E82" s="82"/>
      <c r="F82" s="82"/>
      <c r="G82" s="82"/>
      <c r="H82" s="82"/>
      <c r="I82" s="93" t="str">
        <f t="shared" si="7"/>
        <v/>
      </c>
      <c r="J82" s="82"/>
      <c r="K82" s="94" t="str">
        <f>IF(OR(D82="",E82=""),"",IF(J82="",G82,IF(D82="Buy",MROUND(MAX(E82*(1-Settings!$K$8),J82*(1-Settings!$K$6)),Settings!$K$10),MROUND(MIN(E82*(1+Settings!$K$8),J82*(1+Settings!$K$6)),Settings!$K$10))))</f>
        <v/>
      </c>
      <c r="L82" s="95" t="str">
        <f t="shared" si="8"/>
        <v/>
      </c>
      <c r="M82" s="82"/>
      <c r="N82" s="94" t="str">
        <f>IF(OR(D82="",E82=""),"",IF(M82="",H82,IF(D82="Buy",MROUND(MAX(E82*(1-Settings!$K$8),M82*(1-Settings!$K$6)),Settings!$K$10),MROUND(MIN(E82*(1+Settings!$K$8),M82*(1+Settings!$K$6)),Settings!$K$10))))</f>
        <v/>
      </c>
      <c r="O82" s="95" t="str">
        <f t="shared" si="9"/>
        <v/>
      </c>
      <c r="P82" s="82"/>
      <c r="Q82" s="94" t="str">
        <f>IF(OR(D82="",P82=""),"",IF(D82="Buy",MROUND(P82*(1-Settings!$K$6),Settings!$K$10),MROUND(P82*(1+Settings!$K$6),Settings!$K$10)))</f>
        <v/>
      </c>
      <c r="R82" s="95" t="str">
        <f t="shared" si="10"/>
        <v/>
      </c>
      <c r="S82" s="82"/>
      <c r="T82" s="94" t="str">
        <f>IF(OR(D82="",S82=""),"",IF(D82="Buy",MROUND(S82*(1-Settings!$K$6),Settings!$K$10),MROUND(S82*(1+Settings!$K$6),Settings!$K$10)))</f>
        <v/>
      </c>
      <c r="U82" s="67"/>
      <c r="V82" s="109" t="str">
        <f t="shared" si="11"/>
        <v/>
      </c>
      <c r="W82" s="110"/>
      <c r="X82" s="109" t="str">
        <f t="shared" si="12"/>
        <v/>
      </c>
      <c r="Y82" s="109" t="str">
        <f t="shared" si="13"/>
        <v/>
      </c>
      <c r="Z82" s="82"/>
    </row>
    <row r="83" ht="20" customHeight="1" spans="1:26">
      <c r="A83" s="64">
        <v>70</v>
      </c>
      <c r="B83" s="65"/>
      <c r="C83" s="66"/>
      <c r="D83" s="67"/>
      <c r="E83" s="82"/>
      <c r="F83" s="82"/>
      <c r="G83" s="82"/>
      <c r="H83" s="82"/>
      <c r="I83" s="93" t="str">
        <f t="shared" si="7"/>
        <v/>
      </c>
      <c r="J83" s="82"/>
      <c r="K83" s="94" t="str">
        <f>IF(OR(D83="",E83=""),"",IF(J83="",G83,IF(D83="Buy",MROUND(MAX(E83*(1-Settings!$K$8),J83*(1-Settings!$K$6)),Settings!$K$10),MROUND(MIN(E83*(1+Settings!$K$8),J83*(1+Settings!$K$6)),Settings!$K$10))))</f>
        <v/>
      </c>
      <c r="L83" s="95" t="str">
        <f t="shared" si="8"/>
        <v/>
      </c>
      <c r="M83" s="82"/>
      <c r="N83" s="94" t="str">
        <f>IF(OR(D83="",E83=""),"",IF(M83="",H83,IF(D83="Buy",MROUND(MAX(E83*(1-Settings!$K$8),M83*(1-Settings!$K$6)),Settings!$K$10),MROUND(MIN(E83*(1+Settings!$K$8),M83*(1+Settings!$K$6)),Settings!$K$10))))</f>
        <v/>
      </c>
      <c r="O83" s="95" t="str">
        <f t="shared" si="9"/>
        <v/>
      </c>
      <c r="P83" s="82"/>
      <c r="Q83" s="94" t="str">
        <f>IF(OR(D83="",P83=""),"",IF(D83="Buy",MROUND(P83*(1-Settings!$K$6),Settings!$K$10),MROUND(P83*(1+Settings!$K$6),Settings!$K$10)))</f>
        <v/>
      </c>
      <c r="R83" s="95" t="str">
        <f t="shared" si="10"/>
        <v/>
      </c>
      <c r="S83" s="82"/>
      <c r="T83" s="94" t="str">
        <f>IF(OR(D83="",S83=""),"",IF(D83="Buy",MROUND(S83*(1-Settings!$K$6),Settings!$K$10),MROUND(S83*(1+Settings!$K$6),Settings!$K$10)))</f>
        <v/>
      </c>
      <c r="U83" s="67"/>
      <c r="V83" s="109" t="str">
        <f t="shared" si="11"/>
        <v/>
      </c>
      <c r="W83" s="110"/>
      <c r="X83" s="109" t="str">
        <f t="shared" si="12"/>
        <v/>
      </c>
      <c r="Y83" s="109" t="str">
        <f t="shared" si="13"/>
        <v/>
      </c>
      <c r="Z83" s="82"/>
    </row>
    <row r="84" ht="20" customHeight="1" spans="1:26">
      <c r="A84" s="64">
        <v>71</v>
      </c>
      <c r="B84" s="65"/>
      <c r="C84" s="66"/>
      <c r="D84" s="67"/>
      <c r="E84" s="82"/>
      <c r="F84" s="82"/>
      <c r="G84" s="82"/>
      <c r="H84" s="82"/>
      <c r="I84" s="93" t="str">
        <f t="shared" si="7"/>
        <v/>
      </c>
      <c r="J84" s="82"/>
      <c r="K84" s="94" t="str">
        <f>IF(OR(D84="",E84=""),"",IF(J84="",G84,IF(D84="Buy",MROUND(MAX(E84*(1-Settings!$K$8),J84*(1-Settings!$K$6)),Settings!$K$10),MROUND(MIN(E84*(1+Settings!$K$8),J84*(1+Settings!$K$6)),Settings!$K$10))))</f>
        <v/>
      </c>
      <c r="L84" s="95" t="str">
        <f t="shared" si="8"/>
        <v/>
      </c>
      <c r="M84" s="82"/>
      <c r="N84" s="94" t="str">
        <f>IF(OR(D84="",E84=""),"",IF(M84="",H84,IF(D84="Buy",MROUND(MAX(E84*(1-Settings!$K$8),M84*(1-Settings!$K$6)),Settings!$K$10),MROUND(MIN(E84*(1+Settings!$K$8),M84*(1+Settings!$K$6)),Settings!$K$10))))</f>
        <v/>
      </c>
      <c r="O84" s="95" t="str">
        <f t="shared" si="9"/>
        <v/>
      </c>
      <c r="P84" s="82"/>
      <c r="Q84" s="94" t="str">
        <f>IF(OR(D84="",P84=""),"",IF(D84="Buy",MROUND(P84*(1-Settings!$K$6),Settings!$K$10),MROUND(P84*(1+Settings!$K$6),Settings!$K$10)))</f>
        <v/>
      </c>
      <c r="R84" s="95" t="str">
        <f t="shared" si="10"/>
        <v/>
      </c>
      <c r="S84" s="82"/>
      <c r="T84" s="94" t="str">
        <f>IF(OR(D84="",S84=""),"",IF(D84="Buy",MROUND(S84*(1-Settings!$K$6),Settings!$K$10),MROUND(S84*(1+Settings!$K$6),Settings!$K$10)))</f>
        <v/>
      </c>
      <c r="U84" s="67"/>
      <c r="V84" s="109" t="str">
        <f t="shared" si="11"/>
        <v/>
      </c>
      <c r="W84" s="110"/>
      <c r="X84" s="109" t="str">
        <f t="shared" si="12"/>
        <v/>
      </c>
      <c r="Y84" s="109" t="str">
        <f t="shared" si="13"/>
        <v/>
      </c>
      <c r="Z84" s="82"/>
    </row>
    <row r="85" ht="20" customHeight="1" spans="1:26">
      <c r="A85" s="64">
        <v>72</v>
      </c>
      <c r="B85" s="65"/>
      <c r="C85" s="66"/>
      <c r="D85" s="67"/>
      <c r="E85" s="82"/>
      <c r="F85" s="82"/>
      <c r="G85" s="82"/>
      <c r="H85" s="82"/>
      <c r="I85" s="93" t="str">
        <f t="shared" si="7"/>
        <v/>
      </c>
      <c r="J85" s="82"/>
      <c r="K85" s="94" t="str">
        <f>IF(OR(D85="",E85=""),"",IF(J85="",G85,IF(D85="Buy",MROUND(MAX(E85*(1-Settings!$K$8),J85*(1-Settings!$K$6)),Settings!$K$10),MROUND(MIN(E85*(1+Settings!$K$8),J85*(1+Settings!$K$6)),Settings!$K$10))))</f>
        <v/>
      </c>
      <c r="L85" s="95" t="str">
        <f t="shared" si="8"/>
        <v/>
      </c>
      <c r="M85" s="82"/>
      <c r="N85" s="94" t="str">
        <f>IF(OR(D85="",E85=""),"",IF(M85="",H85,IF(D85="Buy",MROUND(MAX(E85*(1-Settings!$K$8),M85*(1-Settings!$K$6)),Settings!$K$10),MROUND(MIN(E85*(1+Settings!$K$8),M85*(1+Settings!$K$6)),Settings!$K$10))))</f>
        <v/>
      </c>
      <c r="O85" s="95" t="str">
        <f t="shared" si="9"/>
        <v/>
      </c>
      <c r="P85" s="82"/>
      <c r="Q85" s="94" t="str">
        <f>IF(OR(D85="",P85=""),"",IF(D85="Buy",MROUND(P85*(1-Settings!$K$6),Settings!$K$10),MROUND(P85*(1+Settings!$K$6),Settings!$K$10)))</f>
        <v/>
      </c>
      <c r="R85" s="95" t="str">
        <f t="shared" si="10"/>
        <v/>
      </c>
      <c r="S85" s="82"/>
      <c r="T85" s="94" t="str">
        <f>IF(OR(D85="",S85=""),"",IF(D85="Buy",MROUND(S85*(1-Settings!$K$6),Settings!$K$10),MROUND(S85*(1+Settings!$K$6),Settings!$K$10)))</f>
        <v/>
      </c>
      <c r="U85" s="67"/>
      <c r="V85" s="109" t="str">
        <f t="shared" si="11"/>
        <v/>
      </c>
      <c r="W85" s="110"/>
      <c r="X85" s="109" t="str">
        <f t="shared" si="12"/>
        <v/>
      </c>
      <c r="Y85" s="109" t="str">
        <f t="shared" si="13"/>
        <v/>
      </c>
      <c r="Z85" s="82"/>
    </row>
    <row r="86" ht="20" customHeight="1" spans="1:26">
      <c r="A86" s="64">
        <v>73</v>
      </c>
      <c r="B86" s="65"/>
      <c r="C86" s="66"/>
      <c r="D86" s="67"/>
      <c r="E86" s="82"/>
      <c r="F86" s="82"/>
      <c r="G86" s="82"/>
      <c r="H86" s="82"/>
      <c r="I86" s="93" t="str">
        <f t="shared" si="7"/>
        <v/>
      </c>
      <c r="J86" s="82"/>
      <c r="K86" s="94" t="str">
        <f>IF(OR(D86="",E86=""),"",IF(J86="",G86,IF(D86="Buy",MROUND(MAX(E86*(1-Settings!$K$8),J86*(1-Settings!$K$6)),Settings!$K$10),MROUND(MIN(E86*(1+Settings!$K$8),J86*(1+Settings!$K$6)),Settings!$K$10))))</f>
        <v/>
      </c>
      <c r="L86" s="95" t="str">
        <f t="shared" si="8"/>
        <v/>
      </c>
      <c r="M86" s="82"/>
      <c r="N86" s="94" t="str">
        <f>IF(OR(D86="",E86=""),"",IF(M86="",H86,IF(D86="Buy",MROUND(MAX(E86*(1-Settings!$K$8),M86*(1-Settings!$K$6)),Settings!$K$10),MROUND(MIN(E86*(1+Settings!$K$8),M86*(1+Settings!$K$6)),Settings!$K$10))))</f>
        <v/>
      </c>
      <c r="O86" s="95" t="str">
        <f t="shared" si="9"/>
        <v/>
      </c>
      <c r="P86" s="82"/>
      <c r="Q86" s="94" t="str">
        <f>IF(OR(D86="",P86=""),"",IF(D86="Buy",MROUND(P86*(1-Settings!$K$6),Settings!$K$10),MROUND(P86*(1+Settings!$K$6),Settings!$K$10)))</f>
        <v/>
      </c>
      <c r="R86" s="95" t="str">
        <f t="shared" si="10"/>
        <v/>
      </c>
      <c r="S86" s="82"/>
      <c r="T86" s="94" t="str">
        <f>IF(OR(D86="",S86=""),"",IF(D86="Buy",MROUND(S86*(1-Settings!$K$6),Settings!$K$10),MROUND(S86*(1+Settings!$K$6),Settings!$K$10)))</f>
        <v/>
      </c>
      <c r="U86" s="67"/>
      <c r="V86" s="109" t="str">
        <f t="shared" si="11"/>
        <v/>
      </c>
      <c r="W86" s="110"/>
      <c r="X86" s="109" t="str">
        <f t="shared" si="12"/>
        <v/>
      </c>
      <c r="Y86" s="109" t="str">
        <f t="shared" si="13"/>
        <v/>
      </c>
      <c r="Z86" s="82"/>
    </row>
    <row r="87" ht="20" customHeight="1" spans="1:26">
      <c r="A87" s="64">
        <v>74</v>
      </c>
      <c r="B87" s="65"/>
      <c r="C87" s="66"/>
      <c r="D87" s="67"/>
      <c r="E87" s="82"/>
      <c r="F87" s="82"/>
      <c r="G87" s="82"/>
      <c r="H87" s="82"/>
      <c r="I87" s="93" t="str">
        <f t="shared" si="7"/>
        <v/>
      </c>
      <c r="J87" s="82"/>
      <c r="K87" s="94" t="str">
        <f>IF(OR(D87="",E87=""),"",IF(J87="",G87,IF(D87="Buy",MROUND(MAX(E87*(1-Settings!$K$8),J87*(1-Settings!$K$6)),Settings!$K$10),MROUND(MIN(E87*(1+Settings!$K$8),J87*(1+Settings!$K$6)),Settings!$K$10))))</f>
        <v/>
      </c>
      <c r="L87" s="95" t="str">
        <f t="shared" si="8"/>
        <v/>
      </c>
      <c r="M87" s="82"/>
      <c r="N87" s="94" t="str">
        <f>IF(OR(D87="",E87=""),"",IF(M87="",H87,IF(D87="Buy",MROUND(MAX(E87*(1-Settings!$K$8),M87*(1-Settings!$K$6)),Settings!$K$10),MROUND(MIN(E87*(1+Settings!$K$8),M87*(1+Settings!$K$6)),Settings!$K$10))))</f>
        <v/>
      </c>
      <c r="O87" s="95" t="str">
        <f t="shared" si="9"/>
        <v/>
      </c>
      <c r="P87" s="82"/>
      <c r="Q87" s="94" t="str">
        <f>IF(OR(D87="",P87=""),"",IF(D87="Buy",MROUND(P87*(1-Settings!$K$6),Settings!$K$10),MROUND(P87*(1+Settings!$K$6),Settings!$K$10)))</f>
        <v/>
      </c>
      <c r="R87" s="95" t="str">
        <f t="shared" si="10"/>
        <v/>
      </c>
      <c r="S87" s="82"/>
      <c r="T87" s="94" t="str">
        <f>IF(OR(D87="",S87=""),"",IF(D87="Buy",MROUND(S87*(1-Settings!$K$6),Settings!$K$10),MROUND(S87*(1+Settings!$K$6),Settings!$K$10)))</f>
        <v/>
      </c>
      <c r="U87" s="67"/>
      <c r="V87" s="109" t="str">
        <f t="shared" si="11"/>
        <v/>
      </c>
      <c r="W87" s="110"/>
      <c r="X87" s="109" t="str">
        <f t="shared" si="12"/>
        <v/>
      </c>
      <c r="Y87" s="109" t="str">
        <f t="shared" si="13"/>
        <v/>
      </c>
      <c r="Z87" s="82"/>
    </row>
    <row r="88" ht="20" customHeight="1" spans="1:26">
      <c r="A88" s="64">
        <v>75</v>
      </c>
      <c r="B88" s="65"/>
      <c r="C88" s="66"/>
      <c r="D88" s="67"/>
      <c r="E88" s="82"/>
      <c r="F88" s="82"/>
      <c r="G88" s="82"/>
      <c r="H88" s="82"/>
      <c r="I88" s="93" t="str">
        <f t="shared" si="7"/>
        <v/>
      </c>
      <c r="J88" s="82"/>
      <c r="K88" s="94" t="str">
        <f>IF(OR(D88="",E88=""),"",IF(J88="",G88,IF(D88="Buy",MROUND(MAX(E88*(1-Settings!$K$8),J88*(1-Settings!$K$6)),Settings!$K$10),MROUND(MIN(E88*(1+Settings!$K$8),J88*(1+Settings!$K$6)),Settings!$K$10))))</f>
        <v/>
      </c>
      <c r="L88" s="95" t="str">
        <f t="shared" si="8"/>
        <v/>
      </c>
      <c r="M88" s="82"/>
      <c r="N88" s="94" t="str">
        <f>IF(OR(D88="",E88=""),"",IF(M88="",H88,IF(D88="Buy",MROUND(MAX(E88*(1-Settings!$K$8),M88*(1-Settings!$K$6)),Settings!$K$10),MROUND(MIN(E88*(1+Settings!$K$8),M88*(1+Settings!$K$6)),Settings!$K$10))))</f>
        <v/>
      </c>
      <c r="O88" s="95" t="str">
        <f t="shared" si="9"/>
        <v/>
      </c>
      <c r="P88" s="82"/>
      <c r="Q88" s="94" t="str">
        <f>IF(OR(D88="",P88=""),"",IF(D88="Buy",MROUND(P88*(1-Settings!$K$6),Settings!$K$10),MROUND(P88*(1+Settings!$K$6),Settings!$K$10)))</f>
        <v/>
      </c>
      <c r="R88" s="95" t="str">
        <f t="shared" si="10"/>
        <v/>
      </c>
      <c r="S88" s="82"/>
      <c r="T88" s="94" t="str">
        <f>IF(OR(D88="",S88=""),"",IF(D88="Buy",MROUND(S88*(1-Settings!$K$6),Settings!$K$10),MROUND(S88*(1+Settings!$K$6),Settings!$K$10)))</f>
        <v/>
      </c>
      <c r="U88" s="67"/>
      <c r="V88" s="109" t="str">
        <f t="shared" si="11"/>
        <v/>
      </c>
      <c r="W88" s="110"/>
      <c r="X88" s="109" t="str">
        <f t="shared" si="12"/>
        <v/>
      </c>
      <c r="Y88" s="109" t="str">
        <f t="shared" si="13"/>
        <v/>
      </c>
      <c r="Z88" s="82"/>
    </row>
    <row r="89" ht="20" customHeight="1" spans="1:26">
      <c r="A89" s="64">
        <v>76</v>
      </c>
      <c r="B89" s="65"/>
      <c r="C89" s="66"/>
      <c r="D89" s="67"/>
      <c r="E89" s="82"/>
      <c r="F89" s="82"/>
      <c r="G89" s="82"/>
      <c r="H89" s="82"/>
      <c r="I89" s="93" t="str">
        <f t="shared" si="7"/>
        <v/>
      </c>
      <c r="J89" s="82"/>
      <c r="K89" s="94" t="str">
        <f>IF(OR(D89="",E89=""),"",IF(J89="",G89,IF(D89="Buy",MROUND(MAX(E89*(1-Settings!$K$8),J89*(1-Settings!$K$6)),Settings!$K$10),MROUND(MIN(E89*(1+Settings!$K$8),J89*(1+Settings!$K$6)),Settings!$K$10))))</f>
        <v/>
      </c>
      <c r="L89" s="95" t="str">
        <f t="shared" si="8"/>
        <v/>
      </c>
      <c r="M89" s="82"/>
      <c r="N89" s="94" t="str">
        <f>IF(OR(D89="",E89=""),"",IF(M89="",H89,IF(D89="Buy",MROUND(MAX(E89*(1-Settings!$K$8),M89*(1-Settings!$K$6)),Settings!$K$10),MROUND(MIN(E89*(1+Settings!$K$8),M89*(1+Settings!$K$6)),Settings!$K$10))))</f>
        <v/>
      </c>
      <c r="O89" s="95" t="str">
        <f t="shared" si="9"/>
        <v/>
      </c>
      <c r="P89" s="82"/>
      <c r="Q89" s="94" t="str">
        <f>IF(OR(D89="",P89=""),"",IF(D89="Buy",MROUND(P89*(1-Settings!$K$6),Settings!$K$10),MROUND(P89*(1+Settings!$K$6),Settings!$K$10)))</f>
        <v/>
      </c>
      <c r="R89" s="95" t="str">
        <f t="shared" si="10"/>
        <v/>
      </c>
      <c r="S89" s="82"/>
      <c r="T89" s="94" t="str">
        <f>IF(OR(D89="",S89=""),"",IF(D89="Buy",MROUND(S89*(1-Settings!$K$6),Settings!$K$10),MROUND(S89*(1+Settings!$K$6),Settings!$K$10)))</f>
        <v/>
      </c>
      <c r="U89" s="67"/>
      <c r="V89" s="109" t="str">
        <f t="shared" si="11"/>
        <v/>
      </c>
      <c r="W89" s="110"/>
      <c r="X89" s="109" t="str">
        <f t="shared" si="12"/>
        <v/>
      </c>
      <c r="Y89" s="109" t="str">
        <f t="shared" si="13"/>
        <v/>
      </c>
      <c r="Z89" s="82"/>
    </row>
    <row r="90" ht="20" customHeight="1" spans="1:26">
      <c r="A90" s="64">
        <v>77</v>
      </c>
      <c r="B90" s="65"/>
      <c r="C90" s="66"/>
      <c r="D90" s="67"/>
      <c r="E90" s="82"/>
      <c r="F90" s="82"/>
      <c r="G90" s="82"/>
      <c r="H90" s="82"/>
      <c r="I90" s="93" t="str">
        <f t="shared" si="7"/>
        <v/>
      </c>
      <c r="J90" s="82"/>
      <c r="K90" s="94" t="str">
        <f>IF(OR(D90="",E90=""),"",IF(J90="",G90,IF(D90="Buy",MROUND(MAX(E90*(1-Settings!$K$8),J90*(1-Settings!$K$6)),Settings!$K$10),MROUND(MIN(E90*(1+Settings!$K$8),J90*(1+Settings!$K$6)),Settings!$K$10))))</f>
        <v/>
      </c>
      <c r="L90" s="95" t="str">
        <f t="shared" si="8"/>
        <v/>
      </c>
      <c r="M90" s="82"/>
      <c r="N90" s="94" t="str">
        <f>IF(OR(D90="",E90=""),"",IF(M90="",H90,IF(D90="Buy",MROUND(MAX(E90*(1-Settings!$K$8),M90*(1-Settings!$K$6)),Settings!$K$10),MROUND(MIN(E90*(1+Settings!$K$8),M90*(1+Settings!$K$6)),Settings!$K$10))))</f>
        <v/>
      </c>
      <c r="O90" s="95" t="str">
        <f t="shared" si="9"/>
        <v/>
      </c>
      <c r="P90" s="82"/>
      <c r="Q90" s="94" t="str">
        <f>IF(OR(D90="",P90=""),"",IF(D90="Buy",MROUND(P90*(1-Settings!$K$6),Settings!$K$10),MROUND(P90*(1+Settings!$K$6),Settings!$K$10)))</f>
        <v/>
      </c>
      <c r="R90" s="95" t="str">
        <f t="shared" si="10"/>
        <v/>
      </c>
      <c r="S90" s="82"/>
      <c r="T90" s="94" t="str">
        <f>IF(OR(D90="",S90=""),"",IF(D90="Buy",MROUND(S90*(1-Settings!$K$6),Settings!$K$10),MROUND(S90*(1+Settings!$K$6),Settings!$K$10)))</f>
        <v/>
      </c>
      <c r="U90" s="67"/>
      <c r="V90" s="109" t="str">
        <f t="shared" si="11"/>
        <v/>
      </c>
      <c r="W90" s="110"/>
      <c r="X90" s="109" t="str">
        <f t="shared" si="12"/>
        <v/>
      </c>
      <c r="Y90" s="109" t="str">
        <f t="shared" si="13"/>
        <v/>
      </c>
      <c r="Z90" s="82"/>
    </row>
    <row r="91" ht="20" customHeight="1" spans="1:26">
      <c r="A91" s="64">
        <v>78</v>
      </c>
      <c r="B91" s="65"/>
      <c r="C91" s="66"/>
      <c r="D91" s="67"/>
      <c r="E91" s="82"/>
      <c r="F91" s="82"/>
      <c r="G91" s="82"/>
      <c r="H91" s="82"/>
      <c r="I91" s="93" t="str">
        <f t="shared" si="7"/>
        <v/>
      </c>
      <c r="J91" s="82"/>
      <c r="K91" s="94" t="str">
        <f>IF(OR(D91="",E91=""),"",IF(J91="",G91,IF(D91="Buy",MROUND(MAX(E91*(1-Settings!$K$8),J91*(1-Settings!$K$6)),Settings!$K$10),MROUND(MIN(E91*(1+Settings!$K$8),J91*(1+Settings!$K$6)),Settings!$K$10))))</f>
        <v/>
      </c>
      <c r="L91" s="95" t="str">
        <f t="shared" si="8"/>
        <v/>
      </c>
      <c r="M91" s="82"/>
      <c r="N91" s="94" t="str">
        <f>IF(OR(D91="",E91=""),"",IF(M91="",H91,IF(D91="Buy",MROUND(MAX(E91*(1-Settings!$K$8),M91*(1-Settings!$K$6)),Settings!$K$10),MROUND(MIN(E91*(1+Settings!$K$8),M91*(1+Settings!$K$6)),Settings!$K$10))))</f>
        <v/>
      </c>
      <c r="O91" s="95" t="str">
        <f t="shared" si="9"/>
        <v/>
      </c>
      <c r="P91" s="82"/>
      <c r="Q91" s="94" t="str">
        <f>IF(OR(D91="",P91=""),"",IF(D91="Buy",MROUND(P91*(1-Settings!$K$6),Settings!$K$10),MROUND(P91*(1+Settings!$K$6),Settings!$K$10)))</f>
        <v/>
      </c>
      <c r="R91" s="95" t="str">
        <f t="shared" si="10"/>
        <v/>
      </c>
      <c r="S91" s="82"/>
      <c r="T91" s="94" t="str">
        <f>IF(OR(D91="",S91=""),"",IF(D91="Buy",MROUND(S91*(1-Settings!$K$6),Settings!$K$10),MROUND(S91*(1+Settings!$K$6),Settings!$K$10)))</f>
        <v/>
      </c>
      <c r="U91" s="67"/>
      <c r="V91" s="109" t="str">
        <f t="shared" si="11"/>
        <v/>
      </c>
      <c r="W91" s="110"/>
      <c r="X91" s="109" t="str">
        <f t="shared" si="12"/>
        <v/>
      </c>
      <c r="Y91" s="109" t="str">
        <f t="shared" si="13"/>
        <v/>
      </c>
      <c r="Z91" s="82"/>
    </row>
    <row r="92" ht="20" customHeight="1" spans="1:26">
      <c r="A92" s="64">
        <v>79</v>
      </c>
      <c r="B92" s="65"/>
      <c r="C92" s="66"/>
      <c r="D92" s="67"/>
      <c r="E92" s="82"/>
      <c r="F92" s="82"/>
      <c r="G92" s="82"/>
      <c r="H92" s="82"/>
      <c r="I92" s="93" t="str">
        <f t="shared" si="7"/>
        <v/>
      </c>
      <c r="J92" s="82"/>
      <c r="K92" s="94" t="str">
        <f>IF(OR(D92="",E92=""),"",IF(J92="",G92,IF(D92="Buy",MROUND(MAX(E92*(1-Settings!$K$8),J92*(1-Settings!$K$6)),Settings!$K$10),MROUND(MIN(E92*(1+Settings!$K$8),J92*(1+Settings!$K$6)),Settings!$K$10))))</f>
        <v/>
      </c>
      <c r="L92" s="95" t="str">
        <f t="shared" si="8"/>
        <v/>
      </c>
      <c r="M92" s="82"/>
      <c r="N92" s="94" t="str">
        <f>IF(OR(D92="",E92=""),"",IF(M92="",H92,IF(D92="Buy",MROUND(MAX(E92*(1-Settings!$K$8),M92*(1-Settings!$K$6)),Settings!$K$10),MROUND(MIN(E92*(1+Settings!$K$8),M92*(1+Settings!$K$6)),Settings!$K$10))))</f>
        <v/>
      </c>
      <c r="O92" s="95" t="str">
        <f t="shared" si="9"/>
        <v/>
      </c>
      <c r="P92" s="82"/>
      <c r="Q92" s="94" t="str">
        <f>IF(OR(D92="",P92=""),"",IF(D92="Buy",MROUND(P92*(1-Settings!$K$6),Settings!$K$10),MROUND(P92*(1+Settings!$K$6),Settings!$K$10)))</f>
        <v/>
      </c>
      <c r="R92" s="95" t="str">
        <f t="shared" si="10"/>
        <v/>
      </c>
      <c r="S92" s="82"/>
      <c r="T92" s="94" t="str">
        <f>IF(OR(D92="",S92=""),"",IF(D92="Buy",MROUND(S92*(1-Settings!$K$6),Settings!$K$10),MROUND(S92*(1+Settings!$K$6),Settings!$K$10)))</f>
        <v/>
      </c>
      <c r="U92" s="67"/>
      <c r="V92" s="109" t="str">
        <f t="shared" si="11"/>
        <v/>
      </c>
      <c r="W92" s="110"/>
      <c r="X92" s="109" t="str">
        <f t="shared" si="12"/>
        <v/>
      </c>
      <c r="Y92" s="109" t="str">
        <f t="shared" si="13"/>
        <v/>
      </c>
      <c r="Z92" s="82"/>
    </row>
    <row r="93" ht="20" customHeight="1" spans="1:26">
      <c r="A93" s="64">
        <v>80</v>
      </c>
      <c r="B93" s="65"/>
      <c r="C93" s="66"/>
      <c r="D93" s="67"/>
      <c r="E93" s="82"/>
      <c r="F93" s="82"/>
      <c r="G93" s="82"/>
      <c r="H93" s="82"/>
      <c r="I93" s="93" t="str">
        <f t="shared" si="7"/>
        <v/>
      </c>
      <c r="J93" s="82"/>
      <c r="K93" s="94" t="str">
        <f>IF(OR(D93="",E93=""),"",IF(J93="",G93,IF(D93="Buy",MROUND(MAX(E93*(1-Settings!$K$8),J93*(1-Settings!$K$6)),Settings!$K$10),MROUND(MIN(E93*(1+Settings!$K$8),J93*(1+Settings!$K$6)),Settings!$K$10))))</f>
        <v/>
      </c>
      <c r="L93" s="95" t="str">
        <f t="shared" si="8"/>
        <v/>
      </c>
      <c r="M93" s="82"/>
      <c r="N93" s="94" t="str">
        <f>IF(OR(D93="",E93=""),"",IF(M93="",H93,IF(D93="Buy",MROUND(MAX(E93*(1-Settings!$K$8),M93*(1-Settings!$K$6)),Settings!$K$10),MROUND(MIN(E93*(1+Settings!$K$8),M93*(1+Settings!$K$6)),Settings!$K$10))))</f>
        <v/>
      </c>
      <c r="O93" s="95" t="str">
        <f t="shared" si="9"/>
        <v/>
      </c>
      <c r="P93" s="82"/>
      <c r="Q93" s="94" t="str">
        <f>IF(OR(D93="",P93=""),"",IF(D93="Buy",MROUND(P93*(1-Settings!$K$6),Settings!$K$10),MROUND(P93*(1+Settings!$K$6),Settings!$K$10)))</f>
        <v/>
      </c>
      <c r="R93" s="95" t="str">
        <f t="shared" si="10"/>
        <v/>
      </c>
      <c r="S93" s="82"/>
      <c r="T93" s="94" t="str">
        <f>IF(OR(D93="",S93=""),"",IF(D93="Buy",MROUND(S93*(1-Settings!$K$6),Settings!$K$10),MROUND(S93*(1+Settings!$K$6),Settings!$K$10)))</f>
        <v/>
      </c>
      <c r="U93" s="67"/>
      <c r="V93" s="109" t="str">
        <f t="shared" si="11"/>
        <v/>
      </c>
      <c r="W93" s="110"/>
      <c r="X93" s="109" t="str">
        <f t="shared" si="12"/>
        <v/>
      </c>
      <c r="Y93" s="109" t="str">
        <f t="shared" si="13"/>
        <v/>
      </c>
      <c r="Z93" s="82"/>
    </row>
    <row r="94" ht="20" customHeight="1" spans="1:26">
      <c r="A94" s="64">
        <v>81</v>
      </c>
      <c r="B94" s="65"/>
      <c r="C94" s="66"/>
      <c r="D94" s="67"/>
      <c r="E94" s="82"/>
      <c r="F94" s="82"/>
      <c r="G94" s="82"/>
      <c r="H94" s="82"/>
      <c r="I94" s="93" t="str">
        <f t="shared" si="7"/>
        <v/>
      </c>
      <c r="J94" s="82"/>
      <c r="K94" s="94" t="str">
        <f>IF(OR(D94="",E94=""),"",IF(J94="",G94,IF(D94="Buy",MROUND(MAX(E94*(1-Settings!$K$8),J94*(1-Settings!$K$6)),Settings!$K$10),MROUND(MIN(E94*(1+Settings!$K$8),J94*(1+Settings!$K$6)),Settings!$K$10))))</f>
        <v/>
      </c>
      <c r="L94" s="95" t="str">
        <f t="shared" si="8"/>
        <v/>
      </c>
      <c r="M94" s="82"/>
      <c r="N94" s="94" t="str">
        <f>IF(OR(D94="",E94=""),"",IF(M94="",H94,IF(D94="Buy",MROUND(MAX(E94*(1-Settings!$K$8),M94*(1-Settings!$K$6)),Settings!$K$10),MROUND(MIN(E94*(1+Settings!$K$8),M94*(1+Settings!$K$6)),Settings!$K$10))))</f>
        <v/>
      </c>
      <c r="O94" s="95" t="str">
        <f t="shared" si="9"/>
        <v/>
      </c>
      <c r="P94" s="82"/>
      <c r="Q94" s="94" t="str">
        <f>IF(OR(D94="",P94=""),"",IF(D94="Buy",MROUND(P94*(1-Settings!$K$6),Settings!$K$10),MROUND(P94*(1+Settings!$K$6),Settings!$K$10)))</f>
        <v/>
      </c>
      <c r="R94" s="95" t="str">
        <f t="shared" si="10"/>
        <v/>
      </c>
      <c r="S94" s="82"/>
      <c r="T94" s="94" t="str">
        <f>IF(OR(D94="",S94=""),"",IF(D94="Buy",MROUND(S94*(1-Settings!$K$6),Settings!$K$10),MROUND(S94*(1+Settings!$K$6),Settings!$K$10)))</f>
        <v/>
      </c>
      <c r="U94" s="67"/>
      <c r="V94" s="109" t="str">
        <f t="shared" si="11"/>
        <v/>
      </c>
      <c r="W94" s="110"/>
      <c r="X94" s="109" t="str">
        <f t="shared" si="12"/>
        <v/>
      </c>
      <c r="Y94" s="109" t="str">
        <f t="shared" si="13"/>
        <v/>
      </c>
      <c r="Z94" s="82"/>
    </row>
    <row r="95" ht="20" customHeight="1" spans="1:26">
      <c r="A95" s="64">
        <v>82</v>
      </c>
      <c r="B95" s="65"/>
      <c r="C95" s="66"/>
      <c r="D95" s="67"/>
      <c r="E95" s="82"/>
      <c r="F95" s="82"/>
      <c r="G95" s="82"/>
      <c r="H95" s="82"/>
      <c r="I95" s="93" t="str">
        <f t="shared" si="7"/>
        <v/>
      </c>
      <c r="J95" s="82"/>
      <c r="K95" s="94" t="str">
        <f>IF(OR(D95="",E95=""),"",IF(J95="",G95,IF(D95="Buy",MROUND(MAX(E95*(1-Settings!$K$8),J95*(1-Settings!$K$6)),Settings!$K$10),MROUND(MIN(E95*(1+Settings!$K$8),J95*(1+Settings!$K$6)),Settings!$K$10))))</f>
        <v/>
      </c>
      <c r="L95" s="95" t="str">
        <f t="shared" si="8"/>
        <v/>
      </c>
      <c r="M95" s="82"/>
      <c r="N95" s="94" t="str">
        <f>IF(OR(D95="",E95=""),"",IF(M95="",H95,IF(D95="Buy",MROUND(MAX(E95*(1-Settings!$K$8),M95*(1-Settings!$K$6)),Settings!$K$10),MROUND(MIN(E95*(1+Settings!$K$8),M95*(1+Settings!$K$6)),Settings!$K$10))))</f>
        <v/>
      </c>
      <c r="O95" s="95" t="str">
        <f t="shared" si="9"/>
        <v/>
      </c>
      <c r="P95" s="82"/>
      <c r="Q95" s="94" t="str">
        <f>IF(OR(D95="",P95=""),"",IF(D95="Buy",MROUND(P95*(1-Settings!$K$6),Settings!$K$10),MROUND(P95*(1+Settings!$K$6),Settings!$K$10)))</f>
        <v/>
      </c>
      <c r="R95" s="95" t="str">
        <f t="shared" si="10"/>
        <v/>
      </c>
      <c r="S95" s="82"/>
      <c r="T95" s="94" t="str">
        <f>IF(OR(D95="",S95=""),"",IF(D95="Buy",MROUND(S95*(1-Settings!$K$6),Settings!$K$10),MROUND(S95*(1+Settings!$K$6),Settings!$K$10)))</f>
        <v/>
      </c>
      <c r="U95" s="67"/>
      <c r="V95" s="109" t="str">
        <f t="shared" si="11"/>
        <v/>
      </c>
      <c r="W95" s="110"/>
      <c r="X95" s="109" t="str">
        <f t="shared" si="12"/>
        <v/>
      </c>
      <c r="Y95" s="109" t="str">
        <f t="shared" si="13"/>
        <v/>
      </c>
      <c r="Z95" s="82"/>
    </row>
    <row r="96" ht="20" customHeight="1" spans="1:26">
      <c r="A96" s="64">
        <v>83</v>
      </c>
      <c r="B96" s="65"/>
      <c r="C96" s="66"/>
      <c r="D96" s="67"/>
      <c r="E96" s="82"/>
      <c r="F96" s="82"/>
      <c r="G96" s="82"/>
      <c r="H96" s="82"/>
      <c r="I96" s="93" t="str">
        <f t="shared" si="7"/>
        <v/>
      </c>
      <c r="J96" s="82"/>
      <c r="K96" s="94" t="str">
        <f>IF(OR(D96="",E96=""),"",IF(J96="",G96,IF(D96="Buy",MROUND(MAX(E96*(1-Settings!$K$8),J96*(1-Settings!$K$6)),Settings!$K$10),MROUND(MIN(E96*(1+Settings!$K$8),J96*(1+Settings!$K$6)),Settings!$K$10))))</f>
        <v/>
      </c>
      <c r="L96" s="95" t="str">
        <f t="shared" si="8"/>
        <v/>
      </c>
      <c r="M96" s="82"/>
      <c r="N96" s="94" t="str">
        <f>IF(OR(D96="",E96=""),"",IF(M96="",H96,IF(D96="Buy",MROUND(MAX(E96*(1-Settings!$K$8),M96*(1-Settings!$K$6)),Settings!$K$10),MROUND(MIN(E96*(1+Settings!$K$8),M96*(1+Settings!$K$6)),Settings!$K$10))))</f>
        <v/>
      </c>
      <c r="O96" s="95" t="str">
        <f t="shared" si="9"/>
        <v/>
      </c>
      <c r="P96" s="82"/>
      <c r="Q96" s="94" t="str">
        <f>IF(OR(D96="",P96=""),"",IF(D96="Buy",MROUND(P96*(1-Settings!$K$6),Settings!$K$10),MROUND(P96*(1+Settings!$K$6),Settings!$K$10)))</f>
        <v/>
      </c>
      <c r="R96" s="95" t="str">
        <f t="shared" si="10"/>
        <v/>
      </c>
      <c r="S96" s="82"/>
      <c r="T96" s="94" t="str">
        <f>IF(OR(D96="",S96=""),"",IF(D96="Buy",MROUND(S96*(1-Settings!$K$6),Settings!$K$10),MROUND(S96*(1+Settings!$K$6),Settings!$K$10)))</f>
        <v/>
      </c>
      <c r="U96" s="67"/>
      <c r="V96" s="109" t="str">
        <f t="shared" si="11"/>
        <v/>
      </c>
      <c r="W96" s="110"/>
      <c r="X96" s="109" t="str">
        <f t="shared" si="12"/>
        <v/>
      </c>
      <c r="Y96" s="109" t="str">
        <f t="shared" si="13"/>
        <v/>
      </c>
      <c r="Z96" s="82"/>
    </row>
    <row r="97" ht="20" customHeight="1" spans="1:26">
      <c r="A97" s="64">
        <v>84</v>
      </c>
      <c r="B97" s="65"/>
      <c r="C97" s="66"/>
      <c r="D97" s="67"/>
      <c r="E97" s="82"/>
      <c r="F97" s="82"/>
      <c r="G97" s="82"/>
      <c r="H97" s="82"/>
      <c r="I97" s="93" t="str">
        <f t="shared" si="7"/>
        <v/>
      </c>
      <c r="J97" s="82"/>
      <c r="K97" s="94" t="str">
        <f>IF(OR(D97="",E97=""),"",IF(J97="",G97,IF(D97="Buy",MROUND(MAX(E97*(1-Settings!$K$8),J97*(1-Settings!$K$6)),Settings!$K$10),MROUND(MIN(E97*(1+Settings!$K$8),J97*(1+Settings!$K$6)),Settings!$K$10))))</f>
        <v/>
      </c>
      <c r="L97" s="95" t="str">
        <f t="shared" si="8"/>
        <v/>
      </c>
      <c r="M97" s="82"/>
      <c r="N97" s="94" t="str">
        <f>IF(OR(D97="",E97=""),"",IF(M97="",H97,IF(D97="Buy",MROUND(MAX(E97*(1-Settings!$K$8),M97*(1-Settings!$K$6)),Settings!$K$10),MROUND(MIN(E97*(1+Settings!$K$8),M97*(1+Settings!$K$6)),Settings!$K$10))))</f>
        <v/>
      </c>
      <c r="O97" s="95" t="str">
        <f t="shared" si="9"/>
        <v/>
      </c>
      <c r="P97" s="82"/>
      <c r="Q97" s="94" t="str">
        <f>IF(OR(D97="",P97=""),"",IF(D97="Buy",MROUND(P97*(1-Settings!$K$6),Settings!$K$10),MROUND(P97*(1+Settings!$K$6),Settings!$K$10)))</f>
        <v/>
      </c>
      <c r="R97" s="95" t="str">
        <f t="shared" si="10"/>
        <v/>
      </c>
      <c r="S97" s="82"/>
      <c r="T97" s="94" t="str">
        <f>IF(OR(D97="",S97=""),"",IF(D97="Buy",MROUND(S97*(1-Settings!$K$6),Settings!$K$10),MROUND(S97*(1+Settings!$K$6),Settings!$K$10)))</f>
        <v/>
      </c>
      <c r="U97" s="67"/>
      <c r="V97" s="109" t="str">
        <f t="shared" si="11"/>
        <v/>
      </c>
      <c r="W97" s="110"/>
      <c r="X97" s="109" t="str">
        <f t="shared" si="12"/>
        <v/>
      </c>
      <c r="Y97" s="109" t="str">
        <f t="shared" si="13"/>
        <v/>
      </c>
      <c r="Z97" s="82"/>
    </row>
    <row r="98" ht="20" customHeight="1" spans="1:26">
      <c r="A98" s="64">
        <v>85</v>
      </c>
      <c r="B98" s="65"/>
      <c r="C98" s="66"/>
      <c r="D98" s="67"/>
      <c r="E98" s="82"/>
      <c r="F98" s="82"/>
      <c r="G98" s="82"/>
      <c r="H98" s="82"/>
      <c r="I98" s="93" t="str">
        <f t="shared" si="7"/>
        <v/>
      </c>
      <c r="J98" s="82"/>
      <c r="K98" s="94" t="str">
        <f>IF(OR(D98="",E98=""),"",IF(J98="",G98,IF(D98="Buy",MROUND(MAX(E98*(1-Settings!$K$8),J98*(1-Settings!$K$6)),Settings!$K$10),MROUND(MIN(E98*(1+Settings!$K$8),J98*(1+Settings!$K$6)),Settings!$K$10))))</f>
        <v/>
      </c>
      <c r="L98" s="95" t="str">
        <f t="shared" si="8"/>
        <v/>
      </c>
      <c r="M98" s="82"/>
      <c r="N98" s="94" t="str">
        <f>IF(OR(D98="",E98=""),"",IF(M98="",H98,IF(D98="Buy",MROUND(MAX(E98*(1-Settings!$K$8),M98*(1-Settings!$K$6)),Settings!$K$10),MROUND(MIN(E98*(1+Settings!$K$8),M98*(1+Settings!$K$6)),Settings!$K$10))))</f>
        <v/>
      </c>
      <c r="O98" s="95" t="str">
        <f t="shared" si="9"/>
        <v/>
      </c>
      <c r="P98" s="82"/>
      <c r="Q98" s="94" t="str">
        <f>IF(OR(D98="",P98=""),"",IF(D98="Buy",MROUND(P98*(1-Settings!$K$6),Settings!$K$10),MROUND(P98*(1+Settings!$K$6),Settings!$K$10)))</f>
        <v/>
      </c>
      <c r="R98" s="95" t="str">
        <f t="shared" si="10"/>
        <v/>
      </c>
      <c r="S98" s="82"/>
      <c r="T98" s="94" t="str">
        <f>IF(OR(D98="",S98=""),"",IF(D98="Buy",MROUND(S98*(1-Settings!$K$6),Settings!$K$10),MROUND(S98*(1+Settings!$K$6),Settings!$K$10)))</f>
        <v/>
      </c>
      <c r="U98" s="67"/>
      <c r="V98" s="109" t="str">
        <f t="shared" si="11"/>
        <v/>
      </c>
      <c r="W98" s="110"/>
      <c r="X98" s="109" t="str">
        <f t="shared" si="12"/>
        <v/>
      </c>
      <c r="Y98" s="109" t="str">
        <f t="shared" si="13"/>
        <v/>
      </c>
      <c r="Z98" s="82"/>
    </row>
    <row r="99" ht="20" customHeight="1" spans="1:26">
      <c r="A99" s="64">
        <v>86</v>
      </c>
      <c r="B99" s="65"/>
      <c r="C99" s="66"/>
      <c r="D99" s="67"/>
      <c r="E99" s="82"/>
      <c r="F99" s="82"/>
      <c r="G99" s="82"/>
      <c r="H99" s="82"/>
      <c r="I99" s="93" t="str">
        <f t="shared" si="7"/>
        <v/>
      </c>
      <c r="J99" s="82"/>
      <c r="K99" s="94" t="str">
        <f>IF(OR(D99="",E99=""),"",IF(J99="",G99,IF(D99="Buy",MROUND(MAX(E99*(1-Settings!$K$8),J99*(1-Settings!$K$6)),Settings!$K$10),MROUND(MIN(E99*(1+Settings!$K$8),J99*(1+Settings!$K$6)),Settings!$K$10))))</f>
        <v/>
      </c>
      <c r="L99" s="95" t="str">
        <f t="shared" si="8"/>
        <v/>
      </c>
      <c r="M99" s="82"/>
      <c r="N99" s="94" t="str">
        <f>IF(OR(D99="",E99=""),"",IF(M99="",H99,IF(D99="Buy",MROUND(MAX(E99*(1-Settings!$K$8),M99*(1-Settings!$K$6)),Settings!$K$10),MROUND(MIN(E99*(1+Settings!$K$8),M99*(1+Settings!$K$6)),Settings!$K$10))))</f>
        <v/>
      </c>
      <c r="O99" s="95" t="str">
        <f t="shared" si="9"/>
        <v/>
      </c>
      <c r="P99" s="82"/>
      <c r="Q99" s="94" t="str">
        <f>IF(OR(D99="",P99=""),"",IF(D99="Buy",MROUND(P99*(1-Settings!$K$6),Settings!$K$10),MROUND(P99*(1+Settings!$K$6),Settings!$K$10)))</f>
        <v/>
      </c>
      <c r="R99" s="95" t="str">
        <f t="shared" si="10"/>
        <v/>
      </c>
      <c r="S99" s="82"/>
      <c r="T99" s="94" t="str">
        <f>IF(OR(D99="",S99=""),"",IF(D99="Buy",MROUND(S99*(1-Settings!$K$6),Settings!$K$10),MROUND(S99*(1+Settings!$K$6),Settings!$K$10)))</f>
        <v/>
      </c>
      <c r="U99" s="67"/>
      <c r="V99" s="109" t="str">
        <f t="shared" si="11"/>
        <v/>
      </c>
      <c r="W99" s="110"/>
      <c r="X99" s="109" t="str">
        <f t="shared" si="12"/>
        <v/>
      </c>
      <c r="Y99" s="109" t="str">
        <f t="shared" si="13"/>
        <v/>
      </c>
      <c r="Z99" s="82"/>
    </row>
    <row r="100" ht="20" customHeight="1" spans="1:26">
      <c r="A100" s="64">
        <v>87</v>
      </c>
      <c r="B100" s="65"/>
      <c r="C100" s="66"/>
      <c r="D100" s="67"/>
      <c r="E100" s="82"/>
      <c r="F100" s="82"/>
      <c r="G100" s="82"/>
      <c r="H100" s="82"/>
      <c r="I100" s="93" t="str">
        <f t="shared" si="7"/>
        <v/>
      </c>
      <c r="J100" s="82"/>
      <c r="K100" s="94" t="str">
        <f>IF(OR(D100="",E100=""),"",IF(J100="",G100,IF(D100="Buy",MROUND(MAX(E100*(1-Settings!$K$8),J100*(1-Settings!$K$6)),Settings!$K$10),MROUND(MIN(E100*(1+Settings!$K$8),J100*(1+Settings!$K$6)),Settings!$K$10))))</f>
        <v/>
      </c>
      <c r="L100" s="95" t="str">
        <f t="shared" si="8"/>
        <v/>
      </c>
      <c r="M100" s="82"/>
      <c r="N100" s="94" t="str">
        <f>IF(OR(D100="",E100=""),"",IF(M100="",H100,IF(D100="Buy",MROUND(MAX(E100*(1-Settings!$K$8),M100*(1-Settings!$K$6)),Settings!$K$10),MROUND(MIN(E100*(1+Settings!$K$8),M100*(1+Settings!$K$6)),Settings!$K$10))))</f>
        <v/>
      </c>
      <c r="O100" s="95" t="str">
        <f t="shared" si="9"/>
        <v/>
      </c>
      <c r="P100" s="82"/>
      <c r="Q100" s="94" t="str">
        <f>IF(OR(D100="",P100=""),"",IF(D100="Buy",MROUND(P100*(1-Settings!$K$6),Settings!$K$10),MROUND(P100*(1+Settings!$K$6),Settings!$K$10)))</f>
        <v/>
      </c>
      <c r="R100" s="95" t="str">
        <f t="shared" si="10"/>
        <v/>
      </c>
      <c r="S100" s="82"/>
      <c r="T100" s="94" t="str">
        <f>IF(OR(D100="",S100=""),"",IF(D100="Buy",MROUND(S100*(1-Settings!$K$6),Settings!$K$10),MROUND(S100*(1+Settings!$K$6),Settings!$K$10)))</f>
        <v/>
      </c>
      <c r="U100" s="67"/>
      <c r="V100" s="109" t="str">
        <f t="shared" si="11"/>
        <v/>
      </c>
      <c r="W100" s="110"/>
      <c r="X100" s="109" t="str">
        <f t="shared" si="12"/>
        <v/>
      </c>
      <c r="Y100" s="109" t="str">
        <f t="shared" si="13"/>
        <v/>
      </c>
      <c r="Z100" s="82"/>
    </row>
    <row r="101" ht="20" customHeight="1" spans="1:26">
      <c r="A101" s="64">
        <v>88</v>
      </c>
      <c r="B101" s="65"/>
      <c r="C101" s="66"/>
      <c r="D101" s="67"/>
      <c r="E101" s="82"/>
      <c r="F101" s="82"/>
      <c r="G101" s="82"/>
      <c r="H101" s="82"/>
      <c r="I101" s="93" t="str">
        <f t="shared" si="7"/>
        <v/>
      </c>
      <c r="J101" s="82"/>
      <c r="K101" s="94" t="str">
        <f>IF(OR(D101="",E101=""),"",IF(J101="",G101,IF(D101="Buy",MROUND(MAX(E101*(1-Settings!$K$8),J101*(1-Settings!$K$6)),Settings!$K$10),MROUND(MIN(E101*(1+Settings!$K$8),J101*(1+Settings!$K$6)),Settings!$K$10))))</f>
        <v/>
      </c>
      <c r="L101" s="95" t="str">
        <f t="shared" si="8"/>
        <v/>
      </c>
      <c r="M101" s="82"/>
      <c r="N101" s="94" t="str">
        <f>IF(OR(D101="",E101=""),"",IF(M101="",H101,IF(D101="Buy",MROUND(MAX(E101*(1-Settings!$K$8),M101*(1-Settings!$K$6)),Settings!$K$10),MROUND(MIN(E101*(1+Settings!$K$8),M101*(1+Settings!$K$6)),Settings!$K$10))))</f>
        <v/>
      </c>
      <c r="O101" s="95" t="str">
        <f t="shared" si="9"/>
        <v/>
      </c>
      <c r="P101" s="82"/>
      <c r="Q101" s="94" t="str">
        <f>IF(OR(D101="",P101=""),"",IF(D101="Buy",MROUND(P101*(1-Settings!$K$6),Settings!$K$10),MROUND(P101*(1+Settings!$K$6),Settings!$K$10)))</f>
        <v/>
      </c>
      <c r="R101" s="95" t="str">
        <f t="shared" si="10"/>
        <v/>
      </c>
      <c r="S101" s="82"/>
      <c r="T101" s="94" t="str">
        <f>IF(OR(D101="",S101=""),"",IF(D101="Buy",MROUND(S101*(1-Settings!$K$6),Settings!$K$10),MROUND(S101*(1+Settings!$K$6),Settings!$K$10)))</f>
        <v/>
      </c>
      <c r="U101" s="67"/>
      <c r="V101" s="109" t="str">
        <f t="shared" si="11"/>
        <v/>
      </c>
      <c r="W101" s="110"/>
      <c r="X101" s="109" t="str">
        <f t="shared" si="12"/>
        <v/>
      </c>
      <c r="Y101" s="109" t="str">
        <f t="shared" si="13"/>
        <v/>
      </c>
      <c r="Z101" s="82"/>
    </row>
    <row r="102" ht="20" customHeight="1" spans="1:26">
      <c r="A102" s="64">
        <v>89</v>
      </c>
      <c r="B102" s="65"/>
      <c r="C102" s="66"/>
      <c r="D102" s="67"/>
      <c r="E102" s="82"/>
      <c r="F102" s="82"/>
      <c r="G102" s="82"/>
      <c r="H102" s="82"/>
      <c r="I102" s="93" t="str">
        <f t="shared" si="7"/>
        <v/>
      </c>
      <c r="J102" s="82"/>
      <c r="K102" s="94" t="str">
        <f>IF(OR(D102="",E102=""),"",IF(J102="",G102,IF(D102="Buy",MROUND(MAX(E102*(1-Settings!$K$8),J102*(1-Settings!$K$6)),Settings!$K$10),MROUND(MIN(E102*(1+Settings!$K$8),J102*(1+Settings!$K$6)),Settings!$K$10))))</f>
        <v/>
      </c>
      <c r="L102" s="95" t="str">
        <f t="shared" si="8"/>
        <v/>
      </c>
      <c r="M102" s="82"/>
      <c r="N102" s="94" t="str">
        <f>IF(OR(D102="",E102=""),"",IF(M102="",H102,IF(D102="Buy",MROUND(MAX(E102*(1-Settings!$K$8),M102*(1-Settings!$K$6)),Settings!$K$10),MROUND(MIN(E102*(1+Settings!$K$8),M102*(1+Settings!$K$6)),Settings!$K$10))))</f>
        <v/>
      </c>
      <c r="O102" s="95" t="str">
        <f t="shared" si="9"/>
        <v/>
      </c>
      <c r="P102" s="82"/>
      <c r="Q102" s="94" t="str">
        <f>IF(OR(D102="",P102=""),"",IF(D102="Buy",MROUND(P102*(1-Settings!$K$6),Settings!$K$10),MROUND(P102*(1+Settings!$K$6),Settings!$K$10)))</f>
        <v/>
      </c>
      <c r="R102" s="95" t="str">
        <f t="shared" si="10"/>
        <v/>
      </c>
      <c r="S102" s="82"/>
      <c r="T102" s="94" t="str">
        <f>IF(OR(D102="",S102=""),"",IF(D102="Buy",MROUND(S102*(1-Settings!$K$6),Settings!$K$10),MROUND(S102*(1+Settings!$K$6),Settings!$K$10)))</f>
        <v/>
      </c>
      <c r="U102" s="67"/>
      <c r="V102" s="109" t="str">
        <f t="shared" si="11"/>
        <v/>
      </c>
      <c r="W102" s="110"/>
      <c r="X102" s="109" t="str">
        <f t="shared" si="12"/>
        <v/>
      </c>
      <c r="Y102" s="109" t="str">
        <f t="shared" si="13"/>
        <v/>
      </c>
      <c r="Z102" s="82"/>
    </row>
    <row r="103" ht="20" customHeight="1" spans="1:26">
      <c r="A103" s="64">
        <v>90</v>
      </c>
      <c r="B103" s="65"/>
      <c r="C103" s="66"/>
      <c r="D103" s="67"/>
      <c r="E103" s="82"/>
      <c r="F103" s="82"/>
      <c r="G103" s="82"/>
      <c r="H103" s="82"/>
      <c r="I103" s="93" t="str">
        <f t="shared" si="7"/>
        <v/>
      </c>
      <c r="J103" s="82"/>
      <c r="K103" s="94" t="str">
        <f>IF(OR(D103="",E103=""),"",IF(J103="",G103,IF(D103="Buy",MROUND(MAX(E103*(1-Settings!$K$8),J103*(1-Settings!$K$6)),Settings!$K$10),MROUND(MIN(E103*(1+Settings!$K$8),J103*(1+Settings!$K$6)),Settings!$K$10))))</f>
        <v/>
      </c>
      <c r="L103" s="95" t="str">
        <f t="shared" si="8"/>
        <v/>
      </c>
      <c r="M103" s="82"/>
      <c r="N103" s="94" t="str">
        <f>IF(OR(D103="",E103=""),"",IF(M103="",H103,IF(D103="Buy",MROUND(MAX(E103*(1-Settings!$K$8),M103*(1-Settings!$K$6)),Settings!$K$10),MROUND(MIN(E103*(1+Settings!$K$8),M103*(1+Settings!$K$6)),Settings!$K$10))))</f>
        <v/>
      </c>
      <c r="O103" s="95" t="str">
        <f t="shared" si="9"/>
        <v/>
      </c>
      <c r="P103" s="82"/>
      <c r="Q103" s="94" t="str">
        <f>IF(OR(D103="",P103=""),"",IF(D103="Buy",MROUND(P103*(1-Settings!$K$6),Settings!$K$10),MROUND(P103*(1+Settings!$K$6),Settings!$K$10)))</f>
        <v/>
      </c>
      <c r="R103" s="95" t="str">
        <f t="shared" si="10"/>
        <v/>
      </c>
      <c r="S103" s="82"/>
      <c r="T103" s="94" t="str">
        <f>IF(OR(D103="",S103=""),"",IF(D103="Buy",MROUND(S103*(1-Settings!$K$6),Settings!$K$10),MROUND(S103*(1+Settings!$K$6),Settings!$K$10)))</f>
        <v/>
      </c>
      <c r="U103" s="67"/>
      <c r="V103" s="109" t="str">
        <f t="shared" si="11"/>
        <v/>
      </c>
      <c r="W103" s="110"/>
      <c r="X103" s="109" t="str">
        <f t="shared" si="12"/>
        <v/>
      </c>
      <c r="Y103" s="109" t="str">
        <f t="shared" si="13"/>
        <v/>
      </c>
      <c r="Z103" s="82"/>
    </row>
    <row r="104" ht="20" customHeight="1" spans="1:26">
      <c r="A104" s="64">
        <v>91</v>
      </c>
      <c r="B104" s="65"/>
      <c r="C104" s="66"/>
      <c r="D104" s="67"/>
      <c r="E104" s="82"/>
      <c r="F104" s="82"/>
      <c r="G104" s="82"/>
      <c r="H104" s="82"/>
      <c r="I104" s="93" t="str">
        <f t="shared" si="7"/>
        <v/>
      </c>
      <c r="J104" s="82"/>
      <c r="K104" s="94" t="str">
        <f>IF(OR(D104="",E104=""),"",IF(J104="",G104,IF(D104="Buy",MROUND(MAX(E104*(1-Settings!$K$8),J104*(1-Settings!$K$6)),Settings!$K$10),MROUND(MIN(E104*(1+Settings!$K$8),J104*(1+Settings!$K$6)),Settings!$K$10))))</f>
        <v/>
      </c>
      <c r="L104" s="95" t="str">
        <f t="shared" si="8"/>
        <v/>
      </c>
      <c r="M104" s="82"/>
      <c r="N104" s="94" t="str">
        <f>IF(OR(D104="",E104=""),"",IF(M104="",H104,IF(D104="Buy",MROUND(MAX(E104*(1-Settings!$K$8),M104*(1-Settings!$K$6)),Settings!$K$10),MROUND(MIN(E104*(1+Settings!$K$8),M104*(1+Settings!$K$6)),Settings!$K$10))))</f>
        <v/>
      </c>
      <c r="O104" s="95" t="str">
        <f t="shared" si="9"/>
        <v/>
      </c>
      <c r="P104" s="82"/>
      <c r="Q104" s="94" t="str">
        <f>IF(OR(D104="",P104=""),"",IF(D104="Buy",MROUND(P104*(1-Settings!$K$6),Settings!$K$10),MROUND(P104*(1+Settings!$K$6),Settings!$K$10)))</f>
        <v/>
      </c>
      <c r="R104" s="95" t="str">
        <f t="shared" si="10"/>
        <v/>
      </c>
      <c r="S104" s="82"/>
      <c r="T104" s="94" t="str">
        <f>IF(OR(D104="",S104=""),"",IF(D104="Buy",MROUND(S104*(1-Settings!$K$6),Settings!$K$10),MROUND(S104*(1+Settings!$K$6),Settings!$K$10)))</f>
        <v/>
      </c>
      <c r="U104" s="67"/>
      <c r="V104" s="109" t="str">
        <f t="shared" si="11"/>
        <v/>
      </c>
      <c r="W104" s="110"/>
      <c r="X104" s="109" t="str">
        <f t="shared" si="12"/>
        <v/>
      </c>
      <c r="Y104" s="109" t="str">
        <f t="shared" si="13"/>
        <v/>
      </c>
      <c r="Z104" s="82"/>
    </row>
    <row r="105" ht="20" customHeight="1" spans="1:26">
      <c r="A105" s="64">
        <v>92</v>
      </c>
      <c r="B105" s="65"/>
      <c r="C105" s="66"/>
      <c r="D105" s="67"/>
      <c r="E105" s="82"/>
      <c r="F105" s="82"/>
      <c r="G105" s="82"/>
      <c r="H105" s="82"/>
      <c r="I105" s="93" t="str">
        <f t="shared" si="7"/>
        <v/>
      </c>
      <c r="J105" s="82"/>
      <c r="K105" s="94" t="str">
        <f>IF(OR(D105="",E105=""),"",IF(J105="",G105,IF(D105="Buy",MROUND(MAX(E105*(1-Settings!$K$8),J105*(1-Settings!$K$6)),Settings!$K$10),MROUND(MIN(E105*(1+Settings!$K$8),J105*(1+Settings!$K$6)),Settings!$K$10))))</f>
        <v/>
      </c>
      <c r="L105" s="95" t="str">
        <f t="shared" si="8"/>
        <v/>
      </c>
      <c r="M105" s="82"/>
      <c r="N105" s="94" t="str">
        <f>IF(OR(D105="",E105=""),"",IF(M105="",H105,IF(D105="Buy",MROUND(MAX(E105*(1-Settings!$K$8),M105*(1-Settings!$K$6)),Settings!$K$10),MROUND(MIN(E105*(1+Settings!$K$8),M105*(1+Settings!$K$6)),Settings!$K$10))))</f>
        <v/>
      </c>
      <c r="O105" s="95" t="str">
        <f t="shared" si="9"/>
        <v/>
      </c>
      <c r="P105" s="82"/>
      <c r="Q105" s="94" t="str">
        <f>IF(OR(D105="",P105=""),"",IF(D105="Buy",MROUND(P105*(1-Settings!$K$6),Settings!$K$10),MROUND(P105*(1+Settings!$K$6),Settings!$K$10)))</f>
        <v/>
      </c>
      <c r="R105" s="95" t="str">
        <f t="shared" si="10"/>
        <v/>
      </c>
      <c r="S105" s="82"/>
      <c r="T105" s="94" t="str">
        <f>IF(OR(D105="",S105=""),"",IF(D105="Buy",MROUND(S105*(1-Settings!$K$6),Settings!$K$10),MROUND(S105*(1+Settings!$K$6),Settings!$K$10)))</f>
        <v/>
      </c>
      <c r="U105" s="67"/>
      <c r="V105" s="109" t="str">
        <f t="shared" si="11"/>
        <v/>
      </c>
      <c r="W105" s="110"/>
      <c r="X105" s="109" t="str">
        <f t="shared" si="12"/>
        <v/>
      </c>
      <c r="Y105" s="109" t="str">
        <f t="shared" si="13"/>
        <v/>
      </c>
      <c r="Z105" s="82"/>
    </row>
    <row r="106" ht="20" customHeight="1" spans="1:26">
      <c r="A106" s="64">
        <v>93</v>
      </c>
      <c r="B106" s="65"/>
      <c r="C106" s="66"/>
      <c r="D106" s="67"/>
      <c r="E106" s="82"/>
      <c r="F106" s="82"/>
      <c r="G106" s="82"/>
      <c r="H106" s="82"/>
      <c r="I106" s="93" t="str">
        <f t="shared" si="7"/>
        <v/>
      </c>
      <c r="J106" s="82"/>
      <c r="K106" s="94" t="str">
        <f>IF(OR(D106="",E106=""),"",IF(J106="",G106,IF(D106="Buy",MROUND(MAX(E106*(1-Settings!$K$8),J106*(1-Settings!$K$6)),Settings!$K$10),MROUND(MIN(E106*(1+Settings!$K$8),J106*(1+Settings!$K$6)),Settings!$K$10))))</f>
        <v/>
      </c>
      <c r="L106" s="95" t="str">
        <f t="shared" si="8"/>
        <v/>
      </c>
      <c r="M106" s="82"/>
      <c r="N106" s="94" t="str">
        <f>IF(OR(D106="",E106=""),"",IF(M106="",H106,IF(D106="Buy",MROUND(MAX(E106*(1-Settings!$K$8),M106*(1-Settings!$K$6)),Settings!$K$10),MROUND(MIN(E106*(1+Settings!$K$8),M106*(1+Settings!$K$6)),Settings!$K$10))))</f>
        <v/>
      </c>
      <c r="O106" s="95" t="str">
        <f t="shared" si="9"/>
        <v/>
      </c>
      <c r="P106" s="82"/>
      <c r="Q106" s="94" t="str">
        <f>IF(OR(D106="",P106=""),"",IF(D106="Buy",MROUND(P106*(1-Settings!$K$6),Settings!$K$10),MROUND(P106*(1+Settings!$K$6),Settings!$K$10)))</f>
        <v/>
      </c>
      <c r="R106" s="95" t="str">
        <f t="shared" si="10"/>
        <v/>
      </c>
      <c r="S106" s="82"/>
      <c r="T106" s="94" t="str">
        <f>IF(OR(D106="",S106=""),"",IF(D106="Buy",MROUND(S106*(1-Settings!$K$6),Settings!$K$10),MROUND(S106*(1+Settings!$K$6),Settings!$K$10)))</f>
        <v/>
      </c>
      <c r="U106" s="67"/>
      <c r="V106" s="109" t="str">
        <f t="shared" si="11"/>
        <v/>
      </c>
      <c r="W106" s="110"/>
      <c r="X106" s="109" t="str">
        <f t="shared" si="12"/>
        <v/>
      </c>
      <c r="Y106" s="109" t="str">
        <f t="shared" si="13"/>
        <v/>
      </c>
      <c r="Z106" s="82"/>
    </row>
    <row r="107" ht="20" customHeight="1" spans="1:26">
      <c r="A107" s="64">
        <v>94</v>
      </c>
      <c r="B107" s="65"/>
      <c r="C107" s="66"/>
      <c r="D107" s="67"/>
      <c r="E107" s="82"/>
      <c r="F107" s="82"/>
      <c r="G107" s="82"/>
      <c r="H107" s="82"/>
      <c r="I107" s="93" t="str">
        <f t="shared" si="7"/>
        <v/>
      </c>
      <c r="J107" s="82"/>
      <c r="K107" s="94" t="str">
        <f>IF(OR(D107="",E107=""),"",IF(J107="",G107,IF(D107="Buy",MROUND(MAX(E107*(1-Settings!$K$8),J107*(1-Settings!$K$6)),Settings!$K$10),MROUND(MIN(E107*(1+Settings!$K$8),J107*(1+Settings!$K$6)),Settings!$K$10))))</f>
        <v/>
      </c>
      <c r="L107" s="95" t="str">
        <f t="shared" si="8"/>
        <v/>
      </c>
      <c r="M107" s="82"/>
      <c r="N107" s="94" t="str">
        <f>IF(OR(D107="",E107=""),"",IF(M107="",H107,IF(D107="Buy",MROUND(MAX(E107*(1-Settings!$K$8),M107*(1-Settings!$K$6)),Settings!$K$10),MROUND(MIN(E107*(1+Settings!$K$8),M107*(1+Settings!$K$6)),Settings!$K$10))))</f>
        <v/>
      </c>
      <c r="O107" s="95" t="str">
        <f t="shared" si="9"/>
        <v/>
      </c>
      <c r="P107" s="82"/>
      <c r="Q107" s="94" t="str">
        <f>IF(OR(D107="",P107=""),"",IF(D107="Buy",MROUND(P107*(1-Settings!$K$6),Settings!$K$10),MROUND(P107*(1+Settings!$K$6),Settings!$K$10)))</f>
        <v/>
      </c>
      <c r="R107" s="95" t="str">
        <f t="shared" si="10"/>
        <v/>
      </c>
      <c r="S107" s="82"/>
      <c r="T107" s="94" t="str">
        <f>IF(OR(D107="",S107=""),"",IF(D107="Buy",MROUND(S107*(1-Settings!$K$6),Settings!$K$10),MROUND(S107*(1+Settings!$K$6),Settings!$K$10)))</f>
        <v/>
      </c>
      <c r="U107" s="67"/>
      <c r="V107" s="109" t="str">
        <f t="shared" si="11"/>
        <v/>
      </c>
      <c r="W107" s="110"/>
      <c r="X107" s="109" t="str">
        <f t="shared" si="12"/>
        <v/>
      </c>
      <c r="Y107" s="109" t="str">
        <f t="shared" si="13"/>
        <v/>
      </c>
      <c r="Z107" s="82"/>
    </row>
    <row r="108" ht="20" customHeight="1" spans="1:26">
      <c r="A108" s="64">
        <v>95</v>
      </c>
      <c r="B108" s="65"/>
      <c r="C108" s="66"/>
      <c r="D108" s="67"/>
      <c r="E108" s="82"/>
      <c r="F108" s="82"/>
      <c r="G108" s="82"/>
      <c r="H108" s="82"/>
      <c r="I108" s="93" t="str">
        <f t="shared" si="7"/>
        <v/>
      </c>
      <c r="J108" s="82"/>
      <c r="K108" s="94" t="str">
        <f>IF(OR(D108="",E108=""),"",IF(J108="",G108,IF(D108="Buy",MROUND(MAX(E108*(1-Settings!$K$8),J108*(1-Settings!$K$6)),Settings!$K$10),MROUND(MIN(E108*(1+Settings!$K$8),J108*(1+Settings!$K$6)),Settings!$K$10))))</f>
        <v/>
      </c>
      <c r="L108" s="95" t="str">
        <f t="shared" si="8"/>
        <v/>
      </c>
      <c r="M108" s="82"/>
      <c r="N108" s="94" t="str">
        <f>IF(OR(D108="",E108=""),"",IF(M108="",H108,IF(D108="Buy",MROUND(MAX(E108*(1-Settings!$K$8),M108*(1-Settings!$K$6)),Settings!$K$10),MROUND(MIN(E108*(1+Settings!$K$8),M108*(1+Settings!$K$6)),Settings!$K$10))))</f>
        <v/>
      </c>
      <c r="O108" s="95" t="str">
        <f t="shared" si="9"/>
        <v/>
      </c>
      <c r="P108" s="82"/>
      <c r="Q108" s="94" t="str">
        <f>IF(OR(D108="",P108=""),"",IF(D108="Buy",MROUND(P108*(1-Settings!$K$6),Settings!$K$10),MROUND(P108*(1+Settings!$K$6),Settings!$K$10)))</f>
        <v/>
      </c>
      <c r="R108" s="95" t="str">
        <f t="shared" si="10"/>
        <v/>
      </c>
      <c r="S108" s="82"/>
      <c r="T108" s="94" t="str">
        <f>IF(OR(D108="",S108=""),"",IF(D108="Buy",MROUND(S108*(1-Settings!$K$6),Settings!$K$10),MROUND(S108*(1+Settings!$K$6),Settings!$K$10)))</f>
        <v/>
      </c>
      <c r="U108" s="67"/>
      <c r="V108" s="109" t="str">
        <f t="shared" si="11"/>
        <v/>
      </c>
      <c r="W108" s="110"/>
      <c r="X108" s="109" t="str">
        <f t="shared" si="12"/>
        <v/>
      </c>
      <c r="Y108" s="109" t="str">
        <f t="shared" si="13"/>
        <v/>
      </c>
      <c r="Z108" s="82"/>
    </row>
    <row r="109" ht="20" customHeight="1" spans="1:26">
      <c r="A109" s="64">
        <v>96</v>
      </c>
      <c r="B109" s="65"/>
      <c r="C109" s="66"/>
      <c r="D109" s="67"/>
      <c r="E109" s="82"/>
      <c r="F109" s="82"/>
      <c r="G109" s="82"/>
      <c r="H109" s="82"/>
      <c r="I109" s="93" t="str">
        <f t="shared" si="7"/>
        <v/>
      </c>
      <c r="J109" s="82"/>
      <c r="K109" s="94" t="str">
        <f>IF(OR(D109="",E109=""),"",IF(J109="",G109,IF(D109="Buy",MROUND(MAX(E109*(1-Settings!$K$8),J109*(1-Settings!$K$6)),Settings!$K$10),MROUND(MIN(E109*(1+Settings!$K$8),J109*(1+Settings!$K$6)),Settings!$K$10))))</f>
        <v/>
      </c>
      <c r="L109" s="95" t="str">
        <f t="shared" si="8"/>
        <v/>
      </c>
      <c r="M109" s="82"/>
      <c r="N109" s="94" t="str">
        <f>IF(OR(D109="",E109=""),"",IF(M109="",H109,IF(D109="Buy",MROUND(MAX(E109*(1-Settings!$K$8),M109*(1-Settings!$K$6)),Settings!$K$10),MROUND(MIN(E109*(1+Settings!$K$8),M109*(1+Settings!$K$6)),Settings!$K$10))))</f>
        <v/>
      </c>
      <c r="O109" s="95" t="str">
        <f t="shared" si="9"/>
        <v/>
      </c>
      <c r="P109" s="82"/>
      <c r="Q109" s="94" t="str">
        <f>IF(OR(D109="",P109=""),"",IF(D109="Buy",MROUND(P109*(1-Settings!$K$6),Settings!$K$10),MROUND(P109*(1+Settings!$K$6),Settings!$K$10)))</f>
        <v/>
      </c>
      <c r="R109" s="95" t="str">
        <f t="shared" si="10"/>
        <v/>
      </c>
      <c r="S109" s="82"/>
      <c r="T109" s="94" t="str">
        <f>IF(OR(D109="",S109=""),"",IF(D109="Buy",MROUND(S109*(1-Settings!$K$6),Settings!$K$10),MROUND(S109*(1+Settings!$K$6),Settings!$K$10)))</f>
        <v/>
      </c>
      <c r="U109" s="67"/>
      <c r="V109" s="109" t="str">
        <f t="shared" si="11"/>
        <v/>
      </c>
      <c r="W109" s="110"/>
      <c r="X109" s="109" t="str">
        <f t="shared" si="12"/>
        <v/>
      </c>
      <c r="Y109" s="109" t="str">
        <f t="shared" si="13"/>
        <v/>
      </c>
      <c r="Z109" s="82"/>
    </row>
    <row r="110" ht="20" customHeight="1" spans="1:26">
      <c r="A110" s="64">
        <v>97</v>
      </c>
      <c r="B110" s="65"/>
      <c r="C110" s="66"/>
      <c r="D110" s="67"/>
      <c r="E110" s="82"/>
      <c r="F110" s="82"/>
      <c r="G110" s="82"/>
      <c r="H110" s="82"/>
      <c r="I110" s="93" t="str">
        <f t="shared" si="7"/>
        <v/>
      </c>
      <c r="J110" s="82"/>
      <c r="K110" s="94" t="str">
        <f>IF(OR(D110="",E110=""),"",IF(J110="",G110,IF(D110="Buy",MROUND(MAX(E110*(1-Settings!$K$8),J110*(1-Settings!$K$6)),Settings!$K$10),MROUND(MIN(E110*(1+Settings!$K$8),J110*(1+Settings!$K$6)),Settings!$K$10))))</f>
        <v/>
      </c>
      <c r="L110" s="95" t="str">
        <f t="shared" si="8"/>
        <v/>
      </c>
      <c r="M110" s="82"/>
      <c r="N110" s="94" t="str">
        <f>IF(OR(D110="",E110=""),"",IF(M110="",H110,IF(D110="Buy",MROUND(MAX(E110*(1-Settings!$K$8),M110*(1-Settings!$K$6)),Settings!$K$10),MROUND(MIN(E110*(1+Settings!$K$8),M110*(1+Settings!$K$6)),Settings!$K$10))))</f>
        <v/>
      </c>
      <c r="O110" s="95" t="str">
        <f t="shared" si="9"/>
        <v/>
      </c>
      <c r="P110" s="82"/>
      <c r="Q110" s="94" t="str">
        <f>IF(OR(D110="",P110=""),"",IF(D110="Buy",MROUND(P110*(1-Settings!$K$6),Settings!$K$10),MROUND(P110*(1+Settings!$K$6),Settings!$K$10)))</f>
        <v/>
      </c>
      <c r="R110" s="95" t="str">
        <f t="shared" si="10"/>
        <v/>
      </c>
      <c r="S110" s="82"/>
      <c r="T110" s="94" t="str">
        <f>IF(OR(D110="",S110=""),"",IF(D110="Buy",MROUND(S110*(1-Settings!$K$6),Settings!$K$10),MROUND(S110*(1+Settings!$K$6),Settings!$K$10)))</f>
        <v/>
      </c>
      <c r="U110" s="67"/>
      <c r="V110" s="109" t="str">
        <f t="shared" si="11"/>
        <v/>
      </c>
      <c r="W110" s="110"/>
      <c r="X110" s="109" t="str">
        <f t="shared" si="12"/>
        <v/>
      </c>
      <c r="Y110" s="109" t="str">
        <f t="shared" si="13"/>
        <v/>
      </c>
      <c r="Z110" s="82"/>
    </row>
    <row r="111" ht="20" customHeight="1" spans="1:26">
      <c r="A111" s="64">
        <v>98</v>
      </c>
      <c r="B111" s="65"/>
      <c r="C111" s="66"/>
      <c r="D111" s="67"/>
      <c r="E111" s="82"/>
      <c r="F111" s="82"/>
      <c r="G111" s="82"/>
      <c r="H111" s="82"/>
      <c r="I111" s="93" t="str">
        <f t="shared" si="7"/>
        <v/>
      </c>
      <c r="J111" s="82"/>
      <c r="K111" s="94" t="str">
        <f>IF(OR(D111="",E111=""),"",IF(J111="",G111,IF(D111="Buy",MROUND(MAX(E111*(1-Settings!$K$8),J111*(1-Settings!$K$6)),Settings!$K$10),MROUND(MIN(E111*(1+Settings!$K$8),J111*(1+Settings!$K$6)),Settings!$K$10))))</f>
        <v/>
      </c>
      <c r="L111" s="95" t="str">
        <f t="shared" si="8"/>
        <v/>
      </c>
      <c r="M111" s="82"/>
      <c r="N111" s="94" t="str">
        <f>IF(OR(D111="",E111=""),"",IF(M111="",H111,IF(D111="Buy",MROUND(MAX(E111*(1-Settings!$K$8),M111*(1-Settings!$K$6)),Settings!$K$10),MROUND(MIN(E111*(1+Settings!$K$8),M111*(1+Settings!$K$6)),Settings!$K$10))))</f>
        <v/>
      </c>
      <c r="O111" s="95" t="str">
        <f t="shared" si="9"/>
        <v/>
      </c>
      <c r="P111" s="82"/>
      <c r="Q111" s="94" t="str">
        <f>IF(OR(D111="",P111=""),"",IF(D111="Buy",MROUND(P111*(1-Settings!$K$6),Settings!$K$10),MROUND(P111*(1+Settings!$K$6),Settings!$K$10)))</f>
        <v/>
      </c>
      <c r="R111" s="95" t="str">
        <f t="shared" si="10"/>
        <v/>
      </c>
      <c r="S111" s="82"/>
      <c r="T111" s="94" t="str">
        <f>IF(OR(D111="",S111=""),"",IF(D111="Buy",MROUND(S111*(1-Settings!$K$6),Settings!$K$10),MROUND(S111*(1+Settings!$K$6),Settings!$K$10)))</f>
        <v/>
      </c>
      <c r="U111" s="67"/>
      <c r="V111" s="109" t="str">
        <f t="shared" si="11"/>
        <v/>
      </c>
      <c r="W111" s="110"/>
      <c r="X111" s="109" t="str">
        <f t="shared" si="12"/>
        <v/>
      </c>
      <c r="Y111" s="109" t="str">
        <f t="shared" si="13"/>
        <v/>
      </c>
      <c r="Z111" s="82"/>
    </row>
    <row r="112" ht="20" customHeight="1" spans="1:26">
      <c r="A112" s="64">
        <v>99</v>
      </c>
      <c r="B112" s="65"/>
      <c r="C112" s="66"/>
      <c r="D112" s="67"/>
      <c r="E112" s="82"/>
      <c r="F112" s="82"/>
      <c r="G112" s="82"/>
      <c r="H112" s="82"/>
      <c r="I112" s="93" t="str">
        <f t="shared" si="7"/>
        <v/>
      </c>
      <c r="J112" s="82"/>
      <c r="K112" s="94" t="str">
        <f>IF(OR(D112="",E112=""),"",IF(J112="",G112,IF(D112="Buy",MROUND(MAX(E112*(1-Settings!$K$8),J112*(1-Settings!$K$6)),Settings!$K$10),MROUND(MIN(E112*(1+Settings!$K$8),J112*(1+Settings!$K$6)),Settings!$K$10))))</f>
        <v/>
      </c>
      <c r="L112" s="95" t="str">
        <f t="shared" si="8"/>
        <v/>
      </c>
      <c r="M112" s="82"/>
      <c r="N112" s="94" t="str">
        <f>IF(OR(D112="",E112=""),"",IF(M112="",H112,IF(D112="Buy",MROUND(MAX(E112*(1-Settings!$K$8),M112*(1-Settings!$K$6)),Settings!$K$10),MROUND(MIN(E112*(1+Settings!$K$8),M112*(1+Settings!$K$6)),Settings!$K$10))))</f>
        <v/>
      </c>
      <c r="O112" s="95" t="str">
        <f t="shared" si="9"/>
        <v/>
      </c>
      <c r="P112" s="82"/>
      <c r="Q112" s="94" t="str">
        <f>IF(OR(D112="",P112=""),"",IF(D112="Buy",MROUND(P112*(1-Settings!$K$6),Settings!$K$10),MROUND(P112*(1+Settings!$K$6),Settings!$K$10)))</f>
        <v/>
      </c>
      <c r="R112" s="95" t="str">
        <f t="shared" si="10"/>
        <v/>
      </c>
      <c r="S112" s="82"/>
      <c r="T112" s="94" t="str">
        <f>IF(OR(D112="",S112=""),"",IF(D112="Buy",MROUND(S112*(1-Settings!$K$6),Settings!$K$10),MROUND(S112*(1+Settings!$K$6),Settings!$K$10)))</f>
        <v/>
      </c>
      <c r="U112" s="67"/>
      <c r="V112" s="109" t="str">
        <f t="shared" si="11"/>
        <v/>
      </c>
      <c r="W112" s="110"/>
      <c r="X112" s="109" t="str">
        <f t="shared" si="12"/>
        <v/>
      </c>
      <c r="Y112" s="109" t="str">
        <f t="shared" si="13"/>
        <v/>
      </c>
      <c r="Z112" s="82"/>
    </row>
    <row r="113" ht="20" customHeight="1" spans="1:26">
      <c r="A113" s="64">
        <v>100</v>
      </c>
      <c r="B113" s="65"/>
      <c r="C113" s="66"/>
      <c r="D113" s="67"/>
      <c r="E113" s="82"/>
      <c r="F113" s="82"/>
      <c r="G113" s="82"/>
      <c r="H113" s="82"/>
      <c r="I113" s="93" t="str">
        <f t="shared" si="7"/>
        <v/>
      </c>
      <c r="J113" s="82"/>
      <c r="K113" s="94" t="str">
        <f>IF(OR(D113="",E113=""),"",IF(J113="",G113,IF(D113="Buy",MROUND(MAX(E113*(1-Settings!$K$8),J113*(1-Settings!$K$6)),Settings!$K$10),MROUND(MIN(E113*(1+Settings!$K$8),J113*(1+Settings!$K$6)),Settings!$K$10))))</f>
        <v/>
      </c>
      <c r="L113" s="95" t="str">
        <f t="shared" si="8"/>
        <v/>
      </c>
      <c r="M113" s="82"/>
      <c r="N113" s="94" t="str">
        <f>IF(OR(D113="",E113=""),"",IF(M113="",H113,IF(D113="Buy",MROUND(MAX(E113*(1-Settings!$K$8),M113*(1-Settings!$K$6)),Settings!$K$10),MROUND(MIN(E113*(1+Settings!$K$8),M113*(1+Settings!$K$6)),Settings!$K$10))))</f>
        <v/>
      </c>
      <c r="O113" s="95" t="str">
        <f t="shared" si="9"/>
        <v/>
      </c>
      <c r="P113" s="82"/>
      <c r="Q113" s="94" t="str">
        <f>IF(OR(D113="",P113=""),"",IF(D113="Buy",MROUND(P113*(1-Settings!$K$6),Settings!$K$10),MROUND(P113*(1+Settings!$K$6),Settings!$K$10)))</f>
        <v/>
      </c>
      <c r="R113" s="95" t="str">
        <f t="shared" si="10"/>
        <v/>
      </c>
      <c r="S113" s="82"/>
      <c r="T113" s="94" t="str">
        <f>IF(OR(D113="",S113=""),"",IF(D113="Buy",MROUND(S113*(1-Settings!$K$6),Settings!$K$10),MROUND(S113*(1+Settings!$K$6),Settings!$K$10)))</f>
        <v/>
      </c>
      <c r="U113" s="67"/>
      <c r="V113" s="109" t="str">
        <f t="shared" si="11"/>
        <v/>
      </c>
      <c r="W113" s="110"/>
      <c r="X113" s="109" t="str">
        <f t="shared" si="12"/>
        <v/>
      </c>
      <c r="Y113" s="109" t="str">
        <f t="shared" si="13"/>
        <v/>
      </c>
      <c r="Z113" s="82"/>
    </row>
    <row r="114" ht="20" customHeight="1" spans="1:26">
      <c r="A114" s="64">
        <v>101</v>
      </c>
      <c r="B114" s="65"/>
      <c r="C114" s="66"/>
      <c r="D114" s="67"/>
      <c r="E114" s="82"/>
      <c r="F114" s="82"/>
      <c r="G114" s="82"/>
      <c r="H114" s="82"/>
      <c r="I114" s="93" t="str">
        <f t="shared" si="7"/>
        <v/>
      </c>
      <c r="J114" s="82"/>
      <c r="K114" s="94" t="str">
        <f>IF(OR(D114="",E114=""),"",IF(J114="",G114,IF(D114="Buy",MROUND(MAX(E114*(1-Settings!$K$8),J114*(1-Settings!$K$6)),Settings!$K$10),MROUND(MIN(E114*(1+Settings!$K$8),J114*(1+Settings!$K$6)),Settings!$K$10))))</f>
        <v/>
      </c>
      <c r="L114" s="95" t="str">
        <f t="shared" si="8"/>
        <v/>
      </c>
      <c r="M114" s="82"/>
      <c r="N114" s="94" t="str">
        <f>IF(OR(D114="",E114=""),"",IF(M114="",H114,IF(D114="Buy",MROUND(MAX(E114*(1-Settings!$K$8),M114*(1-Settings!$K$6)),Settings!$K$10),MROUND(MIN(E114*(1+Settings!$K$8),M114*(1+Settings!$K$6)),Settings!$K$10))))</f>
        <v/>
      </c>
      <c r="O114" s="95" t="str">
        <f t="shared" si="9"/>
        <v/>
      </c>
      <c r="P114" s="82"/>
      <c r="Q114" s="94" t="str">
        <f>IF(OR(D114="",P114=""),"",IF(D114="Buy",MROUND(P114*(1-Settings!$K$6),Settings!$K$10),MROUND(P114*(1+Settings!$K$6),Settings!$K$10)))</f>
        <v/>
      </c>
      <c r="R114" s="95" t="str">
        <f t="shared" si="10"/>
        <v/>
      </c>
      <c r="S114" s="82"/>
      <c r="T114" s="94" t="str">
        <f>IF(OR(D114="",S114=""),"",IF(D114="Buy",MROUND(S114*(1-Settings!$K$6),Settings!$K$10),MROUND(S114*(1+Settings!$K$6),Settings!$K$10)))</f>
        <v/>
      </c>
      <c r="U114" s="67"/>
      <c r="V114" s="109" t="str">
        <f t="shared" si="11"/>
        <v/>
      </c>
      <c r="W114" s="110"/>
      <c r="X114" s="109" t="str">
        <f t="shared" si="12"/>
        <v/>
      </c>
      <c r="Y114" s="109" t="str">
        <f t="shared" si="13"/>
        <v/>
      </c>
      <c r="Z114" s="82"/>
    </row>
    <row r="115" ht="20" customHeight="1" spans="1:26">
      <c r="A115" s="64">
        <v>102</v>
      </c>
      <c r="B115" s="65"/>
      <c r="C115" s="66"/>
      <c r="D115" s="67"/>
      <c r="E115" s="82"/>
      <c r="F115" s="82"/>
      <c r="G115" s="82"/>
      <c r="H115" s="82"/>
      <c r="I115" s="93" t="str">
        <f t="shared" si="7"/>
        <v/>
      </c>
      <c r="J115" s="82"/>
      <c r="K115" s="94" t="str">
        <f>IF(OR(D115="",E115=""),"",IF(J115="",G115,IF(D115="Buy",MROUND(MAX(E115*(1-Settings!$K$8),J115*(1-Settings!$K$6)),Settings!$K$10),MROUND(MIN(E115*(1+Settings!$K$8),J115*(1+Settings!$K$6)),Settings!$K$10))))</f>
        <v/>
      </c>
      <c r="L115" s="95" t="str">
        <f t="shared" si="8"/>
        <v/>
      </c>
      <c r="M115" s="82"/>
      <c r="N115" s="94" t="str">
        <f>IF(OR(D115="",E115=""),"",IF(M115="",H115,IF(D115="Buy",MROUND(MAX(E115*(1-Settings!$K$8),M115*(1-Settings!$K$6)),Settings!$K$10),MROUND(MIN(E115*(1+Settings!$K$8),M115*(1+Settings!$K$6)),Settings!$K$10))))</f>
        <v/>
      </c>
      <c r="O115" s="95" t="str">
        <f t="shared" si="9"/>
        <v/>
      </c>
      <c r="P115" s="82"/>
      <c r="Q115" s="94" t="str">
        <f>IF(OR(D115="",P115=""),"",IF(D115="Buy",MROUND(P115*(1-Settings!$K$6),Settings!$K$10),MROUND(P115*(1+Settings!$K$6),Settings!$K$10)))</f>
        <v/>
      </c>
      <c r="R115" s="95" t="str">
        <f t="shared" si="10"/>
        <v/>
      </c>
      <c r="S115" s="82"/>
      <c r="T115" s="94" t="str">
        <f>IF(OR(D115="",S115=""),"",IF(D115="Buy",MROUND(S115*(1-Settings!$K$6),Settings!$K$10),MROUND(S115*(1+Settings!$K$6),Settings!$K$10)))</f>
        <v/>
      </c>
      <c r="U115" s="67"/>
      <c r="V115" s="109" t="str">
        <f t="shared" si="11"/>
        <v/>
      </c>
      <c r="W115" s="110"/>
      <c r="X115" s="109" t="str">
        <f t="shared" si="12"/>
        <v/>
      </c>
      <c r="Y115" s="109" t="str">
        <f t="shared" si="13"/>
        <v/>
      </c>
      <c r="Z115" s="82"/>
    </row>
    <row r="116" ht="20" customHeight="1" spans="1:26">
      <c r="A116" s="64">
        <v>103</v>
      </c>
      <c r="B116" s="65"/>
      <c r="C116" s="66"/>
      <c r="D116" s="67"/>
      <c r="E116" s="82"/>
      <c r="F116" s="82"/>
      <c r="G116" s="82"/>
      <c r="H116" s="82"/>
      <c r="I116" s="93" t="str">
        <f t="shared" si="7"/>
        <v/>
      </c>
      <c r="J116" s="82"/>
      <c r="K116" s="94" t="str">
        <f>IF(OR(D116="",E116=""),"",IF(J116="",G116,IF(D116="Buy",MROUND(MAX(E116*(1-Settings!$K$8),J116*(1-Settings!$K$6)),Settings!$K$10),MROUND(MIN(E116*(1+Settings!$K$8),J116*(1+Settings!$K$6)),Settings!$K$10))))</f>
        <v/>
      </c>
      <c r="L116" s="95" t="str">
        <f t="shared" si="8"/>
        <v/>
      </c>
      <c r="M116" s="82"/>
      <c r="N116" s="94" t="str">
        <f>IF(OR(D116="",E116=""),"",IF(M116="",H116,IF(D116="Buy",MROUND(MAX(E116*(1-Settings!$K$8),M116*(1-Settings!$K$6)),Settings!$K$10),MROUND(MIN(E116*(1+Settings!$K$8),M116*(1+Settings!$K$6)),Settings!$K$10))))</f>
        <v/>
      </c>
      <c r="O116" s="95" t="str">
        <f t="shared" si="9"/>
        <v/>
      </c>
      <c r="P116" s="82"/>
      <c r="Q116" s="94" t="str">
        <f>IF(OR(D116="",P116=""),"",IF(D116="Buy",MROUND(P116*(1-Settings!$K$6),Settings!$K$10),MROUND(P116*(1+Settings!$K$6),Settings!$K$10)))</f>
        <v/>
      </c>
      <c r="R116" s="95" t="str">
        <f t="shared" si="10"/>
        <v/>
      </c>
      <c r="S116" s="82"/>
      <c r="T116" s="94" t="str">
        <f>IF(OR(D116="",S116=""),"",IF(D116="Buy",MROUND(S116*(1-Settings!$K$6),Settings!$K$10),MROUND(S116*(1+Settings!$K$6),Settings!$K$10)))</f>
        <v/>
      </c>
      <c r="U116" s="67"/>
      <c r="V116" s="109" t="str">
        <f t="shared" si="11"/>
        <v/>
      </c>
      <c r="W116" s="110"/>
      <c r="X116" s="109" t="str">
        <f t="shared" si="12"/>
        <v/>
      </c>
      <c r="Y116" s="109" t="str">
        <f t="shared" si="13"/>
        <v/>
      </c>
      <c r="Z116" s="82"/>
    </row>
    <row r="117" ht="20" customHeight="1" spans="1:26">
      <c r="A117" s="64">
        <v>104</v>
      </c>
      <c r="B117" s="65"/>
      <c r="C117" s="66"/>
      <c r="D117" s="67"/>
      <c r="E117" s="82"/>
      <c r="F117" s="82"/>
      <c r="G117" s="82"/>
      <c r="H117" s="82"/>
      <c r="I117" s="93" t="str">
        <f t="shared" si="7"/>
        <v/>
      </c>
      <c r="J117" s="82"/>
      <c r="K117" s="94" t="str">
        <f>IF(OR(D117="",E117=""),"",IF(J117="",G117,IF(D117="Buy",MROUND(MAX(E117*(1-Settings!$K$8),J117*(1-Settings!$K$6)),Settings!$K$10),MROUND(MIN(E117*(1+Settings!$K$8),J117*(1+Settings!$K$6)),Settings!$K$10))))</f>
        <v/>
      </c>
      <c r="L117" s="95" t="str">
        <f t="shared" si="8"/>
        <v/>
      </c>
      <c r="M117" s="82"/>
      <c r="N117" s="94" t="str">
        <f>IF(OR(D117="",E117=""),"",IF(M117="",H117,IF(D117="Buy",MROUND(MAX(E117*(1-Settings!$K$8),M117*(1-Settings!$K$6)),Settings!$K$10),MROUND(MIN(E117*(1+Settings!$K$8),M117*(1+Settings!$K$6)),Settings!$K$10))))</f>
        <v/>
      </c>
      <c r="O117" s="95" t="str">
        <f t="shared" si="9"/>
        <v/>
      </c>
      <c r="P117" s="82"/>
      <c r="Q117" s="94" t="str">
        <f>IF(OR(D117="",P117=""),"",IF(D117="Buy",MROUND(P117*(1-Settings!$K$6),Settings!$K$10),MROUND(P117*(1+Settings!$K$6),Settings!$K$10)))</f>
        <v/>
      </c>
      <c r="R117" s="95" t="str">
        <f t="shared" si="10"/>
        <v/>
      </c>
      <c r="S117" s="82"/>
      <c r="T117" s="94" t="str">
        <f>IF(OR(D117="",S117=""),"",IF(D117="Buy",MROUND(S117*(1-Settings!$K$6),Settings!$K$10),MROUND(S117*(1+Settings!$K$6),Settings!$K$10)))</f>
        <v/>
      </c>
      <c r="U117" s="67"/>
      <c r="V117" s="109" t="str">
        <f t="shared" si="11"/>
        <v/>
      </c>
      <c r="W117" s="110"/>
      <c r="X117" s="109" t="str">
        <f t="shared" si="12"/>
        <v/>
      </c>
      <c r="Y117" s="109" t="str">
        <f t="shared" si="13"/>
        <v/>
      </c>
      <c r="Z117" s="82"/>
    </row>
    <row r="118" ht="20" customHeight="1" spans="1:26">
      <c r="A118" s="64">
        <v>105</v>
      </c>
      <c r="B118" s="65"/>
      <c r="C118" s="66"/>
      <c r="D118" s="67"/>
      <c r="E118" s="82"/>
      <c r="F118" s="82"/>
      <c r="G118" s="82"/>
      <c r="H118" s="82"/>
      <c r="I118" s="93" t="str">
        <f t="shared" si="7"/>
        <v/>
      </c>
      <c r="J118" s="82"/>
      <c r="K118" s="94" t="str">
        <f>IF(OR(D118="",E118=""),"",IF(J118="",G118,IF(D118="Buy",MROUND(MAX(E118*(1-Settings!$K$8),J118*(1-Settings!$K$6)),Settings!$K$10),MROUND(MIN(E118*(1+Settings!$K$8),J118*(1+Settings!$K$6)),Settings!$K$10))))</f>
        <v/>
      </c>
      <c r="L118" s="95" t="str">
        <f t="shared" si="8"/>
        <v/>
      </c>
      <c r="M118" s="82"/>
      <c r="N118" s="94" t="str">
        <f>IF(OR(D118="",E118=""),"",IF(M118="",H118,IF(D118="Buy",MROUND(MAX(E118*(1-Settings!$K$8),M118*(1-Settings!$K$6)),Settings!$K$10),MROUND(MIN(E118*(1+Settings!$K$8),M118*(1+Settings!$K$6)),Settings!$K$10))))</f>
        <v/>
      </c>
      <c r="O118" s="95" t="str">
        <f t="shared" si="9"/>
        <v/>
      </c>
      <c r="P118" s="82"/>
      <c r="Q118" s="94" t="str">
        <f>IF(OR(D118="",P118=""),"",IF(D118="Buy",MROUND(P118*(1-Settings!$K$6),Settings!$K$10),MROUND(P118*(1+Settings!$K$6),Settings!$K$10)))</f>
        <v/>
      </c>
      <c r="R118" s="95" t="str">
        <f t="shared" si="10"/>
        <v/>
      </c>
      <c r="S118" s="82"/>
      <c r="T118" s="94" t="str">
        <f>IF(OR(D118="",S118=""),"",IF(D118="Buy",MROUND(S118*(1-Settings!$K$6),Settings!$K$10),MROUND(S118*(1+Settings!$K$6),Settings!$K$10)))</f>
        <v/>
      </c>
      <c r="U118" s="67"/>
      <c r="V118" s="109" t="str">
        <f t="shared" si="11"/>
        <v/>
      </c>
      <c r="W118" s="110"/>
      <c r="X118" s="109" t="str">
        <f t="shared" si="12"/>
        <v/>
      </c>
      <c r="Y118" s="109" t="str">
        <f t="shared" si="13"/>
        <v/>
      </c>
      <c r="Z118" s="82"/>
    </row>
    <row r="119" ht="20" customHeight="1" spans="1:26">
      <c r="A119" s="64">
        <v>106</v>
      </c>
      <c r="B119" s="65"/>
      <c r="C119" s="66"/>
      <c r="D119" s="67"/>
      <c r="E119" s="82"/>
      <c r="F119" s="82"/>
      <c r="G119" s="82"/>
      <c r="H119" s="82"/>
      <c r="I119" s="93" t="str">
        <f t="shared" si="7"/>
        <v/>
      </c>
      <c r="J119" s="82"/>
      <c r="K119" s="94" t="str">
        <f>IF(OR(D119="",E119=""),"",IF(J119="",G119,IF(D119="Buy",MROUND(MAX(E119*(1-Settings!$K$8),J119*(1-Settings!$K$6)),Settings!$K$10),MROUND(MIN(E119*(1+Settings!$K$8),J119*(1+Settings!$K$6)),Settings!$K$10))))</f>
        <v/>
      </c>
      <c r="L119" s="95" t="str">
        <f t="shared" si="8"/>
        <v/>
      </c>
      <c r="M119" s="82"/>
      <c r="N119" s="94" t="str">
        <f>IF(OR(D119="",E119=""),"",IF(M119="",H119,IF(D119="Buy",MROUND(MAX(E119*(1-Settings!$K$8),M119*(1-Settings!$K$6)),Settings!$K$10),MROUND(MIN(E119*(1+Settings!$K$8),M119*(1+Settings!$K$6)),Settings!$K$10))))</f>
        <v/>
      </c>
      <c r="O119" s="95" t="str">
        <f t="shared" si="9"/>
        <v/>
      </c>
      <c r="P119" s="82"/>
      <c r="Q119" s="94" t="str">
        <f>IF(OR(D119="",P119=""),"",IF(D119="Buy",MROUND(P119*(1-Settings!$K$6),Settings!$K$10),MROUND(P119*(1+Settings!$K$6),Settings!$K$10)))</f>
        <v/>
      </c>
      <c r="R119" s="95" t="str">
        <f t="shared" si="10"/>
        <v/>
      </c>
      <c r="S119" s="82"/>
      <c r="T119" s="94" t="str">
        <f>IF(OR(D119="",S119=""),"",IF(D119="Buy",MROUND(S119*(1-Settings!$K$6),Settings!$K$10),MROUND(S119*(1+Settings!$K$6),Settings!$K$10)))</f>
        <v/>
      </c>
      <c r="U119" s="67"/>
      <c r="V119" s="109" t="str">
        <f t="shared" si="11"/>
        <v/>
      </c>
      <c r="W119" s="110"/>
      <c r="X119" s="109" t="str">
        <f t="shared" si="12"/>
        <v/>
      </c>
      <c r="Y119" s="109" t="str">
        <f t="shared" si="13"/>
        <v/>
      </c>
      <c r="Z119" s="82"/>
    </row>
    <row r="120" ht="20" customHeight="1" spans="1:26">
      <c r="A120" s="64">
        <v>107</v>
      </c>
      <c r="B120" s="65"/>
      <c r="C120" s="66"/>
      <c r="D120" s="67"/>
      <c r="E120" s="82"/>
      <c r="F120" s="82"/>
      <c r="G120" s="82"/>
      <c r="H120" s="82"/>
      <c r="I120" s="93" t="str">
        <f t="shared" si="7"/>
        <v/>
      </c>
      <c r="J120" s="82"/>
      <c r="K120" s="94" t="str">
        <f>IF(OR(D120="",E120=""),"",IF(J120="",G120,IF(D120="Buy",MROUND(MAX(E120*(1-Settings!$K$8),J120*(1-Settings!$K$6)),Settings!$K$10),MROUND(MIN(E120*(1+Settings!$K$8),J120*(1+Settings!$K$6)),Settings!$K$10))))</f>
        <v/>
      </c>
      <c r="L120" s="95" t="str">
        <f t="shared" si="8"/>
        <v/>
      </c>
      <c r="M120" s="82"/>
      <c r="N120" s="94" t="str">
        <f>IF(OR(D120="",E120=""),"",IF(M120="",H120,IF(D120="Buy",MROUND(MAX(E120*(1-Settings!$K$8),M120*(1-Settings!$K$6)),Settings!$K$10),MROUND(MIN(E120*(1+Settings!$K$8),M120*(1+Settings!$K$6)),Settings!$K$10))))</f>
        <v/>
      </c>
      <c r="O120" s="95" t="str">
        <f t="shared" si="9"/>
        <v/>
      </c>
      <c r="P120" s="82"/>
      <c r="Q120" s="94" t="str">
        <f>IF(OR(D120="",P120=""),"",IF(D120="Buy",MROUND(P120*(1-Settings!$K$6),Settings!$K$10),MROUND(P120*(1+Settings!$K$6),Settings!$K$10)))</f>
        <v/>
      </c>
      <c r="R120" s="95" t="str">
        <f t="shared" si="10"/>
        <v/>
      </c>
      <c r="S120" s="82"/>
      <c r="T120" s="94" t="str">
        <f>IF(OR(D120="",S120=""),"",IF(D120="Buy",MROUND(S120*(1-Settings!$K$6),Settings!$K$10),MROUND(S120*(1+Settings!$K$6),Settings!$K$10)))</f>
        <v/>
      </c>
      <c r="U120" s="67"/>
      <c r="V120" s="109" t="str">
        <f t="shared" si="11"/>
        <v/>
      </c>
      <c r="W120" s="110"/>
      <c r="X120" s="109" t="str">
        <f t="shared" si="12"/>
        <v/>
      </c>
      <c r="Y120" s="109" t="str">
        <f t="shared" si="13"/>
        <v/>
      </c>
      <c r="Z120" s="82"/>
    </row>
    <row r="121" ht="20" customHeight="1" spans="1:26">
      <c r="A121" s="64">
        <v>108</v>
      </c>
      <c r="B121" s="65"/>
      <c r="C121" s="66"/>
      <c r="D121" s="67"/>
      <c r="E121" s="82"/>
      <c r="F121" s="82"/>
      <c r="G121" s="82"/>
      <c r="H121" s="82"/>
      <c r="I121" s="93" t="str">
        <f t="shared" si="7"/>
        <v/>
      </c>
      <c r="J121" s="82"/>
      <c r="K121" s="94" t="str">
        <f>IF(OR(D121="",E121=""),"",IF(J121="",G121,IF(D121="Buy",MROUND(MAX(E121*(1-Settings!$K$8),J121*(1-Settings!$K$6)),Settings!$K$10),MROUND(MIN(E121*(1+Settings!$K$8),J121*(1+Settings!$K$6)),Settings!$K$10))))</f>
        <v/>
      </c>
      <c r="L121" s="95" t="str">
        <f t="shared" si="8"/>
        <v/>
      </c>
      <c r="M121" s="82"/>
      <c r="N121" s="94" t="str">
        <f>IF(OR(D121="",E121=""),"",IF(M121="",H121,IF(D121="Buy",MROUND(MAX(E121*(1-Settings!$K$8),M121*(1-Settings!$K$6)),Settings!$K$10),MROUND(MIN(E121*(1+Settings!$K$8),M121*(1+Settings!$K$6)),Settings!$K$10))))</f>
        <v/>
      </c>
      <c r="O121" s="95" t="str">
        <f t="shared" si="9"/>
        <v/>
      </c>
      <c r="P121" s="82"/>
      <c r="Q121" s="94" t="str">
        <f>IF(OR(D121="",P121=""),"",IF(D121="Buy",MROUND(P121*(1-Settings!$K$6),Settings!$K$10),MROUND(P121*(1+Settings!$K$6),Settings!$K$10)))</f>
        <v/>
      </c>
      <c r="R121" s="95" t="str">
        <f t="shared" si="10"/>
        <v/>
      </c>
      <c r="S121" s="82"/>
      <c r="T121" s="94" t="str">
        <f>IF(OR(D121="",S121=""),"",IF(D121="Buy",MROUND(S121*(1-Settings!$K$6),Settings!$K$10),MROUND(S121*(1+Settings!$K$6),Settings!$K$10)))</f>
        <v/>
      </c>
      <c r="U121" s="67"/>
      <c r="V121" s="109" t="str">
        <f t="shared" si="11"/>
        <v/>
      </c>
      <c r="W121" s="110"/>
      <c r="X121" s="109" t="str">
        <f t="shared" si="12"/>
        <v/>
      </c>
      <c r="Y121" s="109" t="str">
        <f t="shared" si="13"/>
        <v/>
      </c>
      <c r="Z121" s="82"/>
    </row>
    <row r="122" ht="20" customHeight="1" spans="1:26">
      <c r="A122" s="64">
        <v>109</v>
      </c>
      <c r="B122" s="65"/>
      <c r="C122" s="66"/>
      <c r="D122" s="67"/>
      <c r="E122" s="82"/>
      <c r="F122" s="82"/>
      <c r="G122" s="82"/>
      <c r="H122" s="82"/>
      <c r="I122" s="93" t="str">
        <f t="shared" si="7"/>
        <v/>
      </c>
      <c r="J122" s="82"/>
      <c r="K122" s="94" t="str">
        <f>IF(OR(D122="",E122=""),"",IF(J122="",G122,IF(D122="Buy",MROUND(MAX(E122*(1-Settings!$K$8),J122*(1-Settings!$K$6)),Settings!$K$10),MROUND(MIN(E122*(1+Settings!$K$8),J122*(1+Settings!$K$6)),Settings!$K$10))))</f>
        <v/>
      </c>
      <c r="L122" s="95" t="str">
        <f t="shared" si="8"/>
        <v/>
      </c>
      <c r="M122" s="82"/>
      <c r="N122" s="94" t="str">
        <f>IF(OR(D122="",E122=""),"",IF(M122="",H122,IF(D122="Buy",MROUND(MAX(E122*(1-Settings!$K$8),M122*(1-Settings!$K$6)),Settings!$K$10),MROUND(MIN(E122*(1+Settings!$K$8),M122*(1+Settings!$K$6)),Settings!$K$10))))</f>
        <v/>
      </c>
      <c r="O122" s="95" t="str">
        <f t="shared" si="9"/>
        <v/>
      </c>
      <c r="P122" s="82"/>
      <c r="Q122" s="94" t="str">
        <f>IF(OR(D122="",P122=""),"",IF(D122="Buy",MROUND(P122*(1-Settings!$K$6),Settings!$K$10),MROUND(P122*(1+Settings!$K$6),Settings!$K$10)))</f>
        <v/>
      </c>
      <c r="R122" s="95" t="str">
        <f t="shared" si="10"/>
        <v/>
      </c>
      <c r="S122" s="82"/>
      <c r="T122" s="94" t="str">
        <f>IF(OR(D122="",S122=""),"",IF(D122="Buy",MROUND(S122*(1-Settings!$K$6),Settings!$K$10),MROUND(S122*(1+Settings!$K$6),Settings!$K$10)))</f>
        <v/>
      </c>
      <c r="U122" s="67"/>
      <c r="V122" s="109" t="str">
        <f t="shared" si="11"/>
        <v/>
      </c>
      <c r="W122" s="110"/>
      <c r="X122" s="109" t="str">
        <f t="shared" si="12"/>
        <v/>
      </c>
      <c r="Y122" s="109" t="str">
        <f t="shared" si="13"/>
        <v/>
      </c>
      <c r="Z122" s="82"/>
    </row>
    <row r="123" ht="20" customHeight="1" spans="1:26">
      <c r="A123" s="64">
        <v>110</v>
      </c>
      <c r="B123" s="65"/>
      <c r="C123" s="66"/>
      <c r="D123" s="67"/>
      <c r="E123" s="82"/>
      <c r="F123" s="82"/>
      <c r="G123" s="82"/>
      <c r="H123" s="82"/>
      <c r="I123" s="93" t="str">
        <f t="shared" si="7"/>
        <v/>
      </c>
      <c r="J123" s="82"/>
      <c r="K123" s="94" t="str">
        <f>IF(OR(D123="",E123=""),"",IF(J123="",G123,IF(D123="Buy",MROUND(MAX(E123*(1-Settings!$K$8),J123*(1-Settings!$K$6)),Settings!$K$10),MROUND(MIN(E123*(1+Settings!$K$8),J123*(1+Settings!$K$6)),Settings!$K$10))))</f>
        <v/>
      </c>
      <c r="L123" s="95" t="str">
        <f t="shared" si="8"/>
        <v/>
      </c>
      <c r="M123" s="82"/>
      <c r="N123" s="94" t="str">
        <f>IF(OR(D123="",E123=""),"",IF(M123="",H123,IF(D123="Buy",MROUND(MAX(E123*(1-Settings!$K$8),M123*(1-Settings!$K$6)),Settings!$K$10),MROUND(MIN(E123*(1+Settings!$K$8),M123*(1+Settings!$K$6)),Settings!$K$10))))</f>
        <v/>
      </c>
      <c r="O123" s="95" t="str">
        <f t="shared" si="9"/>
        <v/>
      </c>
      <c r="P123" s="82"/>
      <c r="Q123" s="94" t="str">
        <f>IF(OR(D123="",P123=""),"",IF(D123="Buy",MROUND(P123*(1-Settings!$K$6),Settings!$K$10),MROUND(P123*(1+Settings!$K$6),Settings!$K$10)))</f>
        <v/>
      </c>
      <c r="R123" s="95" t="str">
        <f t="shared" si="10"/>
        <v/>
      </c>
      <c r="S123" s="82"/>
      <c r="T123" s="94" t="str">
        <f>IF(OR(D123="",S123=""),"",IF(D123="Buy",MROUND(S123*(1-Settings!$K$6),Settings!$K$10),MROUND(S123*(1+Settings!$K$6),Settings!$K$10)))</f>
        <v/>
      </c>
      <c r="U123" s="67"/>
      <c r="V123" s="109" t="str">
        <f t="shared" si="11"/>
        <v/>
      </c>
      <c r="W123" s="110"/>
      <c r="X123" s="109" t="str">
        <f t="shared" si="12"/>
        <v/>
      </c>
      <c r="Y123" s="109" t="str">
        <f t="shared" si="13"/>
        <v/>
      </c>
      <c r="Z123" s="82"/>
    </row>
    <row r="124" ht="20" customHeight="1" spans="1:26">
      <c r="A124" s="64">
        <v>111</v>
      </c>
      <c r="B124" s="65"/>
      <c r="C124" s="66"/>
      <c r="D124" s="67"/>
      <c r="E124" s="82"/>
      <c r="F124" s="82"/>
      <c r="G124" s="82"/>
      <c r="H124" s="82"/>
      <c r="I124" s="93" t="str">
        <f t="shared" si="7"/>
        <v/>
      </c>
      <c r="J124" s="82"/>
      <c r="K124" s="94" t="str">
        <f>IF(OR(D124="",E124=""),"",IF(J124="",G124,IF(D124="Buy",MROUND(MAX(E124*(1-Settings!$K$8),J124*(1-Settings!$K$6)),Settings!$K$10),MROUND(MIN(E124*(1+Settings!$K$8),J124*(1+Settings!$K$6)),Settings!$K$10))))</f>
        <v/>
      </c>
      <c r="L124" s="95" t="str">
        <f t="shared" si="8"/>
        <v/>
      </c>
      <c r="M124" s="82"/>
      <c r="N124" s="94" t="str">
        <f>IF(OR(D124="",E124=""),"",IF(M124="",H124,IF(D124="Buy",MROUND(MAX(E124*(1-Settings!$K$8),M124*(1-Settings!$K$6)),Settings!$K$10),MROUND(MIN(E124*(1+Settings!$K$8),M124*(1+Settings!$K$6)),Settings!$K$10))))</f>
        <v/>
      </c>
      <c r="O124" s="95" t="str">
        <f t="shared" si="9"/>
        <v/>
      </c>
      <c r="P124" s="82"/>
      <c r="Q124" s="94" t="str">
        <f>IF(OR(D124="",P124=""),"",IF(D124="Buy",MROUND(P124*(1-Settings!$K$6),Settings!$K$10),MROUND(P124*(1+Settings!$K$6),Settings!$K$10)))</f>
        <v/>
      </c>
      <c r="R124" s="95" t="str">
        <f t="shared" si="10"/>
        <v/>
      </c>
      <c r="S124" s="82"/>
      <c r="T124" s="94" t="str">
        <f>IF(OR(D124="",S124=""),"",IF(D124="Buy",MROUND(S124*(1-Settings!$K$6),Settings!$K$10),MROUND(S124*(1+Settings!$K$6),Settings!$K$10)))</f>
        <v/>
      </c>
      <c r="U124" s="67"/>
      <c r="V124" s="109" t="str">
        <f t="shared" si="11"/>
        <v/>
      </c>
      <c r="W124" s="110"/>
      <c r="X124" s="109" t="str">
        <f t="shared" si="12"/>
        <v/>
      </c>
      <c r="Y124" s="109" t="str">
        <f t="shared" si="13"/>
        <v/>
      </c>
      <c r="Z124" s="82"/>
    </row>
    <row r="125" ht="20" customHeight="1" spans="1:26">
      <c r="A125" s="64">
        <v>112</v>
      </c>
      <c r="B125" s="65"/>
      <c r="C125" s="66"/>
      <c r="D125" s="67"/>
      <c r="E125" s="82"/>
      <c r="F125" s="82"/>
      <c r="G125" s="82"/>
      <c r="H125" s="82"/>
      <c r="I125" s="93" t="str">
        <f t="shared" si="7"/>
        <v/>
      </c>
      <c r="J125" s="82"/>
      <c r="K125" s="94" t="str">
        <f>IF(OR(D125="",E125=""),"",IF(J125="",G125,IF(D125="Buy",MROUND(MAX(E125*(1-Settings!$K$8),J125*(1-Settings!$K$6)),Settings!$K$10),MROUND(MIN(E125*(1+Settings!$K$8),J125*(1+Settings!$K$6)),Settings!$K$10))))</f>
        <v/>
      </c>
      <c r="L125" s="95" t="str">
        <f t="shared" si="8"/>
        <v/>
      </c>
      <c r="M125" s="82"/>
      <c r="N125" s="94" t="str">
        <f>IF(OR(D125="",E125=""),"",IF(M125="",H125,IF(D125="Buy",MROUND(MAX(E125*(1-Settings!$K$8),M125*(1-Settings!$K$6)),Settings!$K$10),MROUND(MIN(E125*(1+Settings!$K$8),M125*(1+Settings!$K$6)),Settings!$K$10))))</f>
        <v/>
      </c>
      <c r="O125" s="95" t="str">
        <f t="shared" si="9"/>
        <v/>
      </c>
      <c r="P125" s="82"/>
      <c r="Q125" s="94" t="str">
        <f>IF(OR(D125="",P125=""),"",IF(D125="Buy",MROUND(P125*(1-Settings!$K$6),Settings!$K$10),MROUND(P125*(1+Settings!$K$6),Settings!$K$10)))</f>
        <v/>
      </c>
      <c r="R125" s="95" t="str">
        <f t="shared" si="10"/>
        <v/>
      </c>
      <c r="S125" s="82"/>
      <c r="T125" s="94" t="str">
        <f>IF(OR(D125="",S125=""),"",IF(D125="Buy",MROUND(S125*(1-Settings!$K$6),Settings!$K$10),MROUND(S125*(1+Settings!$K$6),Settings!$K$10)))</f>
        <v/>
      </c>
      <c r="U125" s="67"/>
      <c r="V125" s="109" t="str">
        <f t="shared" si="11"/>
        <v/>
      </c>
      <c r="W125" s="110"/>
      <c r="X125" s="109" t="str">
        <f t="shared" si="12"/>
        <v/>
      </c>
      <c r="Y125" s="109" t="str">
        <f t="shared" si="13"/>
        <v/>
      </c>
      <c r="Z125" s="82"/>
    </row>
    <row r="126" ht="20" customHeight="1" spans="1:26">
      <c r="A126" s="64">
        <v>113</v>
      </c>
      <c r="B126" s="65"/>
      <c r="C126" s="66"/>
      <c r="D126" s="67"/>
      <c r="E126" s="82"/>
      <c r="F126" s="82"/>
      <c r="G126" s="82"/>
      <c r="H126" s="82"/>
      <c r="I126" s="93" t="str">
        <f t="shared" si="7"/>
        <v/>
      </c>
      <c r="J126" s="82"/>
      <c r="K126" s="94" t="str">
        <f>IF(OR(D126="",E126=""),"",IF(J126="",G126,IF(D126="Buy",MROUND(MAX(E126*(1-Settings!$K$8),J126*(1-Settings!$K$6)),Settings!$K$10),MROUND(MIN(E126*(1+Settings!$K$8),J126*(1+Settings!$K$6)),Settings!$K$10))))</f>
        <v/>
      </c>
      <c r="L126" s="95" t="str">
        <f t="shared" si="8"/>
        <v/>
      </c>
      <c r="M126" s="82"/>
      <c r="N126" s="94" t="str">
        <f>IF(OR(D126="",E126=""),"",IF(M126="",H126,IF(D126="Buy",MROUND(MAX(E126*(1-Settings!$K$8),M126*(1-Settings!$K$6)),Settings!$K$10),MROUND(MIN(E126*(1+Settings!$K$8),M126*(1+Settings!$K$6)),Settings!$K$10))))</f>
        <v/>
      </c>
      <c r="O126" s="95" t="str">
        <f t="shared" si="9"/>
        <v/>
      </c>
      <c r="P126" s="82"/>
      <c r="Q126" s="94" t="str">
        <f>IF(OR(D126="",P126=""),"",IF(D126="Buy",MROUND(P126*(1-Settings!$K$6),Settings!$K$10),MROUND(P126*(1+Settings!$K$6),Settings!$K$10)))</f>
        <v/>
      </c>
      <c r="R126" s="95" t="str">
        <f t="shared" si="10"/>
        <v/>
      </c>
      <c r="S126" s="82"/>
      <c r="T126" s="94" t="str">
        <f>IF(OR(D126="",S126=""),"",IF(D126="Buy",MROUND(S126*(1-Settings!$K$6),Settings!$K$10),MROUND(S126*(1+Settings!$K$6),Settings!$K$10)))</f>
        <v/>
      </c>
      <c r="U126" s="67"/>
      <c r="V126" s="109" t="str">
        <f t="shared" si="11"/>
        <v/>
      </c>
      <c r="W126" s="110"/>
      <c r="X126" s="109" t="str">
        <f t="shared" si="12"/>
        <v/>
      </c>
      <c r="Y126" s="109" t="str">
        <f t="shared" si="13"/>
        <v/>
      </c>
      <c r="Z126" s="82"/>
    </row>
    <row r="127" ht="20" customHeight="1" spans="1:26">
      <c r="A127" s="64">
        <v>114</v>
      </c>
      <c r="B127" s="65"/>
      <c r="C127" s="66"/>
      <c r="D127" s="67"/>
      <c r="E127" s="82"/>
      <c r="F127" s="82"/>
      <c r="G127" s="82"/>
      <c r="H127" s="82"/>
      <c r="I127" s="93" t="str">
        <f t="shared" si="7"/>
        <v/>
      </c>
      <c r="J127" s="82"/>
      <c r="K127" s="94" t="str">
        <f>IF(OR(D127="",E127=""),"",IF(J127="",G127,IF(D127="Buy",MROUND(MAX(E127*(1-Settings!$K$8),J127*(1-Settings!$K$6)),Settings!$K$10),MROUND(MIN(E127*(1+Settings!$K$8),J127*(1+Settings!$K$6)),Settings!$K$10))))</f>
        <v/>
      </c>
      <c r="L127" s="95" t="str">
        <f t="shared" si="8"/>
        <v/>
      </c>
      <c r="M127" s="82"/>
      <c r="N127" s="94" t="str">
        <f>IF(OR(D127="",E127=""),"",IF(M127="",H127,IF(D127="Buy",MROUND(MAX(E127*(1-Settings!$K$8),M127*(1-Settings!$K$6)),Settings!$K$10),MROUND(MIN(E127*(1+Settings!$K$8),M127*(1+Settings!$K$6)),Settings!$K$10))))</f>
        <v/>
      </c>
      <c r="O127" s="95" t="str">
        <f t="shared" si="9"/>
        <v/>
      </c>
      <c r="P127" s="82"/>
      <c r="Q127" s="94" t="str">
        <f>IF(OR(D127="",P127=""),"",IF(D127="Buy",MROUND(P127*(1-Settings!$K$6),Settings!$K$10),MROUND(P127*(1+Settings!$K$6),Settings!$K$10)))</f>
        <v/>
      </c>
      <c r="R127" s="95" t="str">
        <f t="shared" si="10"/>
        <v/>
      </c>
      <c r="S127" s="82"/>
      <c r="T127" s="94" t="str">
        <f>IF(OR(D127="",S127=""),"",IF(D127="Buy",MROUND(S127*(1-Settings!$K$6),Settings!$K$10),MROUND(S127*(1+Settings!$K$6),Settings!$K$10)))</f>
        <v/>
      </c>
      <c r="U127" s="67"/>
      <c r="V127" s="109" t="str">
        <f t="shared" si="11"/>
        <v/>
      </c>
      <c r="W127" s="110"/>
      <c r="X127" s="109" t="str">
        <f t="shared" si="12"/>
        <v/>
      </c>
      <c r="Y127" s="109" t="str">
        <f t="shared" si="13"/>
        <v/>
      </c>
      <c r="Z127" s="82"/>
    </row>
    <row r="128" ht="20" customHeight="1" spans="1:26">
      <c r="A128" s="64">
        <v>115</v>
      </c>
      <c r="B128" s="65"/>
      <c r="C128" s="66"/>
      <c r="D128" s="67"/>
      <c r="E128" s="82"/>
      <c r="F128" s="82"/>
      <c r="G128" s="82"/>
      <c r="H128" s="82"/>
      <c r="I128" s="93" t="str">
        <f t="shared" si="7"/>
        <v/>
      </c>
      <c r="J128" s="82"/>
      <c r="K128" s="94" t="str">
        <f>IF(OR(D128="",E128=""),"",IF(J128="",G128,IF(D128="Buy",MROUND(MAX(E128*(1-Settings!$K$8),J128*(1-Settings!$K$6)),Settings!$K$10),MROUND(MIN(E128*(1+Settings!$K$8),J128*(1+Settings!$K$6)),Settings!$K$10))))</f>
        <v/>
      </c>
      <c r="L128" s="95" t="str">
        <f t="shared" si="8"/>
        <v/>
      </c>
      <c r="M128" s="82"/>
      <c r="N128" s="94" t="str">
        <f>IF(OR(D128="",E128=""),"",IF(M128="",H128,IF(D128="Buy",MROUND(MAX(E128*(1-Settings!$K$8),M128*(1-Settings!$K$6)),Settings!$K$10),MROUND(MIN(E128*(1+Settings!$K$8),M128*(1+Settings!$K$6)),Settings!$K$10))))</f>
        <v/>
      </c>
      <c r="O128" s="95" t="str">
        <f t="shared" si="9"/>
        <v/>
      </c>
      <c r="P128" s="82"/>
      <c r="Q128" s="94" t="str">
        <f>IF(OR(D128="",P128=""),"",IF(D128="Buy",MROUND(P128*(1-Settings!$K$6),Settings!$K$10),MROUND(P128*(1+Settings!$K$6),Settings!$K$10)))</f>
        <v/>
      </c>
      <c r="R128" s="95" t="str">
        <f t="shared" si="10"/>
        <v/>
      </c>
      <c r="S128" s="82"/>
      <c r="T128" s="94" t="str">
        <f>IF(OR(D128="",S128=""),"",IF(D128="Buy",MROUND(S128*(1-Settings!$K$6),Settings!$K$10),MROUND(S128*(1+Settings!$K$6),Settings!$K$10)))</f>
        <v/>
      </c>
      <c r="U128" s="67"/>
      <c r="V128" s="109" t="str">
        <f t="shared" si="11"/>
        <v/>
      </c>
      <c r="W128" s="110"/>
      <c r="X128" s="109" t="str">
        <f t="shared" si="12"/>
        <v/>
      </c>
      <c r="Y128" s="109" t="str">
        <f t="shared" si="13"/>
        <v/>
      </c>
      <c r="Z128" s="82"/>
    </row>
    <row r="129" ht="20" customHeight="1" spans="1:26">
      <c r="A129" s="64">
        <v>116</v>
      </c>
      <c r="B129" s="65"/>
      <c r="C129" s="66"/>
      <c r="D129" s="67"/>
      <c r="E129" s="82"/>
      <c r="F129" s="82"/>
      <c r="G129" s="82"/>
      <c r="H129" s="82"/>
      <c r="I129" s="93" t="str">
        <f t="shared" si="7"/>
        <v/>
      </c>
      <c r="J129" s="82"/>
      <c r="K129" s="94" t="str">
        <f>IF(OR(D129="",E129=""),"",IF(J129="",G129,IF(D129="Buy",MROUND(MAX(E129*(1-Settings!$K$8),J129*(1-Settings!$K$6)),Settings!$K$10),MROUND(MIN(E129*(1+Settings!$K$8),J129*(1+Settings!$K$6)),Settings!$K$10))))</f>
        <v/>
      </c>
      <c r="L129" s="95" t="str">
        <f t="shared" si="8"/>
        <v/>
      </c>
      <c r="M129" s="82"/>
      <c r="N129" s="94" t="str">
        <f>IF(OR(D129="",E129=""),"",IF(M129="",H129,IF(D129="Buy",MROUND(MAX(E129*(1-Settings!$K$8),M129*(1-Settings!$K$6)),Settings!$K$10),MROUND(MIN(E129*(1+Settings!$K$8),M129*(1+Settings!$K$6)),Settings!$K$10))))</f>
        <v/>
      </c>
      <c r="O129" s="95" t="str">
        <f t="shared" si="9"/>
        <v/>
      </c>
      <c r="P129" s="82"/>
      <c r="Q129" s="94" t="str">
        <f>IF(OR(D129="",P129=""),"",IF(D129="Buy",MROUND(P129*(1-Settings!$K$6),Settings!$K$10),MROUND(P129*(1+Settings!$K$6),Settings!$K$10)))</f>
        <v/>
      </c>
      <c r="R129" s="95" t="str">
        <f t="shared" si="10"/>
        <v/>
      </c>
      <c r="S129" s="82"/>
      <c r="T129" s="94" t="str">
        <f>IF(OR(D129="",S129=""),"",IF(D129="Buy",MROUND(S129*(1-Settings!$K$6),Settings!$K$10),MROUND(S129*(1+Settings!$K$6),Settings!$K$10)))</f>
        <v/>
      </c>
      <c r="U129" s="67"/>
      <c r="V129" s="109" t="str">
        <f t="shared" si="11"/>
        <v/>
      </c>
      <c r="W129" s="110"/>
      <c r="X129" s="109" t="str">
        <f t="shared" si="12"/>
        <v/>
      </c>
      <c r="Y129" s="109" t="str">
        <f t="shared" si="13"/>
        <v/>
      </c>
      <c r="Z129" s="82"/>
    </row>
    <row r="130" ht="20" customHeight="1" spans="1:26">
      <c r="A130" s="64">
        <v>117</v>
      </c>
      <c r="B130" s="65"/>
      <c r="C130" s="66"/>
      <c r="D130" s="67"/>
      <c r="E130" s="82"/>
      <c r="F130" s="82"/>
      <c r="G130" s="82"/>
      <c r="H130" s="82"/>
      <c r="I130" s="93" t="str">
        <f t="shared" si="7"/>
        <v/>
      </c>
      <c r="J130" s="82"/>
      <c r="K130" s="94" t="str">
        <f>IF(OR(D130="",E130=""),"",IF(J130="",G130,IF(D130="Buy",MROUND(MAX(E130*(1-Settings!$K$8),J130*(1-Settings!$K$6)),Settings!$K$10),MROUND(MIN(E130*(1+Settings!$K$8),J130*(1+Settings!$K$6)),Settings!$K$10))))</f>
        <v/>
      </c>
      <c r="L130" s="95" t="str">
        <f t="shared" si="8"/>
        <v/>
      </c>
      <c r="M130" s="82"/>
      <c r="N130" s="94" t="str">
        <f>IF(OR(D130="",E130=""),"",IF(M130="",H130,IF(D130="Buy",MROUND(MAX(E130*(1-Settings!$K$8),M130*(1-Settings!$K$6)),Settings!$K$10),MROUND(MIN(E130*(1+Settings!$K$8),M130*(1+Settings!$K$6)),Settings!$K$10))))</f>
        <v/>
      </c>
      <c r="O130" s="95" t="str">
        <f t="shared" si="9"/>
        <v/>
      </c>
      <c r="P130" s="82"/>
      <c r="Q130" s="94" t="str">
        <f>IF(OR(D130="",P130=""),"",IF(D130="Buy",MROUND(P130*(1-Settings!$K$6),Settings!$K$10),MROUND(P130*(1+Settings!$K$6),Settings!$K$10)))</f>
        <v/>
      </c>
      <c r="R130" s="95" t="str">
        <f t="shared" si="10"/>
        <v/>
      </c>
      <c r="S130" s="82"/>
      <c r="T130" s="94" t="str">
        <f>IF(OR(D130="",S130=""),"",IF(D130="Buy",MROUND(S130*(1-Settings!$K$6),Settings!$K$10),MROUND(S130*(1+Settings!$K$6),Settings!$K$10)))</f>
        <v/>
      </c>
      <c r="U130" s="67"/>
      <c r="V130" s="109" t="str">
        <f t="shared" si="11"/>
        <v/>
      </c>
      <c r="W130" s="110"/>
      <c r="X130" s="109" t="str">
        <f t="shared" si="12"/>
        <v/>
      </c>
      <c r="Y130" s="109" t="str">
        <f t="shared" si="13"/>
        <v/>
      </c>
      <c r="Z130" s="82"/>
    </row>
    <row r="131" ht="20" customHeight="1" spans="1:26">
      <c r="A131" s="64">
        <v>118</v>
      </c>
      <c r="B131" s="65"/>
      <c r="C131" s="66"/>
      <c r="D131" s="67"/>
      <c r="E131" s="82"/>
      <c r="F131" s="82"/>
      <c r="G131" s="82"/>
      <c r="H131" s="82"/>
      <c r="I131" s="93" t="str">
        <f t="shared" si="7"/>
        <v/>
      </c>
      <c r="J131" s="82"/>
      <c r="K131" s="94" t="str">
        <f>IF(OR(D131="",E131=""),"",IF(J131="",G131,IF(D131="Buy",MROUND(MAX(E131*(1-Settings!$K$8),J131*(1-Settings!$K$6)),Settings!$K$10),MROUND(MIN(E131*(1+Settings!$K$8),J131*(1+Settings!$K$6)),Settings!$K$10))))</f>
        <v/>
      </c>
      <c r="L131" s="95" t="str">
        <f t="shared" si="8"/>
        <v/>
      </c>
      <c r="M131" s="82"/>
      <c r="N131" s="94" t="str">
        <f>IF(OR(D131="",E131=""),"",IF(M131="",H131,IF(D131="Buy",MROUND(MAX(E131*(1-Settings!$K$8),M131*(1-Settings!$K$6)),Settings!$K$10),MROUND(MIN(E131*(1+Settings!$K$8),M131*(1+Settings!$K$6)),Settings!$K$10))))</f>
        <v/>
      </c>
      <c r="O131" s="95" t="str">
        <f t="shared" si="9"/>
        <v/>
      </c>
      <c r="P131" s="82"/>
      <c r="Q131" s="94" t="str">
        <f>IF(OR(D131="",P131=""),"",IF(D131="Buy",MROUND(P131*(1-Settings!$K$6),Settings!$K$10),MROUND(P131*(1+Settings!$K$6),Settings!$K$10)))</f>
        <v/>
      </c>
      <c r="R131" s="95" t="str">
        <f t="shared" si="10"/>
        <v/>
      </c>
      <c r="S131" s="82"/>
      <c r="T131" s="94" t="str">
        <f>IF(OR(D131="",S131=""),"",IF(D131="Buy",MROUND(S131*(1-Settings!$K$6),Settings!$K$10),MROUND(S131*(1+Settings!$K$6),Settings!$K$10)))</f>
        <v/>
      </c>
      <c r="U131" s="67"/>
      <c r="V131" s="109" t="str">
        <f t="shared" si="11"/>
        <v/>
      </c>
      <c r="W131" s="110"/>
      <c r="X131" s="109" t="str">
        <f t="shared" si="12"/>
        <v/>
      </c>
      <c r="Y131" s="109" t="str">
        <f t="shared" si="13"/>
        <v/>
      </c>
      <c r="Z131" s="82"/>
    </row>
    <row r="132" ht="20" customHeight="1" spans="1:26">
      <c r="A132" s="64">
        <v>119</v>
      </c>
      <c r="B132" s="65"/>
      <c r="C132" s="66"/>
      <c r="D132" s="67"/>
      <c r="E132" s="82"/>
      <c r="F132" s="82"/>
      <c r="G132" s="82"/>
      <c r="H132" s="82"/>
      <c r="I132" s="93" t="str">
        <f t="shared" si="7"/>
        <v/>
      </c>
      <c r="J132" s="82"/>
      <c r="K132" s="94" t="str">
        <f>IF(OR(D132="",E132=""),"",IF(J132="",G132,IF(D132="Buy",MROUND(MAX(E132*(1-Settings!$K$8),J132*(1-Settings!$K$6)),Settings!$K$10),MROUND(MIN(E132*(1+Settings!$K$8),J132*(1+Settings!$K$6)),Settings!$K$10))))</f>
        <v/>
      </c>
      <c r="L132" s="95" t="str">
        <f t="shared" si="8"/>
        <v/>
      </c>
      <c r="M132" s="82"/>
      <c r="N132" s="94" t="str">
        <f>IF(OR(D132="",E132=""),"",IF(M132="",H132,IF(D132="Buy",MROUND(MAX(E132*(1-Settings!$K$8),M132*(1-Settings!$K$6)),Settings!$K$10),MROUND(MIN(E132*(1+Settings!$K$8),M132*(1+Settings!$K$6)),Settings!$K$10))))</f>
        <v/>
      </c>
      <c r="O132" s="95" t="str">
        <f t="shared" si="9"/>
        <v/>
      </c>
      <c r="P132" s="82"/>
      <c r="Q132" s="94" t="str">
        <f>IF(OR(D132="",P132=""),"",IF(D132="Buy",MROUND(P132*(1-Settings!$K$6),Settings!$K$10),MROUND(P132*(1+Settings!$K$6),Settings!$K$10)))</f>
        <v/>
      </c>
      <c r="R132" s="95" t="str">
        <f t="shared" si="10"/>
        <v/>
      </c>
      <c r="S132" s="82"/>
      <c r="T132" s="94" t="str">
        <f>IF(OR(D132="",S132=""),"",IF(D132="Buy",MROUND(S132*(1-Settings!$K$6),Settings!$K$10),MROUND(S132*(1+Settings!$K$6),Settings!$K$10)))</f>
        <v/>
      </c>
      <c r="U132" s="67"/>
      <c r="V132" s="109" t="str">
        <f t="shared" si="11"/>
        <v/>
      </c>
      <c r="W132" s="110"/>
      <c r="X132" s="109" t="str">
        <f t="shared" si="12"/>
        <v/>
      </c>
      <c r="Y132" s="109" t="str">
        <f t="shared" si="13"/>
        <v/>
      </c>
      <c r="Z132" s="82"/>
    </row>
    <row r="133" ht="20" customHeight="1" spans="1:26">
      <c r="A133" s="64">
        <v>120</v>
      </c>
      <c r="B133" s="65"/>
      <c r="C133" s="66"/>
      <c r="D133" s="67"/>
      <c r="E133" s="82"/>
      <c r="F133" s="82"/>
      <c r="G133" s="82"/>
      <c r="H133" s="82"/>
      <c r="I133" s="93" t="str">
        <f t="shared" si="7"/>
        <v/>
      </c>
      <c r="J133" s="82"/>
      <c r="K133" s="94" t="str">
        <f>IF(OR(D133="",E133=""),"",IF(J133="",G133,IF(D133="Buy",MROUND(MAX(E133*(1-Settings!$K$8),J133*(1-Settings!$K$6)),Settings!$K$10),MROUND(MIN(E133*(1+Settings!$K$8),J133*(1+Settings!$K$6)),Settings!$K$10))))</f>
        <v/>
      </c>
      <c r="L133" s="95" t="str">
        <f t="shared" si="8"/>
        <v/>
      </c>
      <c r="M133" s="82"/>
      <c r="N133" s="94" t="str">
        <f>IF(OR(D133="",E133=""),"",IF(M133="",H133,IF(D133="Buy",MROUND(MAX(E133*(1-Settings!$K$8),M133*(1-Settings!$K$6)),Settings!$K$10),MROUND(MIN(E133*(1+Settings!$K$8),M133*(1+Settings!$K$6)),Settings!$K$10))))</f>
        <v/>
      </c>
      <c r="O133" s="95" t="str">
        <f t="shared" si="9"/>
        <v/>
      </c>
      <c r="P133" s="82"/>
      <c r="Q133" s="94" t="str">
        <f>IF(OR(D133="",P133=""),"",IF(D133="Buy",MROUND(P133*(1-Settings!$K$6),Settings!$K$10),MROUND(P133*(1+Settings!$K$6),Settings!$K$10)))</f>
        <v/>
      </c>
      <c r="R133" s="95" t="str">
        <f t="shared" si="10"/>
        <v/>
      </c>
      <c r="S133" s="82"/>
      <c r="T133" s="94" t="str">
        <f>IF(OR(D133="",S133=""),"",IF(D133="Buy",MROUND(S133*(1-Settings!$K$6),Settings!$K$10),MROUND(S133*(1+Settings!$K$6),Settings!$K$10)))</f>
        <v/>
      </c>
      <c r="U133" s="67"/>
      <c r="V133" s="109" t="str">
        <f t="shared" si="11"/>
        <v/>
      </c>
      <c r="W133" s="110"/>
      <c r="X133" s="109" t="str">
        <f t="shared" si="12"/>
        <v/>
      </c>
      <c r="Y133" s="109" t="str">
        <f t="shared" si="13"/>
        <v/>
      </c>
      <c r="Z133" s="82"/>
    </row>
    <row r="134" ht="20" customHeight="1" spans="1:26">
      <c r="A134" s="64">
        <v>121</v>
      </c>
      <c r="B134" s="65"/>
      <c r="C134" s="66"/>
      <c r="D134" s="67"/>
      <c r="E134" s="82"/>
      <c r="F134" s="82"/>
      <c r="G134" s="82"/>
      <c r="H134" s="82"/>
      <c r="I134" s="93" t="str">
        <f t="shared" si="7"/>
        <v/>
      </c>
      <c r="J134" s="82"/>
      <c r="K134" s="94" t="str">
        <f>IF(OR(D134="",E134=""),"",IF(J134="",G134,IF(D134="Buy",MROUND(MAX(E134*(1-Settings!$K$8),J134*(1-Settings!$K$6)),Settings!$K$10),MROUND(MIN(E134*(1+Settings!$K$8),J134*(1+Settings!$K$6)),Settings!$K$10))))</f>
        <v/>
      </c>
      <c r="L134" s="95" t="str">
        <f t="shared" si="8"/>
        <v/>
      </c>
      <c r="M134" s="82"/>
      <c r="N134" s="94" t="str">
        <f>IF(OR(D134="",E134=""),"",IF(M134="",H134,IF(D134="Buy",MROUND(MAX(E134*(1-Settings!$K$8),M134*(1-Settings!$K$6)),Settings!$K$10),MROUND(MIN(E134*(1+Settings!$K$8),M134*(1+Settings!$K$6)),Settings!$K$10))))</f>
        <v/>
      </c>
      <c r="O134" s="95" t="str">
        <f t="shared" si="9"/>
        <v/>
      </c>
      <c r="P134" s="82"/>
      <c r="Q134" s="94" t="str">
        <f>IF(OR(D134="",P134=""),"",IF(D134="Buy",MROUND(P134*(1-Settings!$K$6),Settings!$K$10),MROUND(P134*(1+Settings!$K$6),Settings!$K$10)))</f>
        <v/>
      </c>
      <c r="R134" s="95" t="str">
        <f t="shared" si="10"/>
        <v/>
      </c>
      <c r="S134" s="82"/>
      <c r="T134" s="94" t="str">
        <f>IF(OR(D134="",S134=""),"",IF(D134="Buy",MROUND(S134*(1-Settings!$K$6),Settings!$K$10),MROUND(S134*(1+Settings!$K$6),Settings!$K$10)))</f>
        <v/>
      </c>
      <c r="U134" s="67"/>
      <c r="V134" s="109" t="str">
        <f t="shared" si="11"/>
        <v/>
      </c>
      <c r="W134" s="110"/>
      <c r="X134" s="109" t="str">
        <f t="shared" si="12"/>
        <v/>
      </c>
      <c r="Y134" s="109" t="str">
        <f t="shared" si="13"/>
        <v/>
      </c>
      <c r="Z134" s="82"/>
    </row>
    <row r="135" ht="20" customHeight="1" spans="1:26">
      <c r="A135" s="64">
        <v>122</v>
      </c>
      <c r="B135" s="65"/>
      <c r="C135" s="66"/>
      <c r="D135" s="67"/>
      <c r="E135" s="82"/>
      <c r="F135" s="82"/>
      <c r="G135" s="82"/>
      <c r="H135" s="82"/>
      <c r="I135" s="93" t="str">
        <f t="shared" si="7"/>
        <v/>
      </c>
      <c r="J135" s="82"/>
      <c r="K135" s="94" t="str">
        <f>IF(OR(D135="",E135=""),"",IF(J135="",G135,IF(D135="Buy",MROUND(MAX(E135*(1-Settings!$K$8),J135*(1-Settings!$K$6)),Settings!$K$10),MROUND(MIN(E135*(1+Settings!$K$8),J135*(1+Settings!$K$6)),Settings!$K$10))))</f>
        <v/>
      </c>
      <c r="L135" s="95" t="str">
        <f t="shared" si="8"/>
        <v/>
      </c>
      <c r="M135" s="82"/>
      <c r="N135" s="94" t="str">
        <f>IF(OR(D135="",E135=""),"",IF(M135="",H135,IF(D135="Buy",MROUND(MAX(E135*(1-Settings!$K$8),M135*(1-Settings!$K$6)),Settings!$K$10),MROUND(MIN(E135*(1+Settings!$K$8),M135*(1+Settings!$K$6)),Settings!$K$10))))</f>
        <v/>
      </c>
      <c r="O135" s="95" t="str">
        <f t="shared" si="9"/>
        <v/>
      </c>
      <c r="P135" s="82"/>
      <c r="Q135" s="94" t="str">
        <f>IF(OR(D135="",P135=""),"",IF(D135="Buy",MROUND(P135*(1-Settings!$K$6),Settings!$K$10),MROUND(P135*(1+Settings!$K$6),Settings!$K$10)))</f>
        <v/>
      </c>
      <c r="R135" s="95" t="str">
        <f t="shared" si="10"/>
        <v/>
      </c>
      <c r="S135" s="82"/>
      <c r="T135" s="94" t="str">
        <f>IF(OR(D135="",S135=""),"",IF(D135="Buy",MROUND(S135*(1-Settings!$K$6),Settings!$K$10),MROUND(S135*(1+Settings!$K$6),Settings!$K$10)))</f>
        <v/>
      </c>
      <c r="U135" s="67"/>
      <c r="V135" s="109" t="str">
        <f t="shared" si="11"/>
        <v/>
      </c>
      <c r="W135" s="110"/>
      <c r="X135" s="109" t="str">
        <f t="shared" si="12"/>
        <v/>
      </c>
      <c r="Y135" s="109" t="str">
        <f t="shared" si="13"/>
        <v/>
      </c>
      <c r="Z135" s="82"/>
    </row>
    <row r="136" ht="20" customHeight="1" spans="1:26">
      <c r="A136" s="64">
        <v>123</v>
      </c>
      <c r="B136" s="65"/>
      <c r="C136" s="66"/>
      <c r="D136" s="67"/>
      <c r="E136" s="82"/>
      <c r="F136" s="82"/>
      <c r="G136" s="82"/>
      <c r="H136" s="82"/>
      <c r="I136" s="93" t="str">
        <f t="shared" si="7"/>
        <v/>
      </c>
      <c r="J136" s="82"/>
      <c r="K136" s="94" t="str">
        <f>IF(OR(D136="",E136=""),"",IF(J136="",G136,IF(D136="Buy",MROUND(MAX(E136*(1-Settings!$K$8),J136*(1-Settings!$K$6)),Settings!$K$10),MROUND(MIN(E136*(1+Settings!$K$8),J136*(1+Settings!$K$6)),Settings!$K$10))))</f>
        <v/>
      </c>
      <c r="L136" s="95" t="str">
        <f t="shared" si="8"/>
        <v/>
      </c>
      <c r="M136" s="82"/>
      <c r="N136" s="94" t="str">
        <f>IF(OR(D136="",E136=""),"",IF(M136="",H136,IF(D136="Buy",MROUND(MAX(E136*(1-Settings!$K$8),M136*(1-Settings!$K$6)),Settings!$K$10),MROUND(MIN(E136*(1+Settings!$K$8),M136*(1+Settings!$K$6)),Settings!$K$10))))</f>
        <v/>
      </c>
      <c r="O136" s="95" t="str">
        <f t="shared" si="9"/>
        <v/>
      </c>
      <c r="P136" s="82"/>
      <c r="Q136" s="94" t="str">
        <f>IF(OR(D136="",P136=""),"",IF(D136="Buy",MROUND(P136*(1-Settings!$K$6),Settings!$K$10),MROUND(P136*(1+Settings!$K$6),Settings!$K$10)))</f>
        <v/>
      </c>
      <c r="R136" s="95" t="str">
        <f t="shared" si="10"/>
        <v/>
      </c>
      <c r="S136" s="82"/>
      <c r="T136" s="94" t="str">
        <f>IF(OR(D136="",S136=""),"",IF(D136="Buy",MROUND(S136*(1-Settings!$K$6),Settings!$K$10),MROUND(S136*(1+Settings!$K$6),Settings!$K$10)))</f>
        <v/>
      </c>
      <c r="U136" s="67"/>
      <c r="V136" s="109" t="str">
        <f t="shared" si="11"/>
        <v/>
      </c>
      <c r="W136" s="110"/>
      <c r="X136" s="109" t="str">
        <f t="shared" si="12"/>
        <v/>
      </c>
      <c r="Y136" s="109" t="str">
        <f t="shared" si="13"/>
        <v/>
      </c>
      <c r="Z136" s="82"/>
    </row>
    <row r="137" ht="20" customHeight="1" spans="1:26">
      <c r="A137" s="64">
        <v>124</v>
      </c>
      <c r="B137" s="65"/>
      <c r="C137" s="66"/>
      <c r="D137" s="67"/>
      <c r="E137" s="82"/>
      <c r="F137" s="82"/>
      <c r="G137" s="82"/>
      <c r="H137" s="82"/>
      <c r="I137" s="93" t="str">
        <f t="shared" si="7"/>
        <v/>
      </c>
      <c r="J137" s="82"/>
      <c r="K137" s="94" t="str">
        <f>IF(OR(D137="",E137=""),"",IF(J137="",G137,IF(D137="Buy",MROUND(MAX(E137*(1-Settings!$K$8),J137*(1-Settings!$K$6)),Settings!$K$10),MROUND(MIN(E137*(1+Settings!$K$8),J137*(1+Settings!$K$6)),Settings!$K$10))))</f>
        <v/>
      </c>
      <c r="L137" s="95" t="str">
        <f t="shared" si="8"/>
        <v/>
      </c>
      <c r="M137" s="82"/>
      <c r="N137" s="94" t="str">
        <f>IF(OR(D137="",E137=""),"",IF(M137="",H137,IF(D137="Buy",MROUND(MAX(E137*(1-Settings!$K$8),M137*(1-Settings!$K$6)),Settings!$K$10),MROUND(MIN(E137*(1+Settings!$K$8),M137*(1+Settings!$K$6)),Settings!$K$10))))</f>
        <v/>
      </c>
      <c r="O137" s="95" t="str">
        <f t="shared" si="9"/>
        <v/>
      </c>
      <c r="P137" s="82"/>
      <c r="Q137" s="94" t="str">
        <f>IF(OR(D137="",P137=""),"",IF(D137="Buy",MROUND(P137*(1-Settings!$K$6),Settings!$K$10),MROUND(P137*(1+Settings!$K$6),Settings!$K$10)))</f>
        <v/>
      </c>
      <c r="R137" s="95" t="str">
        <f t="shared" si="10"/>
        <v/>
      </c>
      <c r="S137" s="82"/>
      <c r="T137" s="94" t="str">
        <f>IF(OR(D137="",S137=""),"",IF(D137="Buy",MROUND(S137*(1-Settings!$K$6),Settings!$K$10),MROUND(S137*(1+Settings!$K$6),Settings!$K$10)))</f>
        <v/>
      </c>
      <c r="U137" s="67"/>
      <c r="V137" s="109" t="str">
        <f t="shared" si="11"/>
        <v/>
      </c>
      <c r="W137" s="110"/>
      <c r="X137" s="109" t="str">
        <f t="shared" si="12"/>
        <v/>
      </c>
      <c r="Y137" s="109" t="str">
        <f t="shared" si="13"/>
        <v/>
      </c>
      <c r="Z137" s="82"/>
    </row>
    <row r="138" ht="20" customHeight="1" spans="1:26">
      <c r="A138" s="64">
        <v>125</v>
      </c>
      <c r="B138" s="65"/>
      <c r="C138" s="66"/>
      <c r="D138" s="67"/>
      <c r="E138" s="82"/>
      <c r="F138" s="82"/>
      <c r="G138" s="82"/>
      <c r="H138" s="82"/>
      <c r="I138" s="93" t="str">
        <f t="shared" si="7"/>
        <v/>
      </c>
      <c r="J138" s="82"/>
      <c r="K138" s="94" t="str">
        <f>IF(OR(D138="",E138=""),"",IF(J138="",G138,IF(D138="Buy",MROUND(MAX(E138*(1-Settings!$K$8),J138*(1-Settings!$K$6)),Settings!$K$10),MROUND(MIN(E138*(1+Settings!$K$8),J138*(1+Settings!$K$6)),Settings!$K$10))))</f>
        <v/>
      </c>
      <c r="L138" s="95" t="str">
        <f t="shared" si="8"/>
        <v/>
      </c>
      <c r="M138" s="82"/>
      <c r="N138" s="94" t="str">
        <f>IF(OR(D138="",E138=""),"",IF(M138="",H138,IF(D138="Buy",MROUND(MAX(E138*(1-Settings!$K$8),M138*(1-Settings!$K$6)),Settings!$K$10),MROUND(MIN(E138*(1+Settings!$K$8),M138*(1+Settings!$K$6)),Settings!$K$10))))</f>
        <v/>
      </c>
      <c r="O138" s="95" t="str">
        <f t="shared" si="9"/>
        <v/>
      </c>
      <c r="P138" s="82"/>
      <c r="Q138" s="94" t="str">
        <f>IF(OR(D138="",P138=""),"",IF(D138="Buy",MROUND(P138*(1-Settings!$K$6),Settings!$K$10),MROUND(P138*(1+Settings!$K$6),Settings!$K$10)))</f>
        <v/>
      </c>
      <c r="R138" s="95" t="str">
        <f t="shared" si="10"/>
        <v/>
      </c>
      <c r="S138" s="82"/>
      <c r="T138" s="94" t="str">
        <f>IF(OR(D138="",S138=""),"",IF(D138="Buy",MROUND(S138*(1-Settings!$K$6),Settings!$K$10),MROUND(S138*(1+Settings!$K$6),Settings!$K$10)))</f>
        <v/>
      </c>
      <c r="U138" s="67"/>
      <c r="V138" s="109" t="str">
        <f t="shared" si="11"/>
        <v/>
      </c>
      <c r="W138" s="110"/>
      <c r="X138" s="109" t="str">
        <f t="shared" si="12"/>
        <v/>
      </c>
      <c r="Y138" s="109" t="str">
        <f t="shared" si="13"/>
        <v/>
      </c>
      <c r="Z138" s="82"/>
    </row>
    <row r="139" ht="20" customHeight="1" spans="1:26">
      <c r="A139" s="64">
        <v>126</v>
      </c>
      <c r="B139" s="65"/>
      <c r="C139" s="66"/>
      <c r="D139" s="67"/>
      <c r="E139" s="82"/>
      <c r="F139" s="82"/>
      <c r="G139" s="82"/>
      <c r="H139" s="82"/>
      <c r="I139" s="93" t="str">
        <f t="shared" si="7"/>
        <v/>
      </c>
      <c r="J139" s="82"/>
      <c r="K139" s="94" t="str">
        <f>IF(OR(D139="",E139=""),"",IF(J139="",G139,IF(D139="Buy",MROUND(MAX(E139*(1-Settings!$K$8),J139*(1-Settings!$K$6)),Settings!$K$10),MROUND(MIN(E139*(1+Settings!$K$8),J139*(1+Settings!$K$6)),Settings!$K$10))))</f>
        <v/>
      </c>
      <c r="L139" s="95" t="str">
        <f t="shared" si="8"/>
        <v/>
      </c>
      <c r="M139" s="82"/>
      <c r="N139" s="94" t="str">
        <f>IF(OR(D139="",E139=""),"",IF(M139="",H139,IF(D139="Buy",MROUND(MAX(E139*(1-Settings!$K$8),M139*(1-Settings!$K$6)),Settings!$K$10),MROUND(MIN(E139*(1+Settings!$K$8),M139*(1+Settings!$K$6)),Settings!$K$10))))</f>
        <v/>
      </c>
      <c r="O139" s="95" t="str">
        <f t="shared" si="9"/>
        <v/>
      </c>
      <c r="P139" s="82"/>
      <c r="Q139" s="94" t="str">
        <f>IF(OR(D139="",P139=""),"",IF(D139="Buy",MROUND(P139*(1-Settings!$K$6),Settings!$K$10),MROUND(P139*(1+Settings!$K$6),Settings!$K$10)))</f>
        <v/>
      </c>
      <c r="R139" s="95" t="str">
        <f t="shared" si="10"/>
        <v/>
      </c>
      <c r="S139" s="82"/>
      <c r="T139" s="94" t="str">
        <f>IF(OR(D139="",S139=""),"",IF(D139="Buy",MROUND(S139*(1-Settings!$K$6),Settings!$K$10),MROUND(S139*(1+Settings!$K$6),Settings!$K$10)))</f>
        <v/>
      </c>
      <c r="U139" s="67"/>
      <c r="V139" s="109" t="str">
        <f t="shared" si="11"/>
        <v/>
      </c>
      <c r="W139" s="110"/>
      <c r="X139" s="109" t="str">
        <f t="shared" si="12"/>
        <v/>
      </c>
      <c r="Y139" s="109" t="str">
        <f t="shared" si="13"/>
        <v/>
      </c>
      <c r="Z139" s="82"/>
    </row>
    <row r="140" ht="20" customHeight="1" spans="1:26">
      <c r="A140" s="64">
        <v>127</v>
      </c>
      <c r="B140" s="65"/>
      <c r="C140" s="66"/>
      <c r="D140" s="67"/>
      <c r="E140" s="82"/>
      <c r="F140" s="82"/>
      <c r="G140" s="82"/>
      <c r="H140" s="82"/>
      <c r="I140" s="93" t="str">
        <f t="shared" si="7"/>
        <v/>
      </c>
      <c r="J140" s="82"/>
      <c r="K140" s="94" t="str">
        <f>IF(OR(D140="",E140=""),"",IF(J140="",G140,IF(D140="Buy",MROUND(MAX(E140*(1-Settings!$K$8),J140*(1-Settings!$K$6)),Settings!$K$10),MROUND(MIN(E140*(1+Settings!$K$8),J140*(1+Settings!$K$6)),Settings!$K$10))))</f>
        <v/>
      </c>
      <c r="L140" s="95" t="str">
        <f t="shared" si="8"/>
        <v/>
      </c>
      <c r="M140" s="82"/>
      <c r="N140" s="94" t="str">
        <f>IF(OR(D140="",E140=""),"",IF(M140="",H140,IF(D140="Buy",MROUND(MAX(E140*(1-Settings!$K$8),M140*(1-Settings!$K$6)),Settings!$K$10),MROUND(MIN(E140*(1+Settings!$K$8),M140*(1+Settings!$K$6)),Settings!$K$10))))</f>
        <v/>
      </c>
      <c r="O140" s="95" t="str">
        <f t="shared" si="9"/>
        <v/>
      </c>
      <c r="P140" s="82"/>
      <c r="Q140" s="94" t="str">
        <f>IF(OR(D140="",P140=""),"",IF(D140="Buy",MROUND(P140*(1-Settings!$K$6),Settings!$K$10),MROUND(P140*(1+Settings!$K$6),Settings!$K$10)))</f>
        <v/>
      </c>
      <c r="R140" s="95" t="str">
        <f t="shared" si="10"/>
        <v/>
      </c>
      <c r="S140" s="82"/>
      <c r="T140" s="94" t="str">
        <f>IF(OR(D140="",S140=""),"",IF(D140="Buy",MROUND(S140*(1-Settings!$K$6),Settings!$K$10),MROUND(S140*(1+Settings!$K$6),Settings!$K$10)))</f>
        <v/>
      </c>
      <c r="U140" s="67"/>
      <c r="V140" s="109" t="str">
        <f t="shared" si="11"/>
        <v/>
      </c>
      <c r="W140" s="110"/>
      <c r="X140" s="109" t="str">
        <f t="shared" si="12"/>
        <v/>
      </c>
      <c r="Y140" s="109" t="str">
        <f t="shared" si="13"/>
        <v/>
      </c>
      <c r="Z140" s="82"/>
    </row>
    <row r="141" ht="20" customHeight="1" spans="1:26">
      <c r="A141" s="64">
        <v>128</v>
      </c>
      <c r="B141" s="65"/>
      <c r="C141" s="66"/>
      <c r="D141" s="67"/>
      <c r="E141" s="82"/>
      <c r="F141" s="82"/>
      <c r="G141" s="82"/>
      <c r="H141" s="82"/>
      <c r="I141" s="93" t="str">
        <f t="shared" si="7"/>
        <v/>
      </c>
      <c r="J141" s="82"/>
      <c r="K141" s="94" t="str">
        <f>IF(OR(D141="",E141=""),"",IF(J141="",G141,IF(D141="Buy",MROUND(MAX(E141*(1-Settings!$K$8),J141*(1-Settings!$K$6)),Settings!$K$10),MROUND(MIN(E141*(1+Settings!$K$8),J141*(1+Settings!$K$6)),Settings!$K$10))))</f>
        <v/>
      </c>
      <c r="L141" s="95" t="str">
        <f t="shared" si="8"/>
        <v/>
      </c>
      <c r="M141" s="82"/>
      <c r="N141" s="94" t="str">
        <f>IF(OR(D141="",E141=""),"",IF(M141="",H141,IF(D141="Buy",MROUND(MAX(E141*(1-Settings!$K$8),M141*(1-Settings!$K$6)),Settings!$K$10),MROUND(MIN(E141*(1+Settings!$K$8),M141*(1+Settings!$K$6)),Settings!$K$10))))</f>
        <v/>
      </c>
      <c r="O141" s="95" t="str">
        <f t="shared" si="9"/>
        <v/>
      </c>
      <c r="P141" s="82"/>
      <c r="Q141" s="94" t="str">
        <f>IF(OR(D141="",P141=""),"",IF(D141="Buy",MROUND(P141*(1-Settings!$K$6),Settings!$K$10),MROUND(P141*(1+Settings!$K$6),Settings!$K$10)))</f>
        <v/>
      </c>
      <c r="R141" s="95" t="str">
        <f t="shared" si="10"/>
        <v/>
      </c>
      <c r="S141" s="82"/>
      <c r="T141" s="94" t="str">
        <f>IF(OR(D141="",S141=""),"",IF(D141="Buy",MROUND(S141*(1-Settings!$K$6),Settings!$K$10),MROUND(S141*(1+Settings!$K$6),Settings!$K$10)))</f>
        <v/>
      </c>
      <c r="U141" s="67"/>
      <c r="V141" s="109" t="str">
        <f t="shared" si="11"/>
        <v/>
      </c>
      <c r="W141" s="110"/>
      <c r="X141" s="109" t="str">
        <f t="shared" si="12"/>
        <v/>
      </c>
      <c r="Y141" s="109" t="str">
        <f t="shared" si="13"/>
        <v/>
      </c>
      <c r="Z141" s="82"/>
    </row>
    <row r="142" ht="20" customHeight="1" spans="1:26">
      <c r="A142" s="64">
        <v>129</v>
      </c>
      <c r="B142" s="65"/>
      <c r="C142" s="66"/>
      <c r="D142" s="67"/>
      <c r="E142" s="82"/>
      <c r="F142" s="82"/>
      <c r="G142" s="82"/>
      <c r="H142" s="82"/>
      <c r="I142" s="93" t="str">
        <f t="shared" ref="I142:I205" si="14">IF(D142="Buy","Enter New 2DLL",IF(D142="Sell","Enter New 2DHH",""))</f>
        <v/>
      </c>
      <c r="J142" s="82"/>
      <c r="K142" s="94" t="str">
        <f>IF(OR(D142="",E142=""),"",IF(J142="",G142,IF(D142="Buy",MROUND(MAX(E142*(1-Settings!$K$8),J142*(1-Settings!$K$6)),Settings!$K$10),MROUND(MIN(E142*(1+Settings!$K$8),J142*(1+Settings!$K$6)),Settings!$K$10))))</f>
        <v/>
      </c>
      <c r="L142" s="95" t="str">
        <f t="shared" ref="L142:L205" si="15">IF(D142="Buy","Enter New 4DLL",IF(D142="Sell","Enter New 4DHH",""))</f>
        <v/>
      </c>
      <c r="M142" s="82"/>
      <c r="N142" s="94" t="str">
        <f>IF(OR(D142="",E142=""),"",IF(M142="",H142,IF(D142="Buy",MROUND(MAX(E142*(1-Settings!$K$8),M142*(1-Settings!$K$6)),Settings!$K$10),MROUND(MIN(E142*(1+Settings!$K$8),M142*(1+Settings!$K$6)),Settings!$K$10))))</f>
        <v/>
      </c>
      <c r="O142" s="95" t="str">
        <f t="shared" ref="O142:O205" si="16">IF(D142="Buy","Enter First 15-Minute Low",IF(D142="Sell","Enter First 15-Minute High",""))</f>
        <v/>
      </c>
      <c r="P142" s="82"/>
      <c r="Q142" s="94" t="str">
        <f>IF(OR(D142="",P142=""),"",IF(D142="Buy",MROUND(P142*(1-Settings!$K$6),Settings!$K$10),MROUND(P142*(1+Settings!$K$6),Settings!$K$10)))</f>
        <v/>
      </c>
      <c r="R142" s="95" t="str">
        <f t="shared" ref="R142:R205" si="17">IF(D142="Buy","Enter First 15-Minute Low",IF(D142="Sell","Enter First 15-Minute High",""))</f>
        <v/>
      </c>
      <c r="S142" s="82"/>
      <c r="T142" s="94" t="str">
        <f>IF(OR(D142="",S142=""),"",IF(D142="Buy",MROUND(S142*(1-Settings!$K$6),Settings!$K$10),MROUND(S142*(1+Settings!$K$6),Settings!$K$10)))</f>
        <v/>
      </c>
      <c r="U142" s="67"/>
      <c r="V142" s="109" t="str">
        <f t="shared" ref="V142:V205" si="18">IF(OR(D142="",E142="",U142="",$C$8="",$C$9=""),"",IF(U142="Target Hit",IF(F142="","",IF(D142="Buy",(F142-E142)*($C$8/2)*$C$9,(E142-F142)*($C$8/2)*$C$9)),IF(U142="Rollover",IF(Z142="","",IF(D142="Buy",(Z142-E142)*$C$8*$C$9,(E142-Z142)*$C$8*$C$9)),IF(U142="Stoploss 1 Hit",IF(K142="","",IF(D142="Buy",(K142-E142)*$C$8*$C$9,(E142-K142)*$C$8*$C$9)),IF(OR(AND(D142="Buy",U142="Gap Down Stoploss 1 Hit"),AND(D142="Sell",U142="Gap Up Stoploss 1 Hit")),IF(Q142="","",IF(D142="Buy",(Q142-E142)*$C$8*$C$9,(E142-Q142)*$C$8*$C$9)),"")))))</f>
        <v/>
      </c>
      <c r="W142" s="110"/>
      <c r="X142" s="109" t="str">
        <f t="shared" ref="X142:X205" si="19">IF(OR(D142="",E142="",U142&lt;&gt;"Target Hit",W142="",$C$8="",$C$9=""),"",IF(W142="Stoploss 2 Hit",IF(N142="","",IF(D142="Buy",(N142-E142)*($C$8/2)*$C$9,(E142-N142)*($C$8/2)*$C$9)),IF(W142="Rollover",IF(Z142="","",IF(D142="Buy",(Z142-E142)*($C$8/2)*$C$9,(E142-Z142)*($C$8/2)*$C$9)),IF(OR(AND(D142="Buy",W142="Gap Down Stoploss 2 Hit"),AND(D142="Sell",W142="Gap Up Stoploss 2 Hit")),IF(T142="","",IF(D142="Buy",(T142-E142)*($C$8/2)*$C$9,(E142-T142)*($C$8/2)*$C$9)),""))))</f>
        <v/>
      </c>
      <c r="Y142" s="109" t="str">
        <f t="shared" ref="Y142:Y205" si="20">IF(AND(V142="",X142=""),"",SUM(V142,X142))</f>
        <v/>
      </c>
      <c r="Z142" s="82"/>
    </row>
    <row r="143" ht="20" customHeight="1" spans="1:26">
      <c r="A143" s="64">
        <v>130</v>
      </c>
      <c r="B143" s="65"/>
      <c r="C143" s="66"/>
      <c r="D143" s="67"/>
      <c r="E143" s="82"/>
      <c r="F143" s="82"/>
      <c r="G143" s="82"/>
      <c r="H143" s="82"/>
      <c r="I143" s="93" t="str">
        <f t="shared" si="14"/>
        <v/>
      </c>
      <c r="J143" s="82"/>
      <c r="K143" s="94" t="str">
        <f>IF(OR(D143="",E143=""),"",IF(J143="",G143,IF(D143="Buy",MROUND(MAX(E143*(1-Settings!$K$8),J143*(1-Settings!$K$6)),Settings!$K$10),MROUND(MIN(E143*(1+Settings!$K$8),J143*(1+Settings!$K$6)),Settings!$K$10))))</f>
        <v/>
      </c>
      <c r="L143" s="95" t="str">
        <f t="shared" si="15"/>
        <v/>
      </c>
      <c r="M143" s="82"/>
      <c r="N143" s="94" t="str">
        <f>IF(OR(D143="",E143=""),"",IF(M143="",H143,IF(D143="Buy",MROUND(MAX(E143*(1-Settings!$K$8),M143*(1-Settings!$K$6)),Settings!$K$10),MROUND(MIN(E143*(1+Settings!$K$8),M143*(1+Settings!$K$6)),Settings!$K$10))))</f>
        <v/>
      </c>
      <c r="O143" s="95" t="str">
        <f t="shared" si="16"/>
        <v/>
      </c>
      <c r="P143" s="82"/>
      <c r="Q143" s="94" t="str">
        <f>IF(OR(D143="",P143=""),"",IF(D143="Buy",MROUND(P143*(1-Settings!$K$6),Settings!$K$10),MROUND(P143*(1+Settings!$K$6),Settings!$K$10)))</f>
        <v/>
      </c>
      <c r="R143" s="95" t="str">
        <f t="shared" si="17"/>
        <v/>
      </c>
      <c r="S143" s="82"/>
      <c r="T143" s="94" t="str">
        <f>IF(OR(D143="",S143=""),"",IF(D143="Buy",MROUND(S143*(1-Settings!$K$6),Settings!$K$10),MROUND(S143*(1+Settings!$K$6),Settings!$K$10)))</f>
        <v/>
      </c>
      <c r="U143" s="67"/>
      <c r="V143" s="109" t="str">
        <f t="shared" si="18"/>
        <v/>
      </c>
      <c r="W143" s="110"/>
      <c r="X143" s="109" t="str">
        <f t="shared" si="19"/>
        <v/>
      </c>
      <c r="Y143" s="109" t="str">
        <f t="shared" si="20"/>
        <v/>
      </c>
      <c r="Z143" s="82"/>
    </row>
    <row r="144" ht="20" customHeight="1" spans="1:26">
      <c r="A144" s="64">
        <v>131</v>
      </c>
      <c r="B144" s="65"/>
      <c r="C144" s="66"/>
      <c r="D144" s="67"/>
      <c r="E144" s="82"/>
      <c r="F144" s="82"/>
      <c r="G144" s="82"/>
      <c r="H144" s="82"/>
      <c r="I144" s="93" t="str">
        <f t="shared" si="14"/>
        <v/>
      </c>
      <c r="J144" s="82"/>
      <c r="K144" s="94" t="str">
        <f>IF(OR(D144="",E144=""),"",IF(J144="",G144,IF(D144="Buy",MROUND(MAX(E144*(1-Settings!$K$8),J144*(1-Settings!$K$6)),Settings!$K$10),MROUND(MIN(E144*(1+Settings!$K$8),J144*(1+Settings!$K$6)),Settings!$K$10))))</f>
        <v/>
      </c>
      <c r="L144" s="95" t="str">
        <f t="shared" si="15"/>
        <v/>
      </c>
      <c r="M144" s="82"/>
      <c r="N144" s="94" t="str">
        <f>IF(OR(D144="",E144=""),"",IF(M144="",H144,IF(D144="Buy",MROUND(MAX(E144*(1-Settings!$K$8),M144*(1-Settings!$K$6)),Settings!$K$10),MROUND(MIN(E144*(1+Settings!$K$8),M144*(1+Settings!$K$6)),Settings!$K$10))))</f>
        <v/>
      </c>
      <c r="O144" s="95" t="str">
        <f t="shared" si="16"/>
        <v/>
      </c>
      <c r="P144" s="82"/>
      <c r="Q144" s="94" t="str">
        <f>IF(OR(D144="",P144=""),"",IF(D144="Buy",MROUND(P144*(1-Settings!$K$6),Settings!$K$10),MROUND(P144*(1+Settings!$K$6),Settings!$K$10)))</f>
        <v/>
      </c>
      <c r="R144" s="95" t="str">
        <f t="shared" si="17"/>
        <v/>
      </c>
      <c r="S144" s="82"/>
      <c r="T144" s="94" t="str">
        <f>IF(OR(D144="",S144=""),"",IF(D144="Buy",MROUND(S144*(1-Settings!$K$6),Settings!$K$10),MROUND(S144*(1+Settings!$K$6),Settings!$K$10)))</f>
        <v/>
      </c>
      <c r="U144" s="67"/>
      <c r="V144" s="109" t="str">
        <f t="shared" si="18"/>
        <v/>
      </c>
      <c r="W144" s="110"/>
      <c r="X144" s="109" t="str">
        <f t="shared" si="19"/>
        <v/>
      </c>
      <c r="Y144" s="109" t="str">
        <f t="shared" si="20"/>
        <v/>
      </c>
      <c r="Z144" s="82"/>
    </row>
    <row r="145" ht="20" customHeight="1" spans="1:26">
      <c r="A145" s="64">
        <v>132</v>
      </c>
      <c r="B145" s="65"/>
      <c r="C145" s="66"/>
      <c r="D145" s="67"/>
      <c r="E145" s="82"/>
      <c r="F145" s="82"/>
      <c r="G145" s="82"/>
      <c r="H145" s="82"/>
      <c r="I145" s="93" t="str">
        <f t="shared" si="14"/>
        <v/>
      </c>
      <c r="J145" s="82"/>
      <c r="K145" s="94" t="str">
        <f>IF(OR(D145="",E145=""),"",IF(J145="",G145,IF(D145="Buy",MROUND(MAX(E145*(1-Settings!$K$8),J145*(1-Settings!$K$6)),Settings!$K$10),MROUND(MIN(E145*(1+Settings!$K$8),J145*(1+Settings!$K$6)),Settings!$K$10))))</f>
        <v/>
      </c>
      <c r="L145" s="95" t="str">
        <f t="shared" si="15"/>
        <v/>
      </c>
      <c r="M145" s="82"/>
      <c r="N145" s="94" t="str">
        <f>IF(OR(D145="",E145=""),"",IF(M145="",H145,IF(D145="Buy",MROUND(MAX(E145*(1-Settings!$K$8),M145*(1-Settings!$K$6)),Settings!$K$10),MROUND(MIN(E145*(1+Settings!$K$8),M145*(1+Settings!$K$6)),Settings!$K$10))))</f>
        <v/>
      </c>
      <c r="O145" s="95" t="str">
        <f t="shared" si="16"/>
        <v/>
      </c>
      <c r="P145" s="82"/>
      <c r="Q145" s="94" t="str">
        <f>IF(OR(D145="",P145=""),"",IF(D145="Buy",MROUND(P145*(1-Settings!$K$6),Settings!$K$10),MROUND(P145*(1+Settings!$K$6),Settings!$K$10)))</f>
        <v/>
      </c>
      <c r="R145" s="95" t="str">
        <f t="shared" si="17"/>
        <v/>
      </c>
      <c r="S145" s="82"/>
      <c r="T145" s="94" t="str">
        <f>IF(OR(D145="",S145=""),"",IF(D145="Buy",MROUND(S145*(1-Settings!$K$6),Settings!$K$10),MROUND(S145*(1+Settings!$K$6),Settings!$K$10)))</f>
        <v/>
      </c>
      <c r="U145" s="67"/>
      <c r="V145" s="109" t="str">
        <f t="shared" si="18"/>
        <v/>
      </c>
      <c r="W145" s="110"/>
      <c r="X145" s="109" t="str">
        <f t="shared" si="19"/>
        <v/>
      </c>
      <c r="Y145" s="109" t="str">
        <f t="shared" si="20"/>
        <v/>
      </c>
      <c r="Z145" s="82"/>
    </row>
    <row r="146" ht="20" customHeight="1" spans="1:26">
      <c r="A146" s="64">
        <v>133</v>
      </c>
      <c r="B146" s="65"/>
      <c r="C146" s="66"/>
      <c r="D146" s="67"/>
      <c r="E146" s="82"/>
      <c r="F146" s="82"/>
      <c r="G146" s="82"/>
      <c r="H146" s="82"/>
      <c r="I146" s="93" t="str">
        <f t="shared" si="14"/>
        <v/>
      </c>
      <c r="J146" s="82"/>
      <c r="K146" s="94" t="str">
        <f>IF(OR(D146="",E146=""),"",IF(J146="",G146,IF(D146="Buy",MROUND(MAX(E146*(1-Settings!$K$8),J146*(1-Settings!$K$6)),Settings!$K$10),MROUND(MIN(E146*(1+Settings!$K$8),J146*(1+Settings!$K$6)),Settings!$K$10))))</f>
        <v/>
      </c>
      <c r="L146" s="95" t="str">
        <f t="shared" si="15"/>
        <v/>
      </c>
      <c r="M146" s="82"/>
      <c r="N146" s="94" t="str">
        <f>IF(OR(D146="",E146=""),"",IF(M146="",H146,IF(D146="Buy",MROUND(MAX(E146*(1-Settings!$K$8),M146*(1-Settings!$K$6)),Settings!$K$10),MROUND(MIN(E146*(1+Settings!$K$8),M146*(1+Settings!$K$6)),Settings!$K$10))))</f>
        <v/>
      </c>
      <c r="O146" s="95" t="str">
        <f t="shared" si="16"/>
        <v/>
      </c>
      <c r="P146" s="82"/>
      <c r="Q146" s="94" t="str">
        <f>IF(OR(D146="",P146=""),"",IF(D146="Buy",MROUND(P146*(1-Settings!$K$6),Settings!$K$10),MROUND(P146*(1+Settings!$K$6),Settings!$K$10)))</f>
        <v/>
      </c>
      <c r="R146" s="95" t="str">
        <f t="shared" si="17"/>
        <v/>
      </c>
      <c r="S146" s="82"/>
      <c r="T146" s="94" t="str">
        <f>IF(OR(D146="",S146=""),"",IF(D146="Buy",MROUND(S146*(1-Settings!$K$6),Settings!$K$10),MROUND(S146*(1+Settings!$K$6),Settings!$K$10)))</f>
        <v/>
      </c>
      <c r="U146" s="67"/>
      <c r="V146" s="109" t="str">
        <f t="shared" si="18"/>
        <v/>
      </c>
      <c r="W146" s="110"/>
      <c r="X146" s="109" t="str">
        <f t="shared" si="19"/>
        <v/>
      </c>
      <c r="Y146" s="109" t="str">
        <f t="shared" si="20"/>
        <v/>
      </c>
      <c r="Z146" s="82"/>
    </row>
    <row r="147" ht="20" customHeight="1" spans="1:26">
      <c r="A147" s="64">
        <v>134</v>
      </c>
      <c r="B147" s="65"/>
      <c r="C147" s="66"/>
      <c r="D147" s="67"/>
      <c r="E147" s="82"/>
      <c r="F147" s="82"/>
      <c r="G147" s="82"/>
      <c r="H147" s="82"/>
      <c r="I147" s="93" t="str">
        <f t="shared" si="14"/>
        <v/>
      </c>
      <c r="J147" s="82"/>
      <c r="K147" s="94" t="str">
        <f>IF(OR(D147="",E147=""),"",IF(J147="",G147,IF(D147="Buy",MROUND(MAX(E147*(1-Settings!$K$8),J147*(1-Settings!$K$6)),Settings!$K$10),MROUND(MIN(E147*(1+Settings!$K$8),J147*(1+Settings!$K$6)),Settings!$K$10))))</f>
        <v/>
      </c>
      <c r="L147" s="95" t="str">
        <f t="shared" si="15"/>
        <v/>
      </c>
      <c r="M147" s="82"/>
      <c r="N147" s="94" t="str">
        <f>IF(OR(D147="",E147=""),"",IF(M147="",H147,IF(D147="Buy",MROUND(MAX(E147*(1-Settings!$K$8),M147*(1-Settings!$K$6)),Settings!$K$10),MROUND(MIN(E147*(1+Settings!$K$8),M147*(1+Settings!$K$6)),Settings!$K$10))))</f>
        <v/>
      </c>
      <c r="O147" s="95" t="str">
        <f t="shared" si="16"/>
        <v/>
      </c>
      <c r="P147" s="82"/>
      <c r="Q147" s="94" t="str">
        <f>IF(OR(D147="",P147=""),"",IF(D147="Buy",MROUND(P147*(1-Settings!$K$6),Settings!$K$10),MROUND(P147*(1+Settings!$K$6),Settings!$K$10)))</f>
        <v/>
      </c>
      <c r="R147" s="95" t="str">
        <f t="shared" si="17"/>
        <v/>
      </c>
      <c r="S147" s="82"/>
      <c r="T147" s="94" t="str">
        <f>IF(OR(D147="",S147=""),"",IF(D147="Buy",MROUND(S147*(1-Settings!$K$6),Settings!$K$10),MROUND(S147*(1+Settings!$K$6),Settings!$K$10)))</f>
        <v/>
      </c>
      <c r="U147" s="67"/>
      <c r="V147" s="109" t="str">
        <f t="shared" si="18"/>
        <v/>
      </c>
      <c r="W147" s="110"/>
      <c r="X147" s="109" t="str">
        <f t="shared" si="19"/>
        <v/>
      </c>
      <c r="Y147" s="109" t="str">
        <f t="shared" si="20"/>
        <v/>
      </c>
      <c r="Z147" s="82"/>
    </row>
    <row r="148" ht="20" customHeight="1" spans="1:26">
      <c r="A148" s="64">
        <v>135</v>
      </c>
      <c r="B148" s="65"/>
      <c r="C148" s="66"/>
      <c r="D148" s="67"/>
      <c r="E148" s="82"/>
      <c r="F148" s="82"/>
      <c r="G148" s="82"/>
      <c r="H148" s="82"/>
      <c r="I148" s="93" t="str">
        <f t="shared" si="14"/>
        <v/>
      </c>
      <c r="J148" s="82"/>
      <c r="K148" s="94" t="str">
        <f>IF(OR(D148="",E148=""),"",IF(J148="",G148,IF(D148="Buy",MROUND(MAX(E148*(1-Settings!$K$8),J148*(1-Settings!$K$6)),Settings!$K$10),MROUND(MIN(E148*(1+Settings!$K$8),J148*(1+Settings!$K$6)),Settings!$K$10))))</f>
        <v/>
      </c>
      <c r="L148" s="95" t="str">
        <f t="shared" si="15"/>
        <v/>
      </c>
      <c r="M148" s="82"/>
      <c r="N148" s="94" t="str">
        <f>IF(OR(D148="",E148=""),"",IF(M148="",H148,IF(D148="Buy",MROUND(MAX(E148*(1-Settings!$K$8),M148*(1-Settings!$K$6)),Settings!$K$10),MROUND(MIN(E148*(1+Settings!$K$8),M148*(1+Settings!$K$6)),Settings!$K$10))))</f>
        <v/>
      </c>
      <c r="O148" s="95" t="str">
        <f t="shared" si="16"/>
        <v/>
      </c>
      <c r="P148" s="82"/>
      <c r="Q148" s="94" t="str">
        <f>IF(OR(D148="",P148=""),"",IF(D148="Buy",MROUND(P148*(1-Settings!$K$6),Settings!$K$10),MROUND(P148*(1+Settings!$K$6),Settings!$K$10)))</f>
        <v/>
      </c>
      <c r="R148" s="95" t="str">
        <f t="shared" si="17"/>
        <v/>
      </c>
      <c r="S148" s="82"/>
      <c r="T148" s="94" t="str">
        <f>IF(OR(D148="",S148=""),"",IF(D148="Buy",MROUND(S148*(1-Settings!$K$6),Settings!$K$10),MROUND(S148*(1+Settings!$K$6),Settings!$K$10)))</f>
        <v/>
      </c>
      <c r="U148" s="67"/>
      <c r="V148" s="109" t="str">
        <f t="shared" si="18"/>
        <v/>
      </c>
      <c r="W148" s="110"/>
      <c r="X148" s="109" t="str">
        <f t="shared" si="19"/>
        <v/>
      </c>
      <c r="Y148" s="109" t="str">
        <f t="shared" si="20"/>
        <v/>
      </c>
      <c r="Z148" s="82"/>
    </row>
    <row r="149" ht="20" customHeight="1" spans="1:26">
      <c r="A149" s="64">
        <v>136</v>
      </c>
      <c r="B149" s="65"/>
      <c r="C149" s="66"/>
      <c r="D149" s="67"/>
      <c r="E149" s="82"/>
      <c r="F149" s="82"/>
      <c r="G149" s="82"/>
      <c r="H149" s="82"/>
      <c r="I149" s="93" t="str">
        <f t="shared" si="14"/>
        <v/>
      </c>
      <c r="J149" s="82"/>
      <c r="K149" s="94" t="str">
        <f>IF(OR(D149="",E149=""),"",IF(J149="",G149,IF(D149="Buy",MROUND(MAX(E149*(1-Settings!$K$8),J149*(1-Settings!$K$6)),Settings!$K$10),MROUND(MIN(E149*(1+Settings!$K$8),J149*(1+Settings!$K$6)),Settings!$K$10))))</f>
        <v/>
      </c>
      <c r="L149" s="95" t="str">
        <f t="shared" si="15"/>
        <v/>
      </c>
      <c r="M149" s="82"/>
      <c r="N149" s="94" t="str">
        <f>IF(OR(D149="",E149=""),"",IF(M149="",H149,IF(D149="Buy",MROUND(MAX(E149*(1-Settings!$K$8),M149*(1-Settings!$K$6)),Settings!$K$10),MROUND(MIN(E149*(1+Settings!$K$8),M149*(1+Settings!$K$6)),Settings!$K$10))))</f>
        <v/>
      </c>
      <c r="O149" s="95" t="str">
        <f t="shared" si="16"/>
        <v/>
      </c>
      <c r="P149" s="82"/>
      <c r="Q149" s="94" t="str">
        <f>IF(OR(D149="",P149=""),"",IF(D149="Buy",MROUND(P149*(1-Settings!$K$6),Settings!$K$10),MROUND(P149*(1+Settings!$K$6),Settings!$K$10)))</f>
        <v/>
      </c>
      <c r="R149" s="95" t="str">
        <f t="shared" si="17"/>
        <v/>
      </c>
      <c r="S149" s="82"/>
      <c r="T149" s="94" t="str">
        <f>IF(OR(D149="",S149=""),"",IF(D149="Buy",MROUND(S149*(1-Settings!$K$6),Settings!$K$10),MROUND(S149*(1+Settings!$K$6),Settings!$K$10)))</f>
        <v/>
      </c>
      <c r="U149" s="67"/>
      <c r="V149" s="109" t="str">
        <f t="shared" si="18"/>
        <v/>
      </c>
      <c r="W149" s="110"/>
      <c r="X149" s="109" t="str">
        <f t="shared" si="19"/>
        <v/>
      </c>
      <c r="Y149" s="109" t="str">
        <f t="shared" si="20"/>
        <v/>
      </c>
      <c r="Z149" s="82"/>
    </row>
    <row r="150" ht="20" customHeight="1" spans="1:26">
      <c r="A150" s="64">
        <v>137</v>
      </c>
      <c r="B150" s="65"/>
      <c r="C150" s="66"/>
      <c r="D150" s="67"/>
      <c r="E150" s="82"/>
      <c r="F150" s="82"/>
      <c r="G150" s="82"/>
      <c r="H150" s="82"/>
      <c r="I150" s="93" t="str">
        <f t="shared" si="14"/>
        <v/>
      </c>
      <c r="J150" s="82"/>
      <c r="K150" s="94" t="str">
        <f>IF(OR(D150="",E150=""),"",IF(J150="",G150,IF(D150="Buy",MROUND(MAX(E150*(1-Settings!$K$8),J150*(1-Settings!$K$6)),Settings!$K$10),MROUND(MIN(E150*(1+Settings!$K$8),J150*(1+Settings!$K$6)),Settings!$K$10))))</f>
        <v/>
      </c>
      <c r="L150" s="95" t="str">
        <f t="shared" si="15"/>
        <v/>
      </c>
      <c r="M150" s="82"/>
      <c r="N150" s="94" t="str">
        <f>IF(OR(D150="",E150=""),"",IF(M150="",H150,IF(D150="Buy",MROUND(MAX(E150*(1-Settings!$K$8),M150*(1-Settings!$K$6)),Settings!$K$10),MROUND(MIN(E150*(1+Settings!$K$8),M150*(1+Settings!$K$6)),Settings!$K$10))))</f>
        <v/>
      </c>
      <c r="O150" s="95" t="str">
        <f t="shared" si="16"/>
        <v/>
      </c>
      <c r="P150" s="82"/>
      <c r="Q150" s="94" t="str">
        <f>IF(OR(D150="",P150=""),"",IF(D150="Buy",MROUND(P150*(1-Settings!$K$6),Settings!$K$10),MROUND(P150*(1+Settings!$K$6),Settings!$K$10)))</f>
        <v/>
      </c>
      <c r="R150" s="95" t="str">
        <f t="shared" si="17"/>
        <v/>
      </c>
      <c r="S150" s="82"/>
      <c r="T150" s="94" t="str">
        <f>IF(OR(D150="",S150=""),"",IF(D150="Buy",MROUND(S150*(1-Settings!$K$6),Settings!$K$10),MROUND(S150*(1+Settings!$K$6),Settings!$K$10)))</f>
        <v/>
      </c>
      <c r="U150" s="67"/>
      <c r="V150" s="109" t="str">
        <f t="shared" si="18"/>
        <v/>
      </c>
      <c r="W150" s="110"/>
      <c r="X150" s="109" t="str">
        <f t="shared" si="19"/>
        <v/>
      </c>
      <c r="Y150" s="109" t="str">
        <f t="shared" si="20"/>
        <v/>
      </c>
      <c r="Z150" s="82"/>
    </row>
    <row r="151" ht="20" customHeight="1" spans="1:26">
      <c r="A151" s="64">
        <v>138</v>
      </c>
      <c r="B151" s="65"/>
      <c r="C151" s="66"/>
      <c r="D151" s="67"/>
      <c r="E151" s="82"/>
      <c r="F151" s="82"/>
      <c r="G151" s="82"/>
      <c r="H151" s="82"/>
      <c r="I151" s="93" t="str">
        <f t="shared" si="14"/>
        <v/>
      </c>
      <c r="J151" s="82"/>
      <c r="K151" s="94" t="str">
        <f>IF(OR(D151="",E151=""),"",IF(J151="",G151,IF(D151="Buy",MROUND(MAX(E151*(1-Settings!$K$8),J151*(1-Settings!$K$6)),Settings!$K$10),MROUND(MIN(E151*(1+Settings!$K$8),J151*(1+Settings!$K$6)),Settings!$K$10))))</f>
        <v/>
      </c>
      <c r="L151" s="95" t="str">
        <f t="shared" si="15"/>
        <v/>
      </c>
      <c r="M151" s="82"/>
      <c r="N151" s="94" t="str">
        <f>IF(OR(D151="",E151=""),"",IF(M151="",H151,IF(D151="Buy",MROUND(MAX(E151*(1-Settings!$K$8),M151*(1-Settings!$K$6)),Settings!$K$10),MROUND(MIN(E151*(1+Settings!$K$8),M151*(1+Settings!$K$6)),Settings!$K$10))))</f>
        <v/>
      </c>
      <c r="O151" s="95" t="str">
        <f t="shared" si="16"/>
        <v/>
      </c>
      <c r="P151" s="82"/>
      <c r="Q151" s="94" t="str">
        <f>IF(OR(D151="",P151=""),"",IF(D151="Buy",MROUND(P151*(1-Settings!$K$6),Settings!$K$10),MROUND(P151*(1+Settings!$K$6),Settings!$K$10)))</f>
        <v/>
      </c>
      <c r="R151" s="95" t="str">
        <f t="shared" si="17"/>
        <v/>
      </c>
      <c r="S151" s="82"/>
      <c r="T151" s="94" t="str">
        <f>IF(OR(D151="",S151=""),"",IF(D151="Buy",MROUND(S151*(1-Settings!$K$6),Settings!$K$10),MROUND(S151*(1+Settings!$K$6),Settings!$K$10)))</f>
        <v/>
      </c>
      <c r="U151" s="67"/>
      <c r="V151" s="109" t="str">
        <f t="shared" si="18"/>
        <v/>
      </c>
      <c r="W151" s="110"/>
      <c r="X151" s="109" t="str">
        <f t="shared" si="19"/>
        <v/>
      </c>
      <c r="Y151" s="109" t="str">
        <f t="shared" si="20"/>
        <v/>
      </c>
      <c r="Z151" s="82"/>
    </row>
    <row r="152" ht="20" customHeight="1" spans="1:26">
      <c r="A152" s="64">
        <v>139</v>
      </c>
      <c r="B152" s="65"/>
      <c r="C152" s="66"/>
      <c r="D152" s="67"/>
      <c r="E152" s="82"/>
      <c r="F152" s="82"/>
      <c r="G152" s="82"/>
      <c r="H152" s="82"/>
      <c r="I152" s="93" t="str">
        <f t="shared" si="14"/>
        <v/>
      </c>
      <c r="J152" s="82"/>
      <c r="K152" s="94" t="str">
        <f>IF(OR(D152="",E152=""),"",IF(J152="",G152,IF(D152="Buy",MROUND(MAX(E152*(1-Settings!$K$8),J152*(1-Settings!$K$6)),Settings!$K$10),MROUND(MIN(E152*(1+Settings!$K$8),J152*(1+Settings!$K$6)),Settings!$K$10))))</f>
        <v/>
      </c>
      <c r="L152" s="95" t="str">
        <f t="shared" si="15"/>
        <v/>
      </c>
      <c r="M152" s="82"/>
      <c r="N152" s="94" t="str">
        <f>IF(OR(D152="",E152=""),"",IF(M152="",H152,IF(D152="Buy",MROUND(MAX(E152*(1-Settings!$K$8),M152*(1-Settings!$K$6)),Settings!$K$10),MROUND(MIN(E152*(1+Settings!$K$8),M152*(1+Settings!$K$6)),Settings!$K$10))))</f>
        <v/>
      </c>
      <c r="O152" s="95" t="str">
        <f t="shared" si="16"/>
        <v/>
      </c>
      <c r="P152" s="82"/>
      <c r="Q152" s="94" t="str">
        <f>IF(OR(D152="",P152=""),"",IF(D152="Buy",MROUND(P152*(1-Settings!$K$6),Settings!$K$10),MROUND(P152*(1+Settings!$K$6),Settings!$K$10)))</f>
        <v/>
      </c>
      <c r="R152" s="95" t="str">
        <f t="shared" si="17"/>
        <v/>
      </c>
      <c r="S152" s="82"/>
      <c r="T152" s="94" t="str">
        <f>IF(OR(D152="",S152=""),"",IF(D152="Buy",MROUND(S152*(1-Settings!$K$6),Settings!$K$10),MROUND(S152*(1+Settings!$K$6),Settings!$K$10)))</f>
        <v/>
      </c>
      <c r="U152" s="67"/>
      <c r="V152" s="109" t="str">
        <f t="shared" si="18"/>
        <v/>
      </c>
      <c r="W152" s="110"/>
      <c r="X152" s="109" t="str">
        <f t="shared" si="19"/>
        <v/>
      </c>
      <c r="Y152" s="109" t="str">
        <f t="shared" si="20"/>
        <v/>
      </c>
      <c r="Z152" s="82"/>
    </row>
    <row r="153" ht="20" customHeight="1" spans="1:26">
      <c r="A153" s="64">
        <v>140</v>
      </c>
      <c r="B153" s="65"/>
      <c r="C153" s="66"/>
      <c r="D153" s="67"/>
      <c r="E153" s="82"/>
      <c r="F153" s="82"/>
      <c r="G153" s="82"/>
      <c r="H153" s="82"/>
      <c r="I153" s="93" t="str">
        <f t="shared" si="14"/>
        <v/>
      </c>
      <c r="J153" s="82"/>
      <c r="K153" s="94" t="str">
        <f>IF(OR(D153="",E153=""),"",IF(J153="",G153,IF(D153="Buy",MROUND(MAX(E153*(1-Settings!$K$8),J153*(1-Settings!$K$6)),Settings!$K$10),MROUND(MIN(E153*(1+Settings!$K$8),J153*(1+Settings!$K$6)),Settings!$K$10))))</f>
        <v/>
      </c>
      <c r="L153" s="95" t="str">
        <f t="shared" si="15"/>
        <v/>
      </c>
      <c r="M153" s="82"/>
      <c r="N153" s="94" t="str">
        <f>IF(OR(D153="",E153=""),"",IF(M153="",H153,IF(D153="Buy",MROUND(MAX(E153*(1-Settings!$K$8),M153*(1-Settings!$K$6)),Settings!$K$10),MROUND(MIN(E153*(1+Settings!$K$8),M153*(1+Settings!$K$6)),Settings!$K$10))))</f>
        <v/>
      </c>
      <c r="O153" s="95" t="str">
        <f t="shared" si="16"/>
        <v/>
      </c>
      <c r="P153" s="82"/>
      <c r="Q153" s="94" t="str">
        <f>IF(OR(D153="",P153=""),"",IF(D153="Buy",MROUND(P153*(1-Settings!$K$6),Settings!$K$10),MROUND(P153*(1+Settings!$K$6),Settings!$K$10)))</f>
        <v/>
      </c>
      <c r="R153" s="95" t="str">
        <f t="shared" si="17"/>
        <v/>
      </c>
      <c r="S153" s="82"/>
      <c r="T153" s="94" t="str">
        <f>IF(OR(D153="",S153=""),"",IF(D153="Buy",MROUND(S153*(1-Settings!$K$6),Settings!$K$10),MROUND(S153*(1+Settings!$K$6),Settings!$K$10)))</f>
        <v/>
      </c>
      <c r="U153" s="67"/>
      <c r="V153" s="109" t="str">
        <f t="shared" si="18"/>
        <v/>
      </c>
      <c r="W153" s="110"/>
      <c r="X153" s="109" t="str">
        <f t="shared" si="19"/>
        <v/>
      </c>
      <c r="Y153" s="109" t="str">
        <f t="shared" si="20"/>
        <v/>
      </c>
      <c r="Z153" s="82"/>
    </row>
    <row r="154" ht="20" customHeight="1" spans="1:26">
      <c r="A154" s="64">
        <v>141</v>
      </c>
      <c r="B154" s="65"/>
      <c r="C154" s="66"/>
      <c r="D154" s="67"/>
      <c r="E154" s="82"/>
      <c r="F154" s="82"/>
      <c r="G154" s="82"/>
      <c r="H154" s="82"/>
      <c r="I154" s="93" t="str">
        <f t="shared" si="14"/>
        <v/>
      </c>
      <c r="J154" s="82"/>
      <c r="K154" s="94" t="str">
        <f>IF(OR(D154="",E154=""),"",IF(J154="",G154,IF(D154="Buy",MROUND(MAX(E154*(1-Settings!$K$8),J154*(1-Settings!$K$6)),Settings!$K$10),MROUND(MIN(E154*(1+Settings!$K$8),J154*(1+Settings!$K$6)),Settings!$K$10))))</f>
        <v/>
      </c>
      <c r="L154" s="95" t="str">
        <f t="shared" si="15"/>
        <v/>
      </c>
      <c r="M154" s="82"/>
      <c r="N154" s="94" t="str">
        <f>IF(OR(D154="",E154=""),"",IF(M154="",H154,IF(D154="Buy",MROUND(MAX(E154*(1-Settings!$K$8),M154*(1-Settings!$K$6)),Settings!$K$10),MROUND(MIN(E154*(1+Settings!$K$8),M154*(1+Settings!$K$6)),Settings!$K$10))))</f>
        <v/>
      </c>
      <c r="O154" s="95" t="str">
        <f t="shared" si="16"/>
        <v/>
      </c>
      <c r="P154" s="82"/>
      <c r="Q154" s="94" t="str">
        <f>IF(OR(D154="",P154=""),"",IF(D154="Buy",MROUND(P154*(1-Settings!$K$6),Settings!$K$10),MROUND(P154*(1+Settings!$K$6),Settings!$K$10)))</f>
        <v/>
      </c>
      <c r="R154" s="95" t="str">
        <f t="shared" si="17"/>
        <v/>
      </c>
      <c r="S154" s="82"/>
      <c r="T154" s="94" t="str">
        <f>IF(OR(D154="",S154=""),"",IF(D154="Buy",MROUND(S154*(1-Settings!$K$6),Settings!$K$10),MROUND(S154*(1+Settings!$K$6),Settings!$K$10)))</f>
        <v/>
      </c>
      <c r="U154" s="67"/>
      <c r="V154" s="109" t="str">
        <f t="shared" si="18"/>
        <v/>
      </c>
      <c r="W154" s="110"/>
      <c r="X154" s="109" t="str">
        <f t="shared" si="19"/>
        <v/>
      </c>
      <c r="Y154" s="109" t="str">
        <f t="shared" si="20"/>
        <v/>
      </c>
      <c r="Z154" s="82"/>
    </row>
    <row r="155" ht="20" customHeight="1" spans="1:26">
      <c r="A155" s="64">
        <v>142</v>
      </c>
      <c r="B155" s="65"/>
      <c r="C155" s="66"/>
      <c r="D155" s="67"/>
      <c r="E155" s="82"/>
      <c r="F155" s="82"/>
      <c r="G155" s="82"/>
      <c r="H155" s="82"/>
      <c r="I155" s="93" t="str">
        <f t="shared" si="14"/>
        <v/>
      </c>
      <c r="J155" s="82"/>
      <c r="K155" s="94" t="str">
        <f>IF(OR(D155="",E155=""),"",IF(J155="",G155,IF(D155="Buy",MROUND(MAX(E155*(1-Settings!$K$8),J155*(1-Settings!$K$6)),Settings!$K$10),MROUND(MIN(E155*(1+Settings!$K$8),J155*(1+Settings!$K$6)),Settings!$K$10))))</f>
        <v/>
      </c>
      <c r="L155" s="95" t="str">
        <f t="shared" si="15"/>
        <v/>
      </c>
      <c r="M155" s="82"/>
      <c r="N155" s="94" t="str">
        <f>IF(OR(D155="",E155=""),"",IF(M155="",H155,IF(D155="Buy",MROUND(MAX(E155*(1-Settings!$K$8),M155*(1-Settings!$K$6)),Settings!$K$10),MROUND(MIN(E155*(1+Settings!$K$8),M155*(1+Settings!$K$6)),Settings!$K$10))))</f>
        <v/>
      </c>
      <c r="O155" s="95" t="str">
        <f t="shared" si="16"/>
        <v/>
      </c>
      <c r="P155" s="82"/>
      <c r="Q155" s="94" t="str">
        <f>IF(OR(D155="",P155=""),"",IF(D155="Buy",MROUND(P155*(1-Settings!$K$6),Settings!$K$10),MROUND(P155*(1+Settings!$K$6),Settings!$K$10)))</f>
        <v/>
      </c>
      <c r="R155" s="95" t="str">
        <f t="shared" si="17"/>
        <v/>
      </c>
      <c r="S155" s="82"/>
      <c r="T155" s="94" t="str">
        <f>IF(OR(D155="",S155=""),"",IF(D155="Buy",MROUND(S155*(1-Settings!$K$6),Settings!$K$10),MROUND(S155*(1+Settings!$K$6),Settings!$K$10)))</f>
        <v/>
      </c>
      <c r="U155" s="67"/>
      <c r="V155" s="109" t="str">
        <f t="shared" si="18"/>
        <v/>
      </c>
      <c r="W155" s="110"/>
      <c r="X155" s="109" t="str">
        <f t="shared" si="19"/>
        <v/>
      </c>
      <c r="Y155" s="109" t="str">
        <f t="shared" si="20"/>
        <v/>
      </c>
      <c r="Z155" s="82"/>
    </row>
    <row r="156" ht="20" customHeight="1" spans="1:26">
      <c r="A156" s="64">
        <v>143</v>
      </c>
      <c r="B156" s="65"/>
      <c r="C156" s="66"/>
      <c r="D156" s="67"/>
      <c r="E156" s="82"/>
      <c r="F156" s="82"/>
      <c r="G156" s="82"/>
      <c r="H156" s="82"/>
      <c r="I156" s="93" t="str">
        <f t="shared" si="14"/>
        <v/>
      </c>
      <c r="J156" s="82"/>
      <c r="K156" s="94" t="str">
        <f>IF(OR(D156="",E156=""),"",IF(J156="",G156,IF(D156="Buy",MROUND(MAX(E156*(1-Settings!$K$8),J156*(1-Settings!$K$6)),Settings!$K$10),MROUND(MIN(E156*(1+Settings!$K$8),J156*(1+Settings!$K$6)),Settings!$K$10))))</f>
        <v/>
      </c>
      <c r="L156" s="95" t="str">
        <f t="shared" si="15"/>
        <v/>
      </c>
      <c r="M156" s="82"/>
      <c r="N156" s="94" t="str">
        <f>IF(OR(D156="",E156=""),"",IF(M156="",H156,IF(D156="Buy",MROUND(MAX(E156*(1-Settings!$K$8),M156*(1-Settings!$K$6)),Settings!$K$10),MROUND(MIN(E156*(1+Settings!$K$8),M156*(1+Settings!$K$6)),Settings!$K$10))))</f>
        <v/>
      </c>
      <c r="O156" s="95" t="str">
        <f t="shared" si="16"/>
        <v/>
      </c>
      <c r="P156" s="82"/>
      <c r="Q156" s="94" t="str">
        <f>IF(OR(D156="",P156=""),"",IF(D156="Buy",MROUND(P156*(1-Settings!$K$6),Settings!$K$10),MROUND(P156*(1+Settings!$K$6),Settings!$K$10)))</f>
        <v/>
      </c>
      <c r="R156" s="95" t="str">
        <f t="shared" si="17"/>
        <v/>
      </c>
      <c r="S156" s="82"/>
      <c r="T156" s="94" t="str">
        <f>IF(OR(D156="",S156=""),"",IF(D156="Buy",MROUND(S156*(1-Settings!$K$6),Settings!$K$10),MROUND(S156*(1+Settings!$K$6),Settings!$K$10)))</f>
        <v/>
      </c>
      <c r="U156" s="67"/>
      <c r="V156" s="109" t="str">
        <f t="shared" si="18"/>
        <v/>
      </c>
      <c r="W156" s="110"/>
      <c r="X156" s="109" t="str">
        <f t="shared" si="19"/>
        <v/>
      </c>
      <c r="Y156" s="109" t="str">
        <f t="shared" si="20"/>
        <v/>
      </c>
      <c r="Z156" s="82"/>
    </row>
    <row r="157" ht="20" customHeight="1" spans="1:26">
      <c r="A157" s="64">
        <v>144</v>
      </c>
      <c r="B157" s="65"/>
      <c r="C157" s="66"/>
      <c r="D157" s="67"/>
      <c r="E157" s="82"/>
      <c r="F157" s="82"/>
      <c r="G157" s="82"/>
      <c r="H157" s="82"/>
      <c r="I157" s="93" t="str">
        <f t="shared" si="14"/>
        <v/>
      </c>
      <c r="J157" s="82"/>
      <c r="K157" s="94" t="str">
        <f>IF(OR(D157="",E157=""),"",IF(J157="",G157,IF(D157="Buy",MROUND(MAX(E157*(1-Settings!$K$8),J157*(1-Settings!$K$6)),Settings!$K$10),MROUND(MIN(E157*(1+Settings!$K$8),J157*(1+Settings!$K$6)),Settings!$K$10))))</f>
        <v/>
      </c>
      <c r="L157" s="95" t="str">
        <f t="shared" si="15"/>
        <v/>
      </c>
      <c r="M157" s="82"/>
      <c r="N157" s="94" t="str">
        <f>IF(OR(D157="",E157=""),"",IF(M157="",H157,IF(D157="Buy",MROUND(MAX(E157*(1-Settings!$K$8),M157*(1-Settings!$K$6)),Settings!$K$10),MROUND(MIN(E157*(1+Settings!$K$8),M157*(1+Settings!$K$6)),Settings!$K$10))))</f>
        <v/>
      </c>
      <c r="O157" s="95" t="str">
        <f t="shared" si="16"/>
        <v/>
      </c>
      <c r="P157" s="82"/>
      <c r="Q157" s="94" t="str">
        <f>IF(OR(D157="",P157=""),"",IF(D157="Buy",MROUND(P157*(1-Settings!$K$6),Settings!$K$10),MROUND(P157*(1+Settings!$K$6),Settings!$K$10)))</f>
        <v/>
      </c>
      <c r="R157" s="95" t="str">
        <f t="shared" si="17"/>
        <v/>
      </c>
      <c r="S157" s="82"/>
      <c r="T157" s="94" t="str">
        <f>IF(OR(D157="",S157=""),"",IF(D157="Buy",MROUND(S157*(1-Settings!$K$6),Settings!$K$10),MROUND(S157*(1+Settings!$K$6),Settings!$K$10)))</f>
        <v/>
      </c>
      <c r="U157" s="67"/>
      <c r="V157" s="109" t="str">
        <f t="shared" si="18"/>
        <v/>
      </c>
      <c r="W157" s="110"/>
      <c r="X157" s="109" t="str">
        <f t="shared" si="19"/>
        <v/>
      </c>
      <c r="Y157" s="109" t="str">
        <f t="shared" si="20"/>
        <v/>
      </c>
      <c r="Z157" s="82"/>
    </row>
    <row r="158" ht="20" customHeight="1" spans="1:26">
      <c r="A158" s="64">
        <v>145</v>
      </c>
      <c r="B158" s="65"/>
      <c r="C158" s="66"/>
      <c r="D158" s="67"/>
      <c r="E158" s="82"/>
      <c r="F158" s="82"/>
      <c r="G158" s="82"/>
      <c r="H158" s="82"/>
      <c r="I158" s="93" t="str">
        <f t="shared" si="14"/>
        <v/>
      </c>
      <c r="J158" s="82"/>
      <c r="K158" s="94" t="str">
        <f>IF(OR(D158="",E158=""),"",IF(J158="",G158,IF(D158="Buy",MROUND(MAX(E158*(1-Settings!$K$8),J158*(1-Settings!$K$6)),Settings!$K$10),MROUND(MIN(E158*(1+Settings!$K$8),J158*(1+Settings!$K$6)),Settings!$K$10))))</f>
        <v/>
      </c>
      <c r="L158" s="95" t="str">
        <f t="shared" si="15"/>
        <v/>
      </c>
      <c r="M158" s="82"/>
      <c r="N158" s="94" t="str">
        <f>IF(OR(D158="",E158=""),"",IF(M158="",H158,IF(D158="Buy",MROUND(MAX(E158*(1-Settings!$K$8),M158*(1-Settings!$K$6)),Settings!$K$10),MROUND(MIN(E158*(1+Settings!$K$8),M158*(1+Settings!$K$6)),Settings!$K$10))))</f>
        <v/>
      </c>
      <c r="O158" s="95" t="str">
        <f t="shared" si="16"/>
        <v/>
      </c>
      <c r="P158" s="82"/>
      <c r="Q158" s="94" t="str">
        <f>IF(OR(D158="",P158=""),"",IF(D158="Buy",MROUND(P158*(1-Settings!$K$6),Settings!$K$10),MROUND(P158*(1+Settings!$K$6),Settings!$K$10)))</f>
        <v/>
      </c>
      <c r="R158" s="95" t="str">
        <f t="shared" si="17"/>
        <v/>
      </c>
      <c r="S158" s="82"/>
      <c r="T158" s="94" t="str">
        <f>IF(OR(D158="",S158=""),"",IF(D158="Buy",MROUND(S158*(1-Settings!$K$6),Settings!$K$10),MROUND(S158*(1+Settings!$K$6),Settings!$K$10)))</f>
        <v/>
      </c>
      <c r="U158" s="67"/>
      <c r="V158" s="109" t="str">
        <f t="shared" si="18"/>
        <v/>
      </c>
      <c r="W158" s="110"/>
      <c r="X158" s="109" t="str">
        <f t="shared" si="19"/>
        <v/>
      </c>
      <c r="Y158" s="109" t="str">
        <f t="shared" si="20"/>
        <v/>
      </c>
      <c r="Z158" s="82"/>
    </row>
    <row r="159" ht="20" customHeight="1" spans="1:26">
      <c r="A159" s="64">
        <v>146</v>
      </c>
      <c r="B159" s="65"/>
      <c r="C159" s="66"/>
      <c r="D159" s="67"/>
      <c r="E159" s="82"/>
      <c r="F159" s="82"/>
      <c r="G159" s="82"/>
      <c r="H159" s="82"/>
      <c r="I159" s="93" t="str">
        <f t="shared" si="14"/>
        <v/>
      </c>
      <c r="J159" s="82"/>
      <c r="K159" s="94" t="str">
        <f>IF(OR(D159="",E159=""),"",IF(J159="",G159,IF(D159="Buy",MROUND(MAX(E159*(1-Settings!$K$8),J159*(1-Settings!$K$6)),Settings!$K$10),MROUND(MIN(E159*(1+Settings!$K$8),J159*(1+Settings!$K$6)),Settings!$K$10))))</f>
        <v/>
      </c>
      <c r="L159" s="95" t="str">
        <f t="shared" si="15"/>
        <v/>
      </c>
      <c r="M159" s="82"/>
      <c r="N159" s="94" t="str">
        <f>IF(OR(D159="",E159=""),"",IF(M159="",H159,IF(D159="Buy",MROUND(MAX(E159*(1-Settings!$K$8),M159*(1-Settings!$K$6)),Settings!$K$10),MROUND(MIN(E159*(1+Settings!$K$8),M159*(1+Settings!$K$6)),Settings!$K$10))))</f>
        <v/>
      </c>
      <c r="O159" s="95" t="str">
        <f t="shared" si="16"/>
        <v/>
      </c>
      <c r="P159" s="82"/>
      <c r="Q159" s="94" t="str">
        <f>IF(OR(D159="",P159=""),"",IF(D159="Buy",MROUND(P159*(1-Settings!$K$6),Settings!$K$10),MROUND(P159*(1+Settings!$K$6),Settings!$K$10)))</f>
        <v/>
      </c>
      <c r="R159" s="95" t="str">
        <f t="shared" si="17"/>
        <v/>
      </c>
      <c r="S159" s="82"/>
      <c r="T159" s="94" t="str">
        <f>IF(OR(D159="",S159=""),"",IF(D159="Buy",MROUND(S159*(1-Settings!$K$6),Settings!$K$10),MROUND(S159*(1+Settings!$K$6),Settings!$K$10)))</f>
        <v/>
      </c>
      <c r="U159" s="67"/>
      <c r="V159" s="109" t="str">
        <f t="shared" si="18"/>
        <v/>
      </c>
      <c r="W159" s="110"/>
      <c r="X159" s="109" t="str">
        <f t="shared" si="19"/>
        <v/>
      </c>
      <c r="Y159" s="109" t="str">
        <f t="shared" si="20"/>
        <v/>
      </c>
      <c r="Z159" s="82"/>
    </row>
    <row r="160" ht="20" customHeight="1" spans="1:26">
      <c r="A160" s="64">
        <v>147</v>
      </c>
      <c r="B160" s="65"/>
      <c r="C160" s="66"/>
      <c r="D160" s="67"/>
      <c r="E160" s="82"/>
      <c r="F160" s="82"/>
      <c r="G160" s="82"/>
      <c r="H160" s="82"/>
      <c r="I160" s="93" t="str">
        <f t="shared" si="14"/>
        <v/>
      </c>
      <c r="J160" s="82"/>
      <c r="K160" s="94" t="str">
        <f>IF(OR(D160="",E160=""),"",IF(J160="",G160,IF(D160="Buy",MROUND(MAX(E160*(1-Settings!$K$8),J160*(1-Settings!$K$6)),Settings!$K$10),MROUND(MIN(E160*(1+Settings!$K$8),J160*(1+Settings!$K$6)),Settings!$K$10))))</f>
        <v/>
      </c>
      <c r="L160" s="95" t="str">
        <f t="shared" si="15"/>
        <v/>
      </c>
      <c r="M160" s="82"/>
      <c r="N160" s="94" t="str">
        <f>IF(OR(D160="",E160=""),"",IF(M160="",H160,IF(D160="Buy",MROUND(MAX(E160*(1-Settings!$K$8),M160*(1-Settings!$K$6)),Settings!$K$10),MROUND(MIN(E160*(1+Settings!$K$8),M160*(1+Settings!$K$6)),Settings!$K$10))))</f>
        <v/>
      </c>
      <c r="O160" s="95" t="str">
        <f t="shared" si="16"/>
        <v/>
      </c>
      <c r="P160" s="82"/>
      <c r="Q160" s="94" t="str">
        <f>IF(OR(D160="",P160=""),"",IF(D160="Buy",MROUND(P160*(1-Settings!$K$6),Settings!$K$10),MROUND(P160*(1+Settings!$K$6),Settings!$K$10)))</f>
        <v/>
      </c>
      <c r="R160" s="95" t="str">
        <f t="shared" si="17"/>
        <v/>
      </c>
      <c r="S160" s="82"/>
      <c r="T160" s="94" t="str">
        <f>IF(OR(D160="",S160=""),"",IF(D160="Buy",MROUND(S160*(1-Settings!$K$6),Settings!$K$10),MROUND(S160*(1+Settings!$K$6),Settings!$K$10)))</f>
        <v/>
      </c>
      <c r="U160" s="67"/>
      <c r="V160" s="109" t="str">
        <f t="shared" si="18"/>
        <v/>
      </c>
      <c r="W160" s="110"/>
      <c r="X160" s="109" t="str">
        <f t="shared" si="19"/>
        <v/>
      </c>
      <c r="Y160" s="109" t="str">
        <f t="shared" si="20"/>
        <v/>
      </c>
      <c r="Z160" s="82"/>
    </row>
    <row r="161" ht="20" customHeight="1" spans="1:26">
      <c r="A161" s="64">
        <v>148</v>
      </c>
      <c r="B161" s="65"/>
      <c r="C161" s="66"/>
      <c r="D161" s="67"/>
      <c r="E161" s="82"/>
      <c r="F161" s="82"/>
      <c r="G161" s="82"/>
      <c r="H161" s="82"/>
      <c r="I161" s="93" t="str">
        <f t="shared" si="14"/>
        <v/>
      </c>
      <c r="J161" s="82"/>
      <c r="K161" s="94" t="str">
        <f>IF(OR(D161="",E161=""),"",IF(J161="",G161,IF(D161="Buy",MROUND(MAX(E161*(1-Settings!$K$8),J161*(1-Settings!$K$6)),Settings!$K$10),MROUND(MIN(E161*(1+Settings!$K$8),J161*(1+Settings!$K$6)),Settings!$K$10))))</f>
        <v/>
      </c>
      <c r="L161" s="95" t="str">
        <f t="shared" si="15"/>
        <v/>
      </c>
      <c r="M161" s="82"/>
      <c r="N161" s="94" t="str">
        <f>IF(OR(D161="",E161=""),"",IF(M161="",H161,IF(D161="Buy",MROUND(MAX(E161*(1-Settings!$K$8),M161*(1-Settings!$K$6)),Settings!$K$10),MROUND(MIN(E161*(1+Settings!$K$8),M161*(1+Settings!$K$6)),Settings!$K$10))))</f>
        <v/>
      </c>
      <c r="O161" s="95" t="str">
        <f t="shared" si="16"/>
        <v/>
      </c>
      <c r="P161" s="82"/>
      <c r="Q161" s="94" t="str">
        <f>IF(OR(D161="",P161=""),"",IF(D161="Buy",MROUND(P161*(1-Settings!$K$6),Settings!$K$10),MROUND(P161*(1+Settings!$K$6),Settings!$K$10)))</f>
        <v/>
      </c>
      <c r="R161" s="95" t="str">
        <f t="shared" si="17"/>
        <v/>
      </c>
      <c r="S161" s="82"/>
      <c r="T161" s="94" t="str">
        <f>IF(OR(D161="",S161=""),"",IF(D161="Buy",MROUND(S161*(1-Settings!$K$6),Settings!$K$10),MROUND(S161*(1+Settings!$K$6),Settings!$K$10)))</f>
        <v/>
      </c>
      <c r="U161" s="67"/>
      <c r="V161" s="109" t="str">
        <f t="shared" si="18"/>
        <v/>
      </c>
      <c r="W161" s="110"/>
      <c r="X161" s="109" t="str">
        <f t="shared" si="19"/>
        <v/>
      </c>
      <c r="Y161" s="109" t="str">
        <f t="shared" si="20"/>
        <v/>
      </c>
      <c r="Z161" s="82"/>
    </row>
    <row r="162" ht="20" customHeight="1" spans="1:26">
      <c r="A162" s="64">
        <v>149</v>
      </c>
      <c r="B162" s="65"/>
      <c r="C162" s="66"/>
      <c r="D162" s="67"/>
      <c r="E162" s="82"/>
      <c r="F162" s="82"/>
      <c r="G162" s="82"/>
      <c r="H162" s="82"/>
      <c r="I162" s="93" t="str">
        <f t="shared" si="14"/>
        <v/>
      </c>
      <c r="J162" s="82"/>
      <c r="K162" s="94" t="str">
        <f>IF(OR(D162="",E162=""),"",IF(J162="",G162,IF(D162="Buy",MROUND(MAX(E162*(1-Settings!$K$8),J162*(1-Settings!$K$6)),Settings!$K$10),MROUND(MIN(E162*(1+Settings!$K$8),J162*(1+Settings!$K$6)),Settings!$K$10))))</f>
        <v/>
      </c>
      <c r="L162" s="95" t="str">
        <f t="shared" si="15"/>
        <v/>
      </c>
      <c r="M162" s="82"/>
      <c r="N162" s="94" t="str">
        <f>IF(OR(D162="",E162=""),"",IF(M162="",H162,IF(D162="Buy",MROUND(MAX(E162*(1-Settings!$K$8),M162*(1-Settings!$K$6)),Settings!$K$10),MROUND(MIN(E162*(1+Settings!$K$8),M162*(1+Settings!$K$6)),Settings!$K$10))))</f>
        <v/>
      </c>
      <c r="O162" s="95" t="str">
        <f t="shared" si="16"/>
        <v/>
      </c>
      <c r="P162" s="82"/>
      <c r="Q162" s="94" t="str">
        <f>IF(OR(D162="",P162=""),"",IF(D162="Buy",MROUND(P162*(1-Settings!$K$6),Settings!$K$10),MROUND(P162*(1+Settings!$K$6),Settings!$K$10)))</f>
        <v/>
      </c>
      <c r="R162" s="95" t="str">
        <f t="shared" si="17"/>
        <v/>
      </c>
      <c r="S162" s="82"/>
      <c r="T162" s="94" t="str">
        <f>IF(OR(D162="",S162=""),"",IF(D162="Buy",MROUND(S162*(1-Settings!$K$6),Settings!$K$10),MROUND(S162*(1+Settings!$K$6),Settings!$K$10)))</f>
        <v/>
      </c>
      <c r="U162" s="67"/>
      <c r="V162" s="109" t="str">
        <f t="shared" si="18"/>
        <v/>
      </c>
      <c r="W162" s="110"/>
      <c r="X162" s="109" t="str">
        <f t="shared" si="19"/>
        <v/>
      </c>
      <c r="Y162" s="109" t="str">
        <f t="shared" si="20"/>
        <v/>
      </c>
      <c r="Z162" s="82"/>
    </row>
    <row r="163" ht="20" customHeight="1" spans="1:26">
      <c r="A163" s="64">
        <v>150</v>
      </c>
      <c r="B163" s="65"/>
      <c r="C163" s="66"/>
      <c r="D163" s="67"/>
      <c r="E163" s="82"/>
      <c r="F163" s="82"/>
      <c r="G163" s="82"/>
      <c r="H163" s="82"/>
      <c r="I163" s="93" t="str">
        <f t="shared" si="14"/>
        <v/>
      </c>
      <c r="J163" s="82"/>
      <c r="K163" s="94" t="str">
        <f>IF(OR(D163="",E163=""),"",IF(J163="",G163,IF(D163="Buy",MROUND(MAX(E163*(1-Settings!$K$8),J163*(1-Settings!$K$6)),Settings!$K$10),MROUND(MIN(E163*(1+Settings!$K$8),J163*(1+Settings!$K$6)),Settings!$K$10))))</f>
        <v/>
      </c>
      <c r="L163" s="95" t="str">
        <f t="shared" si="15"/>
        <v/>
      </c>
      <c r="M163" s="82"/>
      <c r="N163" s="94" t="str">
        <f>IF(OR(D163="",E163=""),"",IF(M163="",H163,IF(D163="Buy",MROUND(MAX(E163*(1-Settings!$K$8),M163*(1-Settings!$K$6)),Settings!$K$10),MROUND(MIN(E163*(1+Settings!$K$8),M163*(1+Settings!$K$6)),Settings!$K$10))))</f>
        <v/>
      </c>
      <c r="O163" s="95" t="str">
        <f t="shared" si="16"/>
        <v/>
      </c>
      <c r="P163" s="82"/>
      <c r="Q163" s="94" t="str">
        <f>IF(OR(D163="",P163=""),"",IF(D163="Buy",MROUND(P163*(1-Settings!$K$6),Settings!$K$10),MROUND(P163*(1+Settings!$K$6),Settings!$K$10)))</f>
        <v/>
      </c>
      <c r="R163" s="95" t="str">
        <f t="shared" si="17"/>
        <v/>
      </c>
      <c r="S163" s="82"/>
      <c r="T163" s="94" t="str">
        <f>IF(OR(D163="",S163=""),"",IF(D163="Buy",MROUND(S163*(1-Settings!$K$6),Settings!$K$10),MROUND(S163*(1+Settings!$K$6),Settings!$K$10)))</f>
        <v/>
      </c>
      <c r="U163" s="67"/>
      <c r="V163" s="109" t="str">
        <f t="shared" si="18"/>
        <v/>
      </c>
      <c r="W163" s="110"/>
      <c r="X163" s="109" t="str">
        <f t="shared" si="19"/>
        <v/>
      </c>
      <c r="Y163" s="109" t="str">
        <f t="shared" si="20"/>
        <v/>
      </c>
      <c r="Z163" s="82"/>
    </row>
    <row r="164" ht="20" customHeight="1" spans="1:26">
      <c r="A164" s="64">
        <v>151</v>
      </c>
      <c r="B164" s="65"/>
      <c r="C164" s="66"/>
      <c r="D164" s="67"/>
      <c r="E164" s="82"/>
      <c r="F164" s="82"/>
      <c r="G164" s="82"/>
      <c r="H164" s="82"/>
      <c r="I164" s="93" t="str">
        <f t="shared" si="14"/>
        <v/>
      </c>
      <c r="J164" s="82"/>
      <c r="K164" s="94" t="str">
        <f>IF(OR(D164="",E164=""),"",IF(J164="",G164,IF(D164="Buy",MROUND(MAX(E164*(1-Settings!$K$8),J164*(1-Settings!$K$6)),Settings!$K$10),MROUND(MIN(E164*(1+Settings!$K$8),J164*(1+Settings!$K$6)),Settings!$K$10))))</f>
        <v/>
      </c>
      <c r="L164" s="95" t="str">
        <f t="shared" si="15"/>
        <v/>
      </c>
      <c r="M164" s="82"/>
      <c r="N164" s="94" t="str">
        <f>IF(OR(D164="",E164=""),"",IF(M164="",H164,IF(D164="Buy",MROUND(MAX(E164*(1-Settings!$K$8),M164*(1-Settings!$K$6)),Settings!$K$10),MROUND(MIN(E164*(1+Settings!$K$8),M164*(1+Settings!$K$6)),Settings!$K$10))))</f>
        <v/>
      </c>
      <c r="O164" s="95" t="str">
        <f t="shared" si="16"/>
        <v/>
      </c>
      <c r="P164" s="82"/>
      <c r="Q164" s="94" t="str">
        <f>IF(OR(D164="",P164=""),"",IF(D164="Buy",MROUND(P164*(1-Settings!$K$6),Settings!$K$10),MROUND(P164*(1+Settings!$K$6),Settings!$K$10)))</f>
        <v/>
      </c>
      <c r="R164" s="95" t="str">
        <f t="shared" si="17"/>
        <v/>
      </c>
      <c r="S164" s="82"/>
      <c r="T164" s="94" t="str">
        <f>IF(OR(D164="",S164=""),"",IF(D164="Buy",MROUND(S164*(1-Settings!$K$6),Settings!$K$10),MROUND(S164*(1+Settings!$K$6),Settings!$K$10)))</f>
        <v/>
      </c>
      <c r="U164" s="67"/>
      <c r="V164" s="109" t="str">
        <f t="shared" si="18"/>
        <v/>
      </c>
      <c r="W164" s="110"/>
      <c r="X164" s="109" t="str">
        <f t="shared" si="19"/>
        <v/>
      </c>
      <c r="Y164" s="109" t="str">
        <f t="shared" si="20"/>
        <v/>
      </c>
      <c r="Z164" s="82"/>
    </row>
    <row r="165" ht="20" customHeight="1" spans="1:26">
      <c r="A165" s="64">
        <v>152</v>
      </c>
      <c r="B165" s="65"/>
      <c r="C165" s="66"/>
      <c r="D165" s="67"/>
      <c r="E165" s="82"/>
      <c r="F165" s="82"/>
      <c r="G165" s="82"/>
      <c r="H165" s="82"/>
      <c r="I165" s="93" t="str">
        <f t="shared" si="14"/>
        <v/>
      </c>
      <c r="J165" s="82"/>
      <c r="K165" s="94" t="str">
        <f>IF(OR(D165="",E165=""),"",IF(J165="",G165,IF(D165="Buy",MROUND(MAX(E165*(1-Settings!$K$8),J165*(1-Settings!$K$6)),Settings!$K$10),MROUND(MIN(E165*(1+Settings!$K$8),J165*(1+Settings!$K$6)),Settings!$K$10))))</f>
        <v/>
      </c>
      <c r="L165" s="95" t="str">
        <f t="shared" si="15"/>
        <v/>
      </c>
      <c r="M165" s="82"/>
      <c r="N165" s="94" t="str">
        <f>IF(OR(D165="",E165=""),"",IF(M165="",H165,IF(D165="Buy",MROUND(MAX(E165*(1-Settings!$K$8),M165*(1-Settings!$K$6)),Settings!$K$10),MROUND(MIN(E165*(1+Settings!$K$8),M165*(1+Settings!$K$6)),Settings!$K$10))))</f>
        <v/>
      </c>
      <c r="O165" s="95" t="str">
        <f t="shared" si="16"/>
        <v/>
      </c>
      <c r="P165" s="82"/>
      <c r="Q165" s="94" t="str">
        <f>IF(OR(D165="",P165=""),"",IF(D165="Buy",MROUND(P165*(1-Settings!$K$6),Settings!$K$10),MROUND(P165*(1+Settings!$K$6),Settings!$K$10)))</f>
        <v/>
      </c>
      <c r="R165" s="95" t="str">
        <f t="shared" si="17"/>
        <v/>
      </c>
      <c r="S165" s="82"/>
      <c r="T165" s="94" t="str">
        <f>IF(OR(D165="",S165=""),"",IF(D165="Buy",MROUND(S165*(1-Settings!$K$6),Settings!$K$10),MROUND(S165*(1+Settings!$K$6),Settings!$K$10)))</f>
        <v/>
      </c>
      <c r="U165" s="67"/>
      <c r="V165" s="109" t="str">
        <f t="shared" si="18"/>
        <v/>
      </c>
      <c r="W165" s="110"/>
      <c r="X165" s="109" t="str">
        <f t="shared" si="19"/>
        <v/>
      </c>
      <c r="Y165" s="109" t="str">
        <f t="shared" si="20"/>
        <v/>
      </c>
      <c r="Z165" s="82"/>
    </row>
    <row r="166" ht="20" customHeight="1" spans="1:26">
      <c r="A166" s="64">
        <v>153</v>
      </c>
      <c r="B166" s="65"/>
      <c r="C166" s="66"/>
      <c r="D166" s="67"/>
      <c r="E166" s="82"/>
      <c r="F166" s="82"/>
      <c r="G166" s="82"/>
      <c r="H166" s="82"/>
      <c r="I166" s="93" t="str">
        <f t="shared" si="14"/>
        <v/>
      </c>
      <c r="J166" s="82"/>
      <c r="K166" s="94" t="str">
        <f>IF(OR(D166="",E166=""),"",IF(J166="",G166,IF(D166="Buy",MROUND(MAX(E166*(1-Settings!$K$8),J166*(1-Settings!$K$6)),Settings!$K$10),MROUND(MIN(E166*(1+Settings!$K$8),J166*(1+Settings!$K$6)),Settings!$K$10))))</f>
        <v/>
      </c>
      <c r="L166" s="95" t="str">
        <f t="shared" si="15"/>
        <v/>
      </c>
      <c r="M166" s="82"/>
      <c r="N166" s="94" t="str">
        <f>IF(OR(D166="",E166=""),"",IF(M166="",H166,IF(D166="Buy",MROUND(MAX(E166*(1-Settings!$K$8),M166*(1-Settings!$K$6)),Settings!$K$10),MROUND(MIN(E166*(1+Settings!$K$8),M166*(1+Settings!$K$6)),Settings!$K$10))))</f>
        <v/>
      </c>
      <c r="O166" s="95" t="str">
        <f t="shared" si="16"/>
        <v/>
      </c>
      <c r="P166" s="82"/>
      <c r="Q166" s="94" t="str">
        <f>IF(OR(D166="",P166=""),"",IF(D166="Buy",MROUND(P166*(1-Settings!$K$6),Settings!$K$10),MROUND(P166*(1+Settings!$K$6),Settings!$K$10)))</f>
        <v/>
      </c>
      <c r="R166" s="95" t="str">
        <f t="shared" si="17"/>
        <v/>
      </c>
      <c r="S166" s="82"/>
      <c r="T166" s="94" t="str">
        <f>IF(OR(D166="",S166=""),"",IF(D166="Buy",MROUND(S166*(1-Settings!$K$6),Settings!$K$10),MROUND(S166*(1+Settings!$K$6),Settings!$K$10)))</f>
        <v/>
      </c>
      <c r="U166" s="67"/>
      <c r="V166" s="109" t="str">
        <f t="shared" si="18"/>
        <v/>
      </c>
      <c r="W166" s="110"/>
      <c r="X166" s="109" t="str">
        <f t="shared" si="19"/>
        <v/>
      </c>
      <c r="Y166" s="109" t="str">
        <f t="shared" si="20"/>
        <v/>
      </c>
      <c r="Z166" s="82"/>
    </row>
    <row r="167" ht="20" customHeight="1" spans="1:26">
      <c r="A167" s="64">
        <v>154</v>
      </c>
      <c r="B167" s="65"/>
      <c r="C167" s="66"/>
      <c r="D167" s="67"/>
      <c r="E167" s="82"/>
      <c r="F167" s="82"/>
      <c r="G167" s="82"/>
      <c r="H167" s="82"/>
      <c r="I167" s="93" t="str">
        <f t="shared" si="14"/>
        <v/>
      </c>
      <c r="J167" s="82"/>
      <c r="K167" s="94" t="str">
        <f>IF(OR(D167="",E167=""),"",IF(J167="",G167,IF(D167="Buy",MROUND(MAX(E167*(1-Settings!$K$8),J167*(1-Settings!$K$6)),Settings!$K$10),MROUND(MIN(E167*(1+Settings!$K$8),J167*(1+Settings!$K$6)),Settings!$K$10))))</f>
        <v/>
      </c>
      <c r="L167" s="95" t="str">
        <f t="shared" si="15"/>
        <v/>
      </c>
      <c r="M167" s="82"/>
      <c r="N167" s="94" t="str">
        <f>IF(OR(D167="",E167=""),"",IF(M167="",H167,IF(D167="Buy",MROUND(MAX(E167*(1-Settings!$K$8),M167*(1-Settings!$K$6)),Settings!$K$10),MROUND(MIN(E167*(1+Settings!$K$8),M167*(1+Settings!$K$6)),Settings!$K$10))))</f>
        <v/>
      </c>
      <c r="O167" s="95" t="str">
        <f t="shared" si="16"/>
        <v/>
      </c>
      <c r="P167" s="82"/>
      <c r="Q167" s="94" t="str">
        <f>IF(OR(D167="",P167=""),"",IF(D167="Buy",MROUND(P167*(1-Settings!$K$6),Settings!$K$10),MROUND(P167*(1+Settings!$K$6),Settings!$K$10)))</f>
        <v/>
      </c>
      <c r="R167" s="95" t="str">
        <f t="shared" si="17"/>
        <v/>
      </c>
      <c r="S167" s="82"/>
      <c r="T167" s="94" t="str">
        <f>IF(OR(D167="",S167=""),"",IF(D167="Buy",MROUND(S167*(1-Settings!$K$6),Settings!$K$10),MROUND(S167*(1+Settings!$K$6),Settings!$K$10)))</f>
        <v/>
      </c>
      <c r="U167" s="67"/>
      <c r="V167" s="109" t="str">
        <f t="shared" si="18"/>
        <v/>
      </c>
      <c r="W167" s="110"/>
      <c r="X167" s="109" t="str">
        <f t="shared" si="19"/>
        <v/>
      </c>
      <c r="Y167" s="109" t="str">
        <f t="shared" si="20"/>
        <v/>
      </c>
      <c r="Z167" s="82"/>
    </row>
    <row r="168" ht="20" customHeight="1" spans="1:26">
      <c r="A168" s="64">
        <v>155</v>
      </c>
      <c r="B168" s="65"/>
      <c r="C168" s="66"/>
      <c r="D168" s="67"/>
      <c r="E168" s="82"/>
      <c r="F168" s="82"/>
      <c r="G168" s="82"/>
      <c r="H168" s="82"/>
      <c r="I168" s="93" t="str">
        <f t="shared" si="14"/>
        <v/>
      </c>
      <c r="J168" s="82"/>
      <c r="K168" s="94" t="str">
        <f>IF(OR(D168="",E168=""),"",IF(J168="",G168,IF(D168="Buy",MROUND(MAX(E168*(1-Settings!$K$8),J168*(1-Settings!$K$6)),Settings!$K$10),MROUND(MIN(E168*(1+Settings!$K$8),J168*(1+Settings!$K$6)),Settings!$K$10))))</f>
        <v/>
      </c>
      <c r="L168" s="95" t="str">
        <f t="shared" si="15"/>
        <v/>
      </c>
      <c r="M168" s="82"/>
      <c r="N168" s="94" t="str">
        <f>IF(OR(D168="",E168=""),"",IF(M168="",H168,IF(D168="Buy",MROUND(MAX(E168*(1-Settings!$K$8),M168*(1-Settings!$K$6)),Settings!$K$10),MROUND(MIN(E168*(1+Settings!$K$8),M168*(1+Settings!$K$6)),Settings!$K$10))))</f>
        <v/>
      </c>
      <c r="O168" s="95" t="str">
        <f t="shared" si="16"/>
        <v/>
      </c>
      <c r="P168" s="82"/>
      <c r="Q168" s="94" t="str">
        <f>IF(OR(D168="",P168=""),"",IF(D168="Buy",MROUND(P168*(1-Settings!$K$6),Settings!$K$10),MROUND(P168*(1+Settings!$K$6),Settings!$K$10)))</f>
        <v/>
      </c>
      <c r="R168" s="95" t="str">
        <f t="shared" si="17"/>
        <v/>
      </c>
      <c r="S168" s="82"/>
      <c r="T168" s="94" t="str">
        <f>IF(OR(D168="",S168=""),"",IF(D168="Buy",MROUND(S168*(1-Settings!$K$6),Settings!$K$10),MROUND(S168*(1+Settings!$K$6),Settings!$K$10)))</f>
        <v/>
      </c>
      <c r="U168" s="67"/>
      <c r="V168" s="109" t="str">
        <f t="shared" si="18"/>
        <v/>
      </c>
      <c r="W168" s="110"/>
      <c r="X168" s="109" t="str">
        <f t="shared" si="19"/>
        <v/>
      </c>
      <c r="Y168" s="109" t="str">
        <f t="shared" si="20"/>
        <v/>
      </c>
      <c r="Z168" s="82"/>
    </row>
    <row r="169" ht="20" customHeight="1" spans="1:26">
      <c r="A169" s="64">
        <v>156</v>
      </c>
      <c r="B169" s="65"/>
      <c r="C169" s="66"/>
      <c r="D169" s="67"/>
      <c r="E169" s="82"/>
      <c r="F169" s="82"/>
      <c r="G169" s="82"/>
      <c r="H169" s="82"/>
      <c r="I169" s="93" t="str">
        <f t="shared" si="14"/>
        <v/>
      </c>
      <c r="J169" s="82"/>
      <c r="K169" s="94" t="str">
        <f>IF(OR(D169="",E169=""),"",IF(J169="",G169,IF(D169="Buy",MROUND(MAX(E169*(1-Settings!$K$8),J169*(1-Settings!$K$6)),Settings!$K$10),MROUND(MIN(E169*(1+Settings!$K$8),J169*(1+Settings!$K$6)),Settings!$K$10))))</f>
        <v/>
      </c>
      <c r="L169" s="95" t="str">
        <f t="shared" si="15"/>
        <v/>
      </c>
      <c r="M169" s="82"/>
      <c r="N169" s="94" t="str">
        <f>IF(OR(D169="",E169=""),"",IF(M169="",H169,IF(D169="Buy",MROUND(MAX(E169*(1-Settings!$K$8),M169*(1-Settings!$K$6)),Settings!$K$10),MROUND(MIN(E169*(1+Settings!$K$8),M169*(1+Settings!$K$6)),Settings!$K$10))))</f>
        <v/>
      </c>
      <c r="O169" s="95" t="str">
        <f t="shared" si="16"/>
        <v/>
      </c>
      <c r="P169" s="82"/>
      <c r="Q169" s="94" t="str">
        <f>IF(OR(D169="",P169=""),"",IF(D169="Buy",MROUND(P169*(1-Settings!$K$6),Settings!$K$10),MROUND(P169*(1+Settings!$K$6),Settings!$K$10)))</f>
        <v/>
      </c>
      <c r="R169" s="95" t="str">
        <f t="shared" si="17"/>
        <v/>
      </c>
      <c r="S169" s="82"/>
      <c r="T169" s="94" t="str">
        <f>IF(OR(D169="",S169=""),"",IF(D169="Buy",MROUND(S169*(1-Settings!$K$6),Settings!$K$10),MROUND(S169*(1+Settings!$K$6),Settings!$K$10)))</f>
        <v/>
      </c>
      <c r="U169" s="67"/>
      <c r="V169" s="109" t="str">
        <f t="shared" si="18"/>
        <v/>
      </c>
      <c r="W169" s="110"/>
      <c r="X169" s="109" t="str">
        <f t="shared" si="19"/>
        <v/>
      </c>
      <c r="Y169" s="109" t="str">
        <f t="shared" si="20"/>
        <v/>
      </c>
      <c r="Z169" s="82"/>
    </row>
    <row r="170" ht="20" customHeight="1" spans="1:26">
      <c r="A170" s="64">
        <v>157</v>
      </c>
      <c r="B170" s="65"/>
      <c r="C170" s="66"/>
      <c r="D170" s="67"/>
      <c r="E170" s="82"/>
      <c r="F170" s="82"/>
      <c r="G170" s="82"/>
      <c r="H170" s="82"/>
      <c r="I170" s="93" t="str">
        <f t="shared" si="14"/>
        <v/>
      </c>
      <c r="J170" s="82"/>
      <c r="K170" s="94" t="str">
        <f>IF(OR(D170="",E170=""),"",IF(J170="",G170,IF(D170="Buy",MROUND(MAX(E170*(1-Settings!$K$8),J170*(1-Settings!$K$6)),Settings!$K$10),MROUND(MIN(E170*(1+Settings!$K$8),J170*(1+Settings!$K$6)),Settings!$K$10))))</f>
        <v/>
      </c>
      <c r="L170" s="95" t="str">
        <f t="shared" si="15"/>
        <v/>
      </c>
      <c r="M170" s="82"/>
      <c r="N170" s="94" t="str">
        <f>IF(OR(D170="",E170=""),"",IF(M170="",H170,IF(D170="Buy",MROUND(MAX(E170*(1-Settings!$K$8),M170*(1-Settings!$K$6)),Settings!$K$10),MROUND(MIN(E170*(1+Settings!$K$8),M170*(1+Settings!$K$6)),Settings!$K$10))))</f>
        <v/>
      </c>
      <c r="O170" s="95" t="str">
        <f t="shared" si="16"/>
        <v/>
      </c>
      <c r="P170" s="82"/>
      <c r="Q170" s="94" t="str">
        <f>IF(OR(D170="",P170=""),"",IF(D170="Buy",MROUND(P170*(1-Settings!$K$6),Settings!$K$10),MROUND(P170*(1+Settings!$K$6),Settings!$K$10)))</f>
        <v/>
      </c>
      <c r="R170" s="95" t="str">
        <f t="shared" si="17"/>
        <v/>
      </c>
      <c r="S170" s="82"/>
      <c r="T170" s="94" t="str">
        <f>IF(OR(D170="",S170=""),"",IF(D170="Buy",MROUND(S170*(1-Settings!$K$6),Settings!$K$10),MROUND(S170*(1+Settings!$K$6),Settings!$K$10)))</f>
        <v/>
      </c>
      <c r="U170" s="67"/>
      <c r="V170" s="109" t="str">
        <f t="shared" si="18"/>
        <v/>
      </c>
      <c r="W170" s="110"/>
      <c r="X170" s="109" t="str">
        <f t="shared" si="19"/>
        <v/>
      </c>
      <c r="Y170" s="109" t="str">
        <f t="shared" si="20"/>
        <v/>
      </c>
      <c r="Z170" s="82"/>
    </row>
    <row r="171" ht="20" customHeight="1" spans="1:26">
      <c r="A171" s="64">
        <v>158</v>
      </c>
      <c r="B171" s="65"/>
      <c r="C171" s="66"/>
      <c r="D171" s="67"/>
      <c r="E171" s="82"/>
      <c r="F171" s="82"/>
      <c r="G171" s="82"/>
      <c r="H171" s="82"/>
      <c r="I171" s="93" t="str">
        <f t="shared" si="14"/>
        <v/>
      </c>
      <c r="J171" s="82"/>
      <c r="K171" s="94" t="str">
        <f>IF(OR(D171="",E171=""),"",IF(J171="",G171,IF(D171="Buy",MROUND(MAX(E171*(1-Settings!$K$8),J171*(1-Settings!$K$6)),Settings!$K$10),MROUND(MIN(E171*(1+Settings!$K$8),J171*(1+Settings!$K$6)),Settings!$K$10))))</f>
        <v/>
      </c>
      <c r="L171" s="95" t="str">
        <f t="shared" si="15"/>
        <v/>
      </c>
      <c r="M171" s="82"/>
      <c r="N171" s="94" t="str">
        <f>IF(OR(D171="",E171=""),"",IF(M171="",H171,IF(D171="Buy",MROUND(MAX(E171*(1-Settings!$K$8),M171*(1-Settings!$K$6)),Settings!$K$10),MROUND(MIN(E171*(1+Settings!$K$8),M171*(1+Settings!$K$6)),Settings!$K$10))))</f>
        <v/>
      </c>
      <c r="O171" s="95" t="str">
        <f t="shared" si="16"/>
        <v/>
      </c>
      <c r="P171" s="82"/>
      <c r="Q171" s="94" t="str">
        <f>IF(OR(D171="",P171=""),"",IF(D171="Buy",MROUND(P171*(1-Settings!$K$6),Settings!$K$10),MROUND(P171*(1+Settings!$K$6),Settings!$K$10)))</f>
        <v/>
      </c>
      <c r="R171" s="95" t="str">
        <f t="shared" si="17"/>
        <v/>
      </c>
      <c r="S171" s="82"/>
      <c r="T171" s="94" t="str">
        <f>IF(OR(D171="",S171=""),"",IF(D171="Buy",MROUND(S171*(1-Settings!$K$6),Settings!$K$10),MROUND(S171*(1+Settings!$K$6),Settings!$K$10)))</f>
        <v/>
      </c>
      <c r="U171" s="67"/>
      <c r="V171" s="109" t="str">
        <f t="shared" si="18"/>
        <v/>
      </c>
      <c r="W171" s="110"/>
      <c r="X171" s="109" t="str">
        <f t="shared" si="19"/>
        <v/>
      </c>
      <c r="Y171" s="109" t="str">
        <f t="shared" si="20"/>
        <v/>
      </c>
      <c r="Z171" s="82"/>
    </row>
    <row r="172" ht="20" customHeight="1" spans="1:26">
      <c r="A172" s="64">
        <v>159</v>
      </c>
      <c r="B172" s="65"/>
      <c r="C172" s="66"/>
      <c r="D172" s="67"/>
      <c r="E172" s="82"/>
      <c r="F172" s="82"/>
      <c r="G172" s="82"/>
      <c r="H172" s="82"/>
      <c r="I172" s="93" t="str">
        <f t="shared" si="14"/>
        <v/>
      </c>
      <c r="J172" s="82"/>
      <c r="K172" s="94" t="str">
        <f>IF(OR(D172="",E172=""),"",IF(J172="",G172,IF(D172="Buy",MROUND(MAX(E172*(1-Settings!$K$8),J172*(1-Settings!$K$6)),Settings!$K$10),MROUND(MIN(E172*(1+Settings!$K$8),J172*(1+Settings!$K$6)),Settings!$K$10))))</f>
        <v/>
      </c>
      <c r="L172" s="95" t="str">
        <f t="shared" si="15"/>
        <v/>
      </c>
      <c r="M172" s="82"/>
      <c r="N172" s="94" t="str">
        <f>IF(OR(D172="",E172=""),"",IF(M172="",H172,IF(D172="Buy",MROUND(MAX(E172*(1-Settings!$K$8),M172*(1-Settings!$K$6)),Settings!$K$10),MROUND(MIN(E172*(1+Settings!$K$8),M172*(1+Settings!$K$6)),Settings!$K$10))))</f>
        <v/>
      </c>
      <c r="O172" s="95" t="str">
        <f t="shared" si="16"/>
        <v/>
      </c>
      <c r="P172" s="82"/>
      <c r="Q172" s="94" t="str">
        <f>IF(OR(D172="",P172=""),"",IF(D172="Buy",MROUND(P172*(1-Settings!$K$6),Settings!$K$10),MROUND(P172*(1+Settings!$K$6),Settings!$K$10)))</f>
        <v/>
      </c>
      <c r="R172" s="95" t="str">
        <f t="shared" si="17"/>
        <v/>
      </c>
      <c r="S172" s="82"/>
      <c r="T172" s="94" t="str">
        <f>IF(OR(D172="",S172=""),"",IF(D172="Buy",MROUND(S172*(1-Settings!$K$6),Settings!$K$10),MROUND(S172*(1+Settings!$K$6),Settings!$K$10)))</f>
        <v/>
      </c>
      <c r="U172" s="67"/>
      <c r="V172" s="109" t="str">
        <f t="shared" si="18"/>
        <v/>
      </c>
      <c r="W172" s="110"/>
      <c r="X172" s="109" t="str">
        <f t="shared" si="19"/>
        <v/>
      </c>
      <c r="Y172" s="109" t="str">
        <f t="shared" si="20"/>
        <v/>
      </c>
      <c r="Z172" s="82"/>
    </row>
    <row r="173" ht="20" customHeight="1" spans="1:26">
      <c r="A173" s="64">
        <v>160</v>
      </c>
      <c r="B173" s="65"/>
      <c r="C173" s="66"/>
      <c r="D173" s="67"/>
      <c r="E173" s="82"/>
      <c r="F173" s="82"/>
      <c r="G173" s="82"/>
      <c r="H173" s="82"/>
      <c r="I173" s="93" t="str">
        <f t="shared" si="14"/>
        <v/>
      </c>
      <c r="J173" s="82"/>
      <c r="K173" s="94" t="str">
        <f>IF(OR(D173="",E173=""),"",IF(J173="",G173,IF(D173="Buy",MROUND(MAX(E173*(1-Settings!$K$8),J173*(1-Settings!$K$6)),Settings!$K$10),MROUND(MIN(E173*(1+Settings!$K$8),J173*(1+Settings!$K$6)),Settings!$K$10))))</f>
        <v/>
      </c>
      <c r="L173" s="95" t="str">
        <f t="shared" si="15"/>
        <v/>
      </c>
      <c r="M173" s="82"/>
      <c r="N173" s="94" t="str">
        <f>IF(OR(D173="",E173=""),"",IF(M173="",H173,IF(D173="Buy",MROUND(MAX(E173*(1-Settings!$K$8),M173*(1-Settings!$K$6)),Settings!$K$10),MROUND(MIN(E173*(1+Settings!$K$8),M173*(1+Settings!$K$6)),Settings!$K$10))))</f>
        <v/>
      </c>
      <c r="O173" s="95" t="str">
        <f t="shared" si="16"/>
        <v/>
      </c>
      <c r="P173" s="82"/>
      <c r="Q173" s="94" t="str">
        <f>IF(OR(D173="",P173=""),"",IF(D173="Buy",MROUND(P173*(1-Settings!$K$6),Settings!$K$10),MROUND(P173*(1+Settings!$K$6),Settings!$K$10)))</f>
        <v/>
      </c>
      <c r="R173" s="95" t="str">
        <f t="shared" si="17"/>
        <v/>
      </c>
      <c r="S173" s="82"/>
      <c r="T173" s="94" t="str">
        <f>IF(OR(D173="",S173=""),"",IF(D173="Buy",MROUND(S173*(1-Settings!$K$6),Settings!$K$10),MROUND(S173*(1+Settings!$K$6),Settings!$K$10)))</f>
        <v/>
      </c>
      <c r="U173" s="67"/>
      <c r="V173" s="109" t="str">
        <f t="shared" si="18"/>
        <v/>
      </c>
      <c r="W173" s="110"/>
      <c r="X173" s="109" t="str">
        <f t="shared" si="19"/>
        <v/>
      </c>
      <c r="Y173" s="109" t="str">
        <f t="shared" si="20"/>
        <v/>
      </c>
      <c r="Z173" s="82"/>
    </row>
    <row r="174" ht="20" customHeight="1" spans="1:26">
      <c r="A174" s="64">
        <v>161</v>
      </c>
      <c r="B174" s="65"/>
      <c r="C174" s="66"/>
      <c r="D174" s="67"/>
      <c r="E174" s="82"/>
      <c r="F174" s="82"/>
      <c r="G174" s="82"/>
      <c r="H174" s="82"/>
      <c r="I174" s="93" t="str">
        <f t="shared" si="14"/>
        <v/>
      </c>
      <c r="J174" s="82"/>
      <c r="K174" s="94" t="str">
        <f>IF(OR(D174="",E174=""),"",IF(J174="",G174,IF(D174="Buy",MROUND(MAX(E174*(1-Settings!$K$8),J174*(1-Settings!$K$6)),Settings!$K$10),MROUND(MIN(E174*(1+Settings!$K$8),J174*(1+Settings!$K$6)),Settings!$K$10))))</f>
        <v/>
      </c>
      <c r="L174" s="95" t="str">
        <f t="shared" si="15"/>
        <v/>
      </c>
      <c r="M174" s="82"/>
      <c r="N174" s="94" t="str">
        <f>IF(OR(D174="",E174=""),"",IF(M174="",H174,IF(D174="Buy",MROUND(MAX(E174*(1-Settings!$K$8),M174*(1-Settings!$K$6)),Settings!$K$10),MROUND(MIN(E174*(1+Settings!$K$8),M174*(1+Settings!$K$6)),Settings!$K$10))))</f>
        <v/>
      </c>
      <c r="O174" s="95" t="str">
        <f t="shared" si="16"/>
        <v/>
      </c>
      <c r="P174" s="82"/>
      <c r="Q174" s="94" t="str">
        <f>IF(OR(D174="",P174=""),"",IF(D174="Buy",MROUND(P174*(1-Settings!$K$6),Settings!$K$10),MROUND(P174*(1+Settings!$K$6),Settings!$K$10)))</f>
        <v/>
      </c>
      <c r="R174" s="95" t="str">
        <f t="shared" si="17"/>
        <v/>
      </c>
      <c r="S174" s="82"/>
      <c r="T174" s="94" t="str">
        <f>IF(OR(D174="",S174=""),"",IF(D174="Buy",MROUND(S174*(1-Settings!$K$6),Settings!$K$10),MROUND(S174*(1+Settings!$K$6),Settings!$K$10)))</f>
        <v/>
      </c>
      <c r="U174" s="67"/>
      <c r="V174" s="109" t="str">
        <f t="shared" si="18"/>
        <v/>
      </c>
      <c r="W174" s="110"/>
      <c r="X174" s="109" t="str">
        <f t="shared" si="19"/>
        <v/>
      </c>
      <c r="Y174" s="109" t="str">
        <f t="shared" si="20"/>
        <v/>
      </c>
      <c r="Z174" s="82"/>
    </row>
    <row r="175" ht="20" customHeight="1" spans="1:26">
      <c r="A175" s="64">
        <v>162</v>
      </c>
      <c r="B175" s="65"/>
      <c r="C175" s="66"/>
      <c r="D175" s="67"/>
      <c r="E175" s="82"/>
      <c r="F175" s="82"/>
      <c r="G175" s="82"/>
      <c r="H175" s="82"/>
      <c r="I175" s="93" t="str">
        <f t="shared" si="14"/>
        <v/>
      </c>
      <c r="J175" s="82"/>
      <c r="K175" s="94" t="str">
        <f>IF(OR(D175="",E175=""),"",IF(J175="",G175,IF(D175="Buy",MROUND(MAX(E175*(1-Settings!$K$8),J175*(1-Settings!$K$6)),Settings!$K$10),MROUND(MIN(E175*(1+Settings!$K$8),J175*(1+Settings!$K$6)),Settings!$K$10))))</f>
        <v/>
      </c>
      <c r="L175" s="95" t="str">
        <f t="shared" si="15"/>
        <v/>
      </c>
      <c r="M175" s="82"/>
      <c r="N175" s="94" t="str">
        <f>IF(OR(D175="",E175=""),"",IF(M175="",H175,IF(D175="Buy",MROUND(MAX(E175*(1-Settings!$K$8),M175*(1-Settings!$K$6)),Settings!$K$10),MROUND(MIN(E175*(1+Settings!$K$8),M175*(1+Settings!$K$6)),Settings!$K$10))))</f>
        <v/>
      </c>
      <c r="O175" s="95" t="str">
        <f t="shared" si="16"/>
        <v/>
      </c>
      <c r="P175" s="82"/>
      <c r="Q175" s="94" t="str">
        <f>IF(OR(D175="",P175=""),"",IF(D175="Buy",MROUND(P175*(1-Settings!$K$6),Settings!$K$10),MROUND(P175*(1+Settings!$K$6),Settings!$K$10)))</f>
        <v/>
      </c>
      <c r="R175" s="95" t="str">
        <f t="shared" si="17"/>
        <v/>
      </c>
      <c r="S175" s="82"/>
      <c r="T175" s="94" t="str">
        <f>IF(OR(D175="",S175=""),"",IF(D175="Buy",MROUND(S175*(1-Settings!$K$6),Settings!$K$10),MROUND(S175*(1+Settings!$K$6),Settings!$K$10)))</f>
        <v/>
      </c>
      <c r="U175" s="67"/>
      <c r="V175" s="109" t="str">
        <f t="shared" si="18"/>
        <v/>
      </c>
      <c r="W175" s="110"/>
      <c r="X175" s="109" t="str">
        <f t="shared" si="19"/>
        <v/>
      </c>
      <c r="Y175" s="109" t="str">
        <f t="shared" si="20"/>
        <v/>
      </c>
      <c r="Z175" s="82"/>
    </row>
    <row r="176" ht="20" customHeight="1" spans="1:26">
      <c r="A176" s="64">
        <v>163</v>
      </c>
      <c r="B176" s="65"/>
      <c r="C176" s="66"/>
      <c r="D176" s="67"/>
      <c r="E176" s="82"/>
      <c r="F176" s="82"/>
      <c r="G176" s="82"/>
      <c r="H176" s="82"/>
      <c r="I176" s="93" t="str">
        <f t="shared" si="14"/>
        <v/>
      </c>
      <c r="J176" s="82"/>
      <c r="K176" s="94" t="str">
        <f>IF(OR(D176="",E176=""),"",IF(J176="",G176,IF(D176="Buy",MROUND(MAX(E176*(1-Settings!$K$8),J176*(1-Settings!$K$6)),Settings!$K$10),MROUND(MIN(E176*(1+Settings!$K$8),J176*(1+Settings!$K$6)),Settings!$K$10))))</f>
        <v/>
      </c>
      <c r="L176" s="95" t="str">
        <f t="shared" si="15"/>
        <v/>
      </c>
      <c r="M176" s="82"/>
      <c r="N176" s="94" t="str">
        <f>IF(OR(D176="",E176=""),"",IF(M176="",H176,IF(D176="Buy",MROUND(MAX(E176*(1-Settings!$K$8),M176*(1-Settings!$K$6)),Settings!$K$10),MROUND(MIN(E176*(1+Settings!$K$8),M176*(1+Settings!$K$6)),Settings!$K$10))))</f>
        <v/>
      </c>
      <c r="O176" s="95" t="str">
        <f t="shared" si="16"/>
        <v/>
      </c>
      <c r="P176" s="82"/>
      <c r="Q176" s="94" t="str">
        <f>IF(OR(D176="",P176=""),"",IF(D176="Buy",MROUND(P176*(1-Settings!$K$6),Settings!$K$10),MROUND(P176*(1+Settings!$K$6),Settings!$K$10)))</f>
        <v/>
      </c>
      <c r="R176" s="95" t="str">
        <f t="shared" si="17"/>
        <v/>
      </c>
      <c r="S176" s="82"/>
      <c r="T176" s="94" t="str">
        <f>IF(OR(D176="",S176=""),"",IF(D176="Buy",MROUND(S176*(1-Settings!$K$6),Settings!$K$10),MROUND(S176*(1+Settings!$K$6),Settings!$K$10)))</f>
        <v/>
      </c>
      <c r="U176" s="67"/>
      <c r="V176" s="109" t="str">
        <f t="shared" si="18"/>
        <v/>
      </c>
      <c r="W176" s="110"/>
      <c r="X176" s="109" t="str">
        <f t="shared" si="19"/>
        <v/>
      </c>
      <c r="Y176" s="109" t="str">
        <f t="shared" si="20"/>
        <v/>
      </c>
      <c r="Z176" s="82"/>
    </row>
    <row r="177" ht="20" customHeight="1" spans="1:26">
      <c r="A177" s="64">
        <v>164</v>
      </c>
      <c r="B177" s="65"/>
      <c r="C177" s="66"/>
      <c r="D177" s="67"/>
      <c r="E177" s="82"/>
      <c r="F177" s="82"/>
      <c r="G177" s="82"/>
      <c r="H177" s="82"/>
      <c r="I177" s="93" t="str">
        <f t="shared" si="14"/>
        <v/>
      </c>
      <c r="J177" s="82"/>
      <c r="K177" s="94" t="str">
        <f>IF(OR(D177="",E177=""),"",IF(J177="",G177,IF(D177="Buy",MROUND(MAX(E177*(1-Settings!$K$8),J177*(1-Settings!$K$6)),Settings!$K$10),MROUND(MIN(E177*(1+Settings!$K$8),J177*(1+Settings!$K$6)),Settings!$K$10))))</f>
        <v/>
      </c>
      <c r="L177" s="95" t="str">
        <f t="shared" si="15"/>
        <v/>
      </c>
      <c r="M177" s="82"/>
      <c r="N177" s="94" t="str">
        <f>IF(OR(D177="",E177=""),"",IF(M177="",H177,IF(D177="Buy",MROUND(MAX(E177*(1-Settings!$K$8),M177*(1-Settings!$K$6)),Settings!$K$10),MROUND(MIN(E177*(1+Settings!$K$8),M177*(1+Settings!$K$6)),Settings!$K$10))))</f>
        <v/>
      </c>
      <c r="O177" s="95" t="str">
        <f t="shared" si="16"/>
        <v/>
      </c>
      <c r="P177" s="82"/>
      <c r="Q177" s="94" t="str">
        <f>IF(OR(D177="",P177=""),"",IF(D177="Buy",MROUND(P177*(1-Settings!$K$6),Settings!$K$10),MROUND(P177*(1+Settings!$K$6),Settings!$K$10)))</f>
        <v/>
      </c>
      <c r="R177" s="95" t="str">
        <f t="shared" si="17"/>
        <v/>
      </c>
      <c r="S177" s="82"/>
      <c r="T177" s="94" t="str">
        <f>IF(OR(D177="",S177=""),"",IF(D177="Buy",MROUND(S177*(1-Settings!$K$6),Settings!$K$10),MROUND(S177*(1+Settings!$K$6),Settings!$K$10)))</f>
        <v/>
      </c>
      <c r="U177" s="67"/>
      <c r="V177" s="109" t="str">
        <f t="shared" si="18"/>
        <v/>
      </c>
      <c r="W177" s="110"/>
      <c r="X177" s="109" t="str">
        <f t="shared" si="19"/>
        <v/>
      </c>
      <c r="Y177" s="109" t="str">
        <f t="shared" si="20"/>
        <v/>
      </c>
      <c r="Z177" s="82"/>
    </row>
    <row r="178" ht="20" customHeight="1" spans="1:26">
      <c r="A178" s="64">
        <v>165</v>
      </c>
      <c r="B178" s="65"/>
      <c r="C178" s="66"/>
      <c r="D178" s="67"/>
      <c r="E178" s="82"/>
      <c r="F178" s="82"/>
      <c r="G178" s="82"/>
      <c r="H178" s="82"/>
      <c r="I178" s="93" t="str">
        <f t="shared" si="14"/>
        <v/>
      </c>
      <c r="J178" s="82"/>
      <c r="K178" s="94" t="str">
        <f>IF(OR(D178="",E178=""),"",IF(J178="",G178,IF(D178="Buy",MROUND(MAX(E178*(1-Settings!$K$8),J178*(1-Settings!$K$6)),Settings!$K$10),MROUND(MIN(E178*(1+Settings!$K$8),J178*(1+Settings!$K$6)),Settings!$K$10))))</f>
        <v/>
      </c>
      <c r="L178" s="95" t="str">
        <f t="shared" si="15"/>
        <v/>
      </c>
      <c r="M178" s="82"/>
      <c r="N178" s="94" t="str">
        <f>IF(OR(D178="",E178=""),"",IF(M178="",H178,IF(D178="Buy",MROUND(MAX(E178*(1-Settings!$K$8),M178*(1-Settings!$K$6)),Settings!$K$10),MROUND(MIN(E178*(1+Settings!$K$8),M178*(1+Settings!$K$6)),Settings!$K$10))))</f>
        <v/>
      </c>
      <c r="O178" s="95" t="str">
        <f t="shared" si="16"/>
        <v/>
      </c>
      <c r="P178" s="82"/>
      <c r="Q178" s="94" t="str">
        <f>IF(OR(D178="",P178=""),"",IF(D178="Buy",MROUND(P178*(1-Settings!$K$6),Settings!$K$10),MROUND(P178*(1+Settings!$K$6),Settings!$K$10)))</f>
        <v/>
      </c>
      <c r="R178" s="95" t="str">
        <f t="shared" si="17"/>
        <v/>
      </c>
      <c r="S178" s="82"/>
      <c r="T178" s="94" t="str">
        <f>IF(OR(D178="",S178=""),"",IF(D178="Buy",MROUND(S178*(1-Settings!$K$6),Settings!$K$10),MROUND(S178*(1+Settings!$K$6),Settings!$K$10)))</f>
        <v/>
      </c>
      <c r="U178" s="67"/>
      <c r="V178" s="109" t="str">
        <f t="shared" si="18"/>
        <v/>
      </c>
      <c r="W178" s="110"/>
      <c r="X178" s="109" t="str">
        <f t="shared" si="19"/>
        <v/>
      </c>
      <c r="Y178" s="109" t="str">
        <f t="shared" si="20"/>
        <v/>
      </c>
      <c r="Z178" s="82"/>
    </row>
    <row r="179" ht="20" customHeight="1" spans="1:26">
      <c r="A179" s="64">
        <v>166</v>
      </c>
      <c r="B179" s="65"/>
      <c r="C179" s="66"/>
      <c r="D179" s="67"/>
      <c r="E179" s="82"/>
      <c r="F179" s="82"/>
      <c r="G179" s="82"/>
      <c r="H179" s="82"/>
      <c r="I179" s="93" t="str">
        <f t="shared" si="14"/>
        <v/>
      </c>
      <c r="J179" s="82"/>
      <c r="K179" s="94" t="str">
        <f>IF(OR(D179="",E179=""),"",IF(J179="",G179,IF(D179="Buy",MROUND(MAX(E179*(1-Settings!$K$8),J179*(1-Settings!$K$6)),Settings!$K$10),MROUND(MIN(E179*(1+Settings!$K$8),J179*(1+Settings!$K$6)),Settings!$K$10))))</f>
        <v/>
      </c>
      <c r="L179" s="95" t="str">
        <f t="shared" si="15"/>
        <v/>
      </c>
      <c r="M179" s="82"/>
      <c r="N179" s="94" t="str">
        <f>IF(OR(D179="",E179=""),"",IF(M179="",H179,IF(D179="Buy",MROUND(MAX(E179*(1-Settings!$K$8),M179*(1-Settings!$K$6)),Settings!$K$10),MROUND(MIN(E179*(1+Settings!$K$8),M179*(1+Settings!$K$6)),Settings!$K$10))))</f>
        <v/>
      </c>
      <c r="O179" s="95" t="str">
        <f t="shared" si="16"/>
        <v/>
      </c>
      <c r="P179" s="82"/>
      <c r="Q179" s="94" t="str">
        <f>IF(OR(D179="",P179=""),"",IF(D179="Buy",MROUND(P179*(1-Settings!$K$6),Settings!$K$10),MROUND(P179*(1+Settings!$K$6),Settings!$K$10)))</f>
        <v/>
      </c>
      <c r="R179" s="95" t="str">
        <f t="shared" si="17"/>
        <v/>
      </c>
      <c r="S179" s="82"/>
      <c r="T179" s="94" t="str">
        <f>IF(OR(D179="",S179=""),"",IF(D179="Buy",MROUND(S179*(1-Settings!$K$6),Settings!$K$10),MROUND(S179*(1+Settings!$K$6),Settings!$K$10)))</f>
        <v/>
      </c>
      <c r="U179" s="67"/>
      <c r="V179" s="109" t="str">
        <f t="shared" si="18"/>
        <v/>
      </c>
      <c r="W179" s="110"/>
      <c r="X179" s="109" t="str">
        <f t="shared" si="19"/>
        <v/>
      </c>
      <c r="Y179" s="109" t="str">
        <f t="shared" si="20"/>
        <v/>
      </c>
      <c r="Z179" s="82"/>
    </row>
    <row r="180" ht="20" customHeight="1" spans="1:26">
      <c r="A180" s="64">
        <v>167</v>
      </c>
      <c r="B180" s="65"/>
      <c r="C180" s="66"/>
      <c r="D180" s="67"/>
      <c r="E180" s="82"/>
      <c r="F180" s="82"/>
      <c r="G180" s="82"/>
      <c r="H180" s="82"/>
      <c r="I180" s="93" t="str">
        <f t="shared" si="14"/>
        <v/>
      </c>
      <c r="J180" s="82"/>
      <c r="K180" s="94" t="str">
        <f>IF(OR(D180="",E180=""),"",IF(J180="",G180,IF(D180="Buy",MROUND(MAX(E180*(1-Settings!$K$8),J180*(1-Settings!$K$6)),Settings!$K$10),MROUND(MIN(E180*(1+Settings!$K$8),J180*(1+Settings!$K$6)),Settings!$K$10))))</f>
        <v/>
      </c>
      <c r="L180" s="95" t="str">
        <f t="shared" si="15"/>
        <v/>
      </c>
      <c r="M180" s="82"/>
      <c r="N180" s="94" t="str">
        <f>IF(OR(D180="",E180=""),"",IF(M180="",H180,IF(D180="Buy",MROUND(MAX(E180*(1-Settings!$K$8),M180*(1-Settings!$K$6)),Settings!$K$10),MROUND(MIN(E180*(1+Settings!$K$8),M180*(1+Settings!$K$6)),Settings!$K$10))))</f>
        <v/>
      </c>
      <c r="O180" s="95" t="str">
        <f t="shared" si="16"/>
        <v/>
      </c>
      <c r="P180" s="82"/>
      <c r="Q180" s="94" t="str">
        <f>IF(OR(D180="",P180=""),"",IF(D180="Buy",MROUND(P180*(1-Settings!$K$6),Settings!$K$10),MROUND(P180*(1+Settings!$K$6),Settings!$K$10)))</f>
        <v/>
      </c>
      <c r="R180" s="95" t="str">
        <f t="shared" si="17"/>
        <v/>
      </c>
      <c r="S180" s="82"/>
      <c r="T180" s="94" t="str">
        <f>IF(OR(D180="",S180=""),"",IF(D180="Buy",MROUND(S180*(1-Settings!$K$6),Settings!$K$10),MROUND(S180*(1+Settings!$K$6),Settings!$K$10)))</f>
        <v/>
      </c>
      <c r="U180" s="67"/>
      <c r="V180" s="109" t="str">
        <f t="shared" si="18"/>
        <v/>
      </c>
      <c r="W180" s="110"/>
      <c r="X180" s="109" t="str">
        <f t="shared" si="19"/>
        <v/>
      </c>
      <c r="Y180" s="109" t="str">
        <f t="shared" si="20"/>
        <v/>
      </c>
      <c r="Z180" s="82"/>
    </row>
    <row r="181" ht="20" customHeight="1" spans="1:26">
      <c r="A181" s="64">
        <v>168</v>
      </c>
      <c r="B181" s="65"/>
      <c r="C181" s="66"/>
      <c r="D181" s="67"/>
      <c r="E181" s="82"/>
      <c r="F181" s="82"/>
      <c r="G181" s="82"/>
      <c r="H181" s="82"/>
      <c r="I181" s="93" t="str">
        <f t="shared" si="14"/>
        <v/>
      </c>
      <c r="J181" s="82"/>
      <c r="K181" s="94" t="str">
        <f>IF(OR(D181="",E181=""),"",IF(J181="",G181,IF(D181="Buy",MROUND(MAX(E181*(1-Settings!$K$8),J181*(1-Settings!$K$6)),Settings!$K$10),MROUND(MIN(E181*(1+Settings!$K$8),J181*(1+Settings!$K$6)),Settings!$K$10))))</f>
        <v/>
      </c>
      <c r="L181" s="95" t="str">
        <f t="shared" si="15"/>
        <v/>
      </c>
      <c r="M181" s="82"/>
      <c r="N181" s="94" t="str">
        <f>IF(OR(D181="",E181=""),"",IF(M181="",H181,IF(D181="Buy",MROUND(MAX(E181*(1-Settings!$K$8),M181*(1-Settings!$K$6)),Settings!$K$10),MROUND(MIN(E181*(1+Settings!$K$8),M181*(1+Settings!$K$6)),Settings!$K$10))))</f>
        <v/>
      </c>
      <c r="O181" s="95" t="str">
        <f t="shared" si="16"/>
        <v/>
      </c>
      <c r="P181" s="82"/>
      <c r="Q181" s="94" t="str">
        <f>IF(OR(D181="",P181=""),"",IF(D181="Buy",MROUND(P181*(1-Settings!$K$6),Settings!$K$10),MROUND(P181*(1+Settings!$K$6),Settings!$K$10)))</f>
        <v/>
      </c>
      <c r="R181" s="95" t="str">
        <f t="shared" si="17"/>
        <v/>
      </c>
      <c r="S181" s="82"/>
      <c r="T181" s="94" t="str">
        <f>IF(OR(D181="",S181=""),"",IF(D181="Buy",MROUND(S181*(1-Settings!$K$6),Settings!$K$10),MROUND(S181*(1+Settings!$K$6),Settings!$K$10)))</f>
        <v/>
      </c>
      <c r="U181" s="67"/>
      <c r="V181" s="109" t="str">
        <f t="shared" si="18"/>
        <v/>
      </c>
      <c r="W181" s="110"/>
      <c r="X181" s="109" t="str">
        <f t="shared" si="19"/>
        <v/>
      </c>
      <c r="Y181" s="109" t="str">
        <f t="shared" si="20"/>
        <v/>
      </c>
      <c r="Z181" s="82"/>
    </row>
    <row r="182" ht="20" customHeight="1" spans="1:26">
      <c r="A182" s="64">
        <v>169</v>
      </c>
      <c r="B182" s="65"/>
      <c r="C182" s="66"/>
      <c r="D182" s="67"/>
      <c r="E182" s="82"/>
      <c r="F182" s="82"/>
      <c r="G182" s="82"/>
      <c r="H182" s="82"/>
      <c r="I182" s="93" t="str">
        <f t="shared" si="14"/>
        <v/>
      </c>
      <c r="J182" s="82"/>
      <c r="K182" s="94" t="str">
        <f>IF(OR(D182="",E182=""),"",IF(J182="",G182,IF(D182="Buy",MROUND(MAX(E182*(1-Settings!$K$8),J182*(1-Settings!$K$6)),Settings!$K$10),MROUND(MIN(E182*(1+Settings!$K$8),J182*(1+Settings!$K$6)),Settings!$K$10))))</f>
        <v/>
      </c>
      <c r="L182" s="95" t="str">
        <f t="shared" si="15"/>
        <v/>
      </c>
      <c r="M182" s="82"/>
      <c r="N182" s="94" t="str">
        <f>IF(OR(D182="",E182=""),"",IF(M182="",H182,IF(D182="Buy",MROUND(MAX(E182*(1-Settings!$K$8),M182*(1-Settings!$K$6)),Settings!$K$10),MROUND(MIN(E182*(1+Settings!$K$8),M182*(1+Settings!$K$6)),Settings!$K$10))))</f>
        <v/>
      </c>
      <c r="O182" s="95" t="str">
        <f t="shared" si="16"/>
        <v/>
      </c>
      <c r="P182" s="82"/>
      <c r="Q182" s="94" t="str">
        <f>IF(OR(D182="",P182=""),"",IF(D182="Buy",MROUND(P182*(1-Settings!$K$6),Settings!$K$10),MROUND(P182*(1+Settings!$K$6),Settings!$K$10)))</f>
        <v/>
      </c>
      <c r="R182" s="95" t="str">
        <f t="shared" si="17"/>
        <v/>
      </c>
      <c r="S182" s="82"/>
      <c r="T182" s="94" t="str">
        <f>IF(OR(D182="",S182=""),"",IF(D182="Buy",MROUND(S182*(1-Settings!$K$6),Settings!$K$10),MROUND(S182*(1+Settings!$K$6),Settings!$K$10)))</f>
        <v/>
      </c>
      <c r="U182" s="67"/>
      <c r="V182" s="109" t="str">
        <f t="shared" si="18"/>
        <v/>
      </c>
      <c r="W182" s="110"/>
      <c r="X182" s="109" t="str">
        <f t="shared" si="19"/>
        <v/>
      </c>
      <c r="Y182" s="109" t="str">
        <f t="shared" si="20"/>
        <v/>
      </c>
      <c r="Z182" s="82"/>
    </row>
    <row r="183" ht="20" customHeight="1" spans="1:26">
      <c r="A183" s="64">
        <v>170</v>
      </c>
      <c r="B183" s="65"/>
      <c r="C183" s="66"/>
      <c r="D183" s="67"/>
      <c r="E183" s="82"/>
      <c r="F183" s="82"/>
      <c r="G183" s="82"/>
      <c r="H183" s="82"/>
      <c r="I183" s="93" t="str">
        <f t="shared" si="14"/>
        <v/>
      </c>
      <c r="J183" s="82"/>
      <c r="K183" s="94" t="str">
        <f>IF(OR(D183="",E183=""),"",IF(J183="",G183,IF(D183="Buy",MROUND(MAX(E183*(1-Settings!$K$8),J183*(1-Settings!$K$6)),Settings!$K$10),MROUND(MIN(E183*(1+Settings!$K$8),J183*(1+Settings!$K$6)),Settings!$K$10))))</f>
        <v/>
      </c>
      <c r="L183" s="95" t="str">
        <f t="shared" si="15"/>
        <v/>
      </c>
      <c r="M183" s="82"/>
      <c r="N183" s="94" t="str">
        <f>IF(OR(D183="",E183=""),"",IF(M183="",H183,IF(D183="Buy",MROUND(MAX(E183*(1-Settings!$K$8),M183*(1-Settings!$K$6)),Settings!$K$10),MROUND(MIN(E183*(1+Settings!$K$8),M183*(1+Settings!$K$6)),Settings!$K$10))))</f>
        <v/>
      </c>
      <c r="O183" s="95" t="str">
        <f t="shared" si="16"/>
        <v/>
      </c>
      <c r="P183" s="82"/>
      <c r="Q183" s="94" t="str">
        <f>IF(OR(D183="",P183=""),"",IF(D183="Buy",MROUND(P183*(1-Settings!$K$6),Settings!$K$10),MROUND(P183*(1+Settings!$K$6),Settings!$K$10)))</f>
        <v/>
      </c>
      <c r="R183" s="95" t="str">
        <f t="shared" si="17"/>
        <v/>
      </c>
      <c r="S183" s="82"/>
      <c r="T183" s="94" t="str">
        <f>IF(OR(D183="",S183=""),"",IF(D183="Buy",MROUND(S183*(1-Settings!$K$6),Settings!$K$10),MROUND(S183*(1+Settings!$K$6),Settings!$K$10)))</f>
        <v/>
      </c>
      <c r="U183" s="67"/>
      <c r="V183" s="109" t="str">
        <f t="shared" si="18"/>
        <v/>
      </c>
      <c r="W183" s="110"/>
      <c r="X183" s="109" t="str">
        <f t="shared" si="19"/>
        <v/>
      </c>
      <c r="Y183" s="109" t="str">
        <f t="shared" si="20"/>
        <v/>
      </c>
      <c r="Z183" s="82"/>
    </row>
    <row r="184" ht="20" customHeight="1" spans="1:26">
      <c r="A184" s="64">
        <v>171</v>
      </c>
      <c r="B184" s="65"/>
      <c r="C184" s="66"/>
      <c r="D184" s="67"/>
      <c r="E184" s="82"/>
      <c r="F184" s="82"/>
      <c r="G184" s="82"/>
      <c r="H184" s="82"/>
      <c r="I184" s="93" t="str">
        <f t="shared" si="14"/>
        <v/>
      </c>
      <c r="J184" s="82"/>
      <c r="K184" s="94" t="str">
        <f>IF(OR(D184="",E184=""),"",IF(J184="",G184,IF(D184="Buy",MROUND(MAX(E184*(1-Settings!$K$8),J184*(1-Settings!$K$6)),Settings!$K$10),MROUND(MIN(E184*(1+Settings!$K$8),J184*(1+Settings!$K$6)),Settings!$K$10))))</f>
        <v/>
      </c>
      <c r="L184" s="95" t="str">
        <f t="shared" si="15"/>
        <v/>
      </c>
      <c r="M184" s="82"/>
      <c r="N184" s="94" t="str">
        <f>IF(OR(D184="",E184=""),"",IF(M184="",H184,IF(D184="Buy",MROUND(MAX(E184*(1-Settings!$K$8),M184*(1-Settings!$K$6)),Settings!$K$10),MROUND(MIN(E184*(1+Settings!$K$8),M184*(1+Settings!$K$6)),Settings!$K$10))))</f>
        <v/>
      </c>
      <c r="O184" s="95" t="str">
        <f t="shared" si="16"/>
        <v/>
      </c>
      <c r="P184" s="82"/>
      <c r="Q184" s="94" t="str">
        <f>IF(OR(D184="",P184=""),"",IF(D184="Buy",MROUND(P184*(1-Settings!$K$6),Settings!$K$10),MROUND(P184*(1+Settings!$K$6),Settings!$K$10)))</f>
        <v/>
      </c>
      <c r="R184" s="95" t="str">
        <f t="shared" si="17"/>
        <v/>
      </c>
      <c r="S184" s="82"/>
      <c r="T184" s="94" t="str">
        <f>IF(OR(D184="",S184=""),"",IF(D184="Buy",MROUND(S184*(1-Settings!$K$6),Settings!$K$10),MROUND(S184*(1+Settings!$K$6),Settings!$K$10)))</f>
        <v/>
      </c>
      <c r="U184" s="67"/>
      <c r="V184" s="109" t="str">
        <f t="shared" si="18"/>
        <v/>
      </c>
      <c r="W184" s="110"/>
      <c r="X184" s="109" t="str">
        <f t="shared" si="19"/>
        <v/>
      </c>
      <c r="Y184" s="109" t="str">
        <f t="shared" si="20"/>
        <v/>
      </c>
      <c r="Z184" s="82"/>
    </row>
    <row r="185" ht="20" customHeight="1" spans="1:26">
      <c r="A185" s="64">
        <v>172</v>
      </c>
      <c r="B185" s="65"/>
      <c r="C185" s="66"/>
      <c r="D185" s="67"/>
      <c r="E185" s="82"/>
      <c r="F185" s="82"/>
      <c r="G185" s="82"/>
      <c r="H185" s="82"/>
      <c r="I185" s="93" t="str">
        <f t="shared" si="14"/>
        <v/>
      </c>
      <c r="J185" s="82"/>
      <c r="K185" s="94" t="str">
        <f>IF(OR(D185="",E185=""),"",IF(J185="",G185,IF(D185="Buy",MROUND(MAX(E185*(1-Settings!$K$8),J185*(1-Settings!$K$6)),Settings!$K$10),MROUND(MIN(E185*(1+Settings!$K$8),J185*(1+Settings!$K$6)),Settings!$K$10))))</f>
        <v/>
      </c>
      <c r="L185" s="95" t="str">
        <f t="shared" si="15"/>
        <v/>
      </c>
      <c r="M185" s="82"/>
      <c r="N185" s="94" t="str">
        <f>IF(OR(D185="",E185=""),"",IF(M185="",H185,IF(D185="Buy",MROUND(MAX(E185*(1-Settings!$K$8),M185*(1-Settings!$K$6)),Settings!$K$10),MROUND(MIN(E185*(1+Settings!$K$8),M185*(1+Settings!$K$6)),Settings!$K$10))))</f>
        <v/>
      </c>
      <c r="O185" s="95" t="str">
        <f t="shared" si="16"/>
        <v/>
      </c>
      <c r="P185" s="82"/>
      <c r="Q185" s="94" t="str">
        <f>IF(OR(D185="",P185=""),"",IF(D185="Buy",MROUND(P185*(1-Settings!$K$6),Settings!$K$10),MROUND(P185*(1+Settings!$K$6),Settings!$K$10)))</f>
        <v/>
      </c>
      <c r="R185" s="95" t="str">
        <f t="shared" si="17"/>
        <v/>
      </c>
      <c r="S185" s="82"/>
      <c r="T185" s="94" t="str">
        <f>IF(OR(D185="",S185=""),"",IF(D185="Buy",MROUND(S185*(1-Settings!$K$6),Settings!$K$10),MROUND(S185*(1+Settings!$K$6),Settings!$K$10)))</f>
        <v/>
      </c>
      <c r="U185" s="67"/>
      <c r="V185" s="109" t="str">
        <f t="shared" si="18"/>
        <v/>
      </c>
      <c r="W185" s="110"/>
      <c r="X185" s="109" t="str">
        <f t="shared" si="19"/>
        <v/>
      </c>
      <c r="Y185" s="109" t="str">
        <f t="shared" si="20"/>
        <v/>
      </c>
      <c r="Z185" s="82"/>
    </row>
    <row r="186" ht="20" customHeight="1" spans="1:26">
      <c r="A186" s="64">
        <v>173</v>
      </c>
      <c r="B186" s="65"/>
      <c r="C186" s="66"/>
      <c r="D186" s="67"/>
      <c r="E186" s="82"/>
      <c r="F186" s="82"/>
      <c r="G186" s="82"/>
      <c r="H186" s="82"/>
      <c r="I186" s="93" t="str">
        <f t="shared" si="14"/>
        <v/>
      </c>
      <c r="J186" s="82"/>
      <c r="K186" s="94" t="str">
        <f>IF(OR(D186="",E186=""),"",IF(J186="",G186,IF(D186="Buy",MROUND(MAX(E186*(1-Settings!$K$8),J186*(1-Settings!$K$6)),Settings!$K$10),MROUND(MIN(E186*(1+Settings!$K$8),J186*(1+Settings!$K$6)),Settings!$K$10))))</f>
        <v/>
      </c>
      <c r="L186" s="95" t="str">
        <f t="shared" si="15"/>
        <v/>
      </c>
      <c r="M186" s="82"/>
      <c r="N186" s="94" t="str">
        <f>IF(OR(D186="",E186=""),"",IF(M186="",H186,IF(D186="Buy",MROUND(MAX(E186*(1-Settings!$K$8),M186*(1-Settings!$K$6)),Settings!$K$10),MROUND(MIN(E186*(1+Settings!$K$8),M186*(1+Settings!$K$6)),Settings!$K$10))))</f>
        <v/>
      </c>
      <c r="O186" s="95" t="str">
        <f t="shared" si="16"/>
        <v/>
      </c>
      <c r="P186" s="82"/>
      <c r="Q186" s="94" t="str">
        <f>IF(OR(D186="",P186=""),"",IF(D186="Buy",MROUND(P186*(1-Settings!$K$6),Settings!$K$10),MROUND(P186*(1+Settings!$K$6),Settings!$K$10)))</f>
        <v/>
      </c>
      <c r="R186" s="95" t="str">
        <f t="shared" si="17"/>
        <v/>
      </c>
      <c r="S186" s="82"/>
      <c r="T186" s="94" t="str">
        <f>IF(OR(D186="",S186=""),"",IF(D186="Buy",MROUND(S186*(1-Settings!$K$6),Settings!$K$10),MROUND(S186*(1+Settings!$K$6),Settings!$K$10)))</f>
        <v/>
      </c>
      <c r="U186" s="67"/>
      <c r="V186" s="109" t="str">
        <f t="shared" si="18"/>
        <v/>
      </c>
      <c r="W186" s="110"/>
      <c r="X186" s="109" t="str">
        <f t="shared" si="19"/>
        <v/>
      </c>
      <c r="Y186" s="109" t="str">
        <f t="shared" si="20"/>
        <v/>
      </c>
      <c r="Z186" s="82"/>
    </row>
    <row r="187" ht="20" customHeight="1" spans="1:26">
      <c r="A187" s="64">
        <v>174</v>
      </c>
      <c r="B187" s="65"/>
      <c r="C187" s="66"/>
      <c r="D187" s="67"/>
      <c r="E187" s="82"/>
      <c r="F187" s="82"/>
      <c r="G187" s="82"/>
      <c r="H187" s="82"/>
      <c r="I187" s="93" t="str">
        <f t="shared" si="14"/>
        <v/>
      </c>
      <c r="J187" s="82"/>
      <c r="K187" s="94" t="str">
        <f>IF(OR(D187="",E187=""),"",IF(J187="",G187,IF(D187="Buy",MROUND(MAX(E187*(1-Settings!$K$8),J187*(1-Settings!$K$6)),Settings!$K$10),MROUND(MIN(E187*(1+Settings!$K$8),J187*(1+Settings!$K$6)),Settings!$K$10))))</f>
        <v/>
      </c>
      <c r="L187" s="95" t="str">
        <f t="shared" si="15"/>
        <v/>
      </c>
      <c r="M187" s="82"/>
      <c r="N187" s="94" t="str">
        <f>IF(OR(D187="",E187=""),"",IF(M187="",H187,IF(D187="Buy",MROUND(MAX(E187*(1-Settings!$K$8),M187*(1-Settings!$K$6)),Settings!$K$10),MROUND(MIN(E187*(1+Settings!$K$8),M187*(1+Settings!$K$6)),Settings!$K$10))))</f>
        <v/>
      </c>
      <c r="O187" s="95" t="str">
        <f t="shared" si="16"/>
        <v/>
      </c>
      <c r="P187" s="82"/>
      <c r="Q187" s="94" t="str">
        <f>IF(OR(D187="",P187=""),"",IF(D187="Buy",MROUND(P187*(1-Settings!$K$6),Settings!$K$10),MROUND(P187*(1+Settings!$K$6),Settings!$K$10)))</f>
        <v/>
      </c>
      <c r="R187" s="95" t="str">
        <f t="shared" si="17"/>
        <v/>
      </c>
      <c r="S187" s="82"/>
      <c r="T187" s="94" t="str">
        <f>IF(OR(D187="",S187=""),"",IF(D187="Buy",MROUND(S187*(1-Settings!$K$6),Settings!$K$10),MROUND(S187*(1+Settings!$K$6),Settings!$K$10)))</f>
        <v/>
      </c>
      <c r="U187" s="67"/>
      <c r="V187" s="109" t="str">
        <f t="shared" si="18"/>
        <v/>
      </c>
      <c r="W187" s="110"/>
      <c r="X187" s="109" t="str">
        <f t="shared" si="19"/>
        <v/>
      </c>
      <c r="Y187" s="109" t="str">
        <f t="shared" si="20"/>
        <v/>
      </c>
      <c r="Z187" s="82"/>
    </row>
    <row r="188" ht="20" customHeight="1" spans="1:26">
      <c r="A188" s="64">
        <v>175</v>
      </c>
      <c r="B188" s="65"/>
      <c r="C188" s="66"/>
      <c r="D188" s="67"/>
      <c r="E188" s="82"/>
      <c r="F188" s="82"/>
      <c r="G188" s="82"/>
      <c r="H188" s="82"/>
      <c r="I188" s="93" t="str">
        <f t="shared" si="14"/>
        <v/>
      </c>
      <c r="J188" s="82"/>
      <c r="K188" s="94" t="str">
        <f>IF(OR(D188="",E188=""),"",IF(J188="",G188,IF(D188="Buy",MROUND(MAX(E188*(1-Settings!$K$8),J188*(1-Settings!$K$6)),Settings!$K$10),MROUND(MIN(E188*(1+Settings!$K$8),J188*(1+Settings!$K$6)),Settings!$K$10))))</f>
        <v/>
      </c>
      <c r="L188" s="95" t="str">
        <f t="shared" si="15"/>
        <v/>
      </c>
      <c r="M188" s="82"/>
      <c r="N188" s="94" t="str">
        <f>IF(OR(D188="",E188=""),"",IF(M188="",H188,IF(D188="Buy",MROUND(MAX(E188*(1-Settings!$K$8),M188*(1-Settings!$K$6)),Settings!$K$10),MROUND(MIN(E188*(1+Settings!$K$8),M188*(1+Settings!$K$6)),Settings!$K$10))))</f>
        <v/>
      </c>
      <c r="O188" s="95" t="str">
        <f t="shared" si="16"/>
        <v/>
      </c>
      <c r="P188" s="82"/>
      <c r="Q188" s="94" t="str">
        <f>IF(OR(D188="",P188=""),"",IF(D188="Buy",MROUND(P188*(1-Settings!$K$6),Settings!$K$10),MROUND(P188*(1+Settings!$K$6),Settings!$K$10)))</f>
        <v/>
      </c>
      <c r="R188" s="95" t="str">
        <f t="shared" si="17"/>
        <v/>
      </c>
      <c r="S188" s="82"/>
      <c r="T188" s="94" t="str">
        <f>IF(OR(D188="",S188=""),"",IF(D188="Buy",MROUND(S188*(1-Settings!$K$6),Settings!$K$10),MROUND(S188*(1+Settings!$K$6),Settings!$K$10)))</f>
        <v/>
      </c>
      <c r="U188" s="67"/>
      <c r="V188" s="109" t="str">
        <f t="shared" si="18"/>
        <v/>
      </c>
      <c r="W188" s="110"/>
      <c r="X188" s="109" t="str">
        <f t="shared" si="19"/>
        <v/>
      </c>
      <c r="Y188" s="109" t="str">
        <f t="shared" si="20"/>
        <v/>
      </c>
      <c r="Z188" s="82"/>
    </row>
    <row r="189" ht="20" customHeight="1" spans="1:26">
      <c r="A189" s="64">
        <v>176</v>
      </c>
      <c r="B189" s="65"/>
      <c r="C189" s="66"/>
      <c r="D189" s="67"/>
      <c r="E189" s="82"/>
      <c r="F189" s="82"/>
      <c r="G189" s="82"/>
      <c r="H189" s="82"/>
      <c r="I189" s="93" t="str">
        <f t="shared" si="14"/>
        <v/>
      </c>
      <c r="J189" s="82"/>
      <c r="K189" s="94" t="str">
        <f>IF(OR(D189="",E189=""),"",IF(J189="",G189,IF(D189="Buy",MROUND(MAX(E189*(1-Settings!$K$8),J189*(1-Settings!$K$6)),Settings!$K$10),MROUND(MIN(E189*(1+Settings!$K$8),J189*(1+Settings!$K$6)),Settings!$K$10))))</f>
        <v/>
      </c>
      <c r="L189" s="95" t="str">
        <f t="shared" si="15"/>
        <v/>
      </c>
      <c r="M189" s="82"/>
      <c r="N189" s="94" t="str">
        <f>IF(OR(D189="",E189=""),"",IF(M189="",H189,IF(D189="Buy",MROUND(MAX(E189*(1-Settings!$K$8),M189*(1-Settings!$K$6)),Settings!$K$10),MROUND(MIN(E189*(1+Settings!$K$8),M189*(1+Settings!$K$6)),Settings!$K$10))))</f>
        <v/>
      </c>
      <c r="O189" s="95" t="str">
        <f t="shared" si="16"/>
        <v/>
      </c>
      <c r="P189" s="82"/>
      <c r="Q189" s="94" t="str">
        <f>IF(OR(D189="",P189=""),"",IF(D189="Buy",MROUND(P189*(1-Settings!$K$6),Settings!$K$10),MROUND(P189*(1+Settings!$K$6),Settings!$K$10)))</f>
        <v/>
      </c>
      <c r="R189" s="95" t="str">
        <f t="shared" si="17"/>
        <v/>
      </c>
      <c r="S189" s="82"/>
      <c r="T189" s="94" t="str">
        <f>IF(OR(D189="",S189=""),"",IF(D189="Buy",MROUND(S189*(1-Settings!$K$6),Settings!$K$10),MROUND(S189*(1+Settings!$K$6),Settings!$K$10)))</f>
        <v/>
      </c>
      <c r="U189" s="67"/>
      <c r="V189" s="109" t="str">
        <f t="shared" si="18"/>
        <v/>
      </c>
      <c r="W189" s="110"/>
      <c r="X189" s="109" t="str">
        <f t="shared" si="19"/>
        <v/>
      </c>
      <c r="Y189" s="109" t="str">
        <f t="shared" si="20"/>
        <v/>
      </c>
      <c r="Z189" s="82"/>
    </row>
    <row r="190" ht="20" customHeight="1" spans="1:26">
      <c r="A190" s="64">
        <v>177</v>
      </c>
      <c r="B190" s="65"/>
      <c r="C190" s="66"/>
      <c r="D190" s="67"/>
      <c r="E190" s="82"/>
      <c r="F190" s="82"/>
      <c r="G190" s="82"/>
      <c r="H190" s="82"/>
      <c r="I190" s="93" t="str">
        <f t="shared" si="14"/>
        <v/>
      </c>
      <c r="J190" s="82"/>
      <c r="K190" s="94" t="str">
        <f>IF(OR(D190="",E190=""),"",IF(J190="",G190,IF(D190="Buy",MROUND(MAX(E190*(1-Settings!$K$8),J190*(1-Settings!$K$6)),Settings!$K$10),MROUND(MIN(E190*(1+Settings!$K$8),J190*(1+Settings!$K$6)),Settings!$K$10))))</f>
        <v/>
      </c>
      <c r="L190" s="95" t="str">
        <f t="shared" si="15"/>
        <v/>
      </c>
      <c r="M190" s="82"/>
      <c r="N190" s="94" t="str">
        <f>IF(OR(D190="",E190=""),"",IF(M190="",H190,IF(D190="Buy",MROUND(MAX(E190*(1-Settings!$K$8),M190*(1-Settings!$K$6)),Settings!$K$10),MROUND(MIN(E190*(1+Settings!$K$8),M190*(1+Settings!$K$6)),Settings!$K$10))))</f>
        <v/>
      </c>
      <c r="O190" s="95" t="str">
        <f t="shared" si="16"/>
        <v/>
      </c>
      <c r="P190" s="82"/>
      <c r="Q190" s="94" t="str">
        <f>IF(OR(D190="",P190=""),"",IF(D190="Buy",MROUND(P190*(1-Settings!$K$6),Settings!$K$10),MROUND(P190*(1+Settings!$K$6),Settings!$K$10)))</f>
        <v/>
      </c>
      <c r="R190" s="95" t="str">
        <f t="shared" si="17"/>
        <v/>
      </c>
      <c r="S190" s="82"/>
      <c r="T190" s="94" t="str">
        <f>IF(OR(D190="",S190=""),"",IF(D190="Buy",MROUND(S190*(1-Settings!$K$6),Settings!$K$10),MROUND(S190*(1+Settings!$K$6),Settings!$K$10)))</f>
        <v/>
      </c>
      <c r="U190" s="67"/>
      <c r="V190" s="109" t="str">
        <f t="shared" si="18"/>
        <v/>
      </c>
      <c r="W190" s="110"/>
      <c r="X190" s="109" t="str">
        <f t="shared" si="19"/>
        <v/>
      </c>
      <c r="Y190" s="109" t="str">
        <f t="shared" si="20"/>
        <v/>
      </c>
      <c r="Z190" s="82"/>
    </row>
    <row r="191" ht="20" customHeight="1" spans="1:26">
      <c r="A191" s="64">
        <v>178</v>
      </c>
      <c r="B191" s="65"/>
      <c r="C191" s="66"/>
      <c r="D191" s="67"/>
      <c r="E191" s="82"/>
      <c r="F191" s="82"/>
      <c r="G191" s="82"/>
      <c r="H191" s="82"/>
      <c r="I191" s="93" t="str">
        <f t="shared" si="14"/>
        <v/>
      </c>
      <c r="J191" s="82"/>
      <c r="K191" s="94" t="str">
        <f>IF(OR(D191="",E191=""),"",IF(J191="",G191,IF(D191="Buy",MROUND(MAX(E191*(1-Settings!$K$8),J191*(1-Settings!$K$6)),Settings!$K$10),MROUND(MIN(E191*(1+Settings!$K$8),J191*(1+Settings!$K$6)),Settings!$K$10))))</f>
        <v/>
      </c>
      <c r="L191" s="95" t="str">
        <f t="shared" si="15"/>
        <v/>
      </c>
      <c r="M191" s="82"/>
      <c r="N191" s="94" t="str">
        <f>IF(OR(D191="",E191=""),"",IF(M191="",H191,IF(D191="Buy",MROUND(MAX(E191*(1-Settings!$K$8),M191*(1-Settings!$K$6)),Settings!$K$10),MROUND(MIN(E191*(1+Settings!$K$8),M191*(1+Settings!$K$6)),Settings!$K$10))))</f>
        <v/>
      </c>
      <c r="O191" s="95" t="str">
        <f t="shared" si="16"/>
        <v/>
      </c>
      <c r="P191" s="82"/>
      <c r="Q191" s="94" t="str">
        <f>IF(OR(D191="",P191=""),"",IF(D191="Buy",MROUND(P191*(1-Settings!$K$6),Settings!$K$10),MROUND(P191*(1+Settings!$K$6),Settings!$K$10)))</f>
        <v/>
      </c>
      <c r="R191" s="95" t="str">
        <f t="shared" si="17"/>
        <v/>
      </c>
      <c r="S191" s="82"/>
      <c r="T191" s="94" t="str">
        <f>IF(OR(D191="",S191=""),"",IF(D191="Buy",MROUND(S191*(1-Settings!$K$6),Settings!$K$10),MROUND(S191*(1+Settings!$K$6),Settings!$K$10)))</f>
        <v/>
      </c>
      <c r="U191" s="67"/>
      <c r="V191" s="109" t="str">
        <f t="shared" si="18"/>
        <v/>
      </c>
      <c r="W191" s="110"/>
      <c r="X191" s="109" t="str">
        <f t="shared" si="19"/>
        <v/>
      </c>
      <c r="Y191" s="109" t="str">
        <f t="shared" si="20"/>
        <v/>
      </c>
      <c r="Z191" s="82"/>
    </row>
    <row r="192" ht="20" customHeight="1" spans="1:26">
      <c r="A192" s="64">
        <v>179</v>
      </c>
      <c r="B192" s="65"/>
      <c r="C192" s="66"/>
      <c r="D192" s="67"/>
      <c r="E192" s="82"/>
      <c r="F192" s="82"/>
      <c r="G192" s="82"/>
      <c r="H192" s="82"/>
      <c r="I192" s="93" t="str">
        <f t="shared" si="14"/>
        <v/>
      </c>
      <c r="J192" s="82"/>
      <c r="K192" s="94" t="str">
        <f>IF(OR(D192="",E192=""),"",IF(J192="",G192,IF(D192="Buy",MROUND(MAX(E192*(1-Settings!$K$8),J192*(1-Settings!$K$6)),Settings!$K$10),MROUND(MIN(E192*(1+Settings!$K$8),J192*(1+Settings!$K$6)),Settings!$K$10))))</f>
        <v/>
      </c>
      <c r="L192" s="95" t="str">
        <f t="shared" si="15"/>
        <v/>
      </c>
      <c r="M192" s="82"/>
      <c r="N192" s="94" t="str">
        <f>IF(OR(D192="",E192=""),"",IF(M192="",H192,IF(D192="Buy",MROUND(MAX(E192*(1-Settings!$K$8),M192*(1-Settings!$K$6)),Settings!$K$10),MROUND(MIN(E192*(1+Settings!$K$8),M192*(1+Settings!$K$6)),Settings!$K$10))))</f>
        <v/>
      </c>
      <c r="O192" s="95" t="str">
        <f t="shared" si="16"/>
        <v/>
      </c>
      <c r="P192" s="82"/>
      <c r="Q192" s="94" t="str">
        <f>IF(OR(D192="",P192=""),"",IF(D192="Buy",MROUND(P192*(1-Settings!$K$6),Settings!$K$10),MROUND(P192*(1+Settings!$K$6),Settings!$K$10)))</f>
        <v/>
      </c>
      <c r="R192" s="95" t="str">
        <f t="shared" si="17"/>
        <v/>
      </c>
      <c r="S192" s="82"/>
      <c r="T192" s="94" t="str">
        <f>IF(OR(D192="",S192=""),"",IF(D192="Buy",MROUND(S192*(1-Settings!$K$6),Settings!$K$10),MROUND(S192*(1+Settings!$K$6),Settings!$K$10)))</f>
        <v/>
      </c>
      <c r="U192" s="67"/>
      <c r="V192" s="109" t="str">
        <f t="shared" si="18"/>
        <v/>
      </c>
      <c r="W192" s="110"/>
      <c r="X192" s="109" t="str">
        <f t="shared" si="19"/>
        <v/>
      </c>
      <c r="Y192" s="109" t="str">
        <f t="shared" si="20"/>
        <v/>
      </c>
      <c r="Z192" s="82"/>
    </row>
    <row r="193" ht="20" customHeight="1" spans="1:26">
      <c r="A193" s="64">
        <v>180</v>
      </c>
      <c r="B193" s="65"/>
      <c r="C193" s="66"/>
      <c r="D193" s="67"/>
      <c r="E193" s="82"/>
      <c r="F193" s="82"/>
      <c r="G193" s="82"/>
      <c r="H193" s="82"/>
      <c r="I193" s="93" t="str">
        <f t="shared" si="14"/>
        <v/>
      </c>
      <c r="J193" s="82"/>
      <c r="K193" s="94" t="str">
        <f>IF(OR(D193="",E193=""),"",IF(J193="",G193,IF(D193="Buy",MROUND(MAX(E193*(1-Settings!$K$8),J193*(1-Settings!$K$6)),Settings!$K$10),MROUND(MIN(E193*(1+Settings!$K$8),J193*(1+Settings!$K$6)),Settings!$K$10))))</f>
        <v/>
      </c>
      <c r="L193" s="95" t="str">
        <f t="shared" si="15"/>
        <v/>
      </c>
      <c r="M193" s="82"/>
      <c r="N193" s="94" t="str">
        <f>IF(OR(D193="",E193=""),"",IF(M193="",H193,IF(D193="Buy",MROUND(MAX(E193*(1-Settings!$K$8),M193*(1-Settings!$K$6)),Settings!$K$10),MROUND(MIN(E193*(1+Settings!$K$8),M193*(1+Settings!$K$6)),Settings!$K$10))))</f>
        <v/>
      </c>
      <c r="O193" s="95" t="str">
        <f t="shared" si="16"/>
        <v/>
      </c>
      <c r="P193" s="82"/>
      <c r="Q193" s="94" t="str">
        <f>IF(OR(D193="",P193=""),"",IF(D193="Buy",MROUND(P193*(1-Settings!$K$6),Settings!$K$10),MROUND(P193*(1+Settings!$K$6),Settings!$K$10)))</f>
        <v/>
      </c>
      <c r="R193" s="95" t="str">
        <f t="shared" si="17"/>
        <v/>
      </c>
      <c r="S193" s="82"/>
      <c r="T193" s="94" t="str">
        <f>IF(OR(D193="",S193=""),"",IF(D193="Buy",MROUND(S193*(1-Settings!$K$6),Settings!$K$10),MROUND(S193*(1+Settings!$K$6),Settings!$K$10)))</f>
        <v/>
      </c>
      <c r="U193" s="67"/>
      <c r="V193" s="109" t="str">
        <f t="shared" si="18"/>
        <v/>
      </c>
      <c r="W193" s="110"/>
      <c r="X193" s="109" t="str">
        <f t="shared" si="19"/>
        <v/>
      </c>
      <c r="Y193" s="109" t="str">
        <f t="shared" si="20"/>
        <v/>
      </c>
      <c r="Z193" s="82"/>
    </row>
    <row r="194" ht="20" customHeight="1" spans="1:26">
      <c r="A194" s="64">
        <v>181</v>
      </c>
      <c r="B194" s="65"/>
      <c r="C194" s="66"/>
      <c r="D194" s="67"/>
      <c r="E194" s="82"/>
      <c r="F194" s="82"/>
      <c r="G194" s="82"/>
      <c r="H194" s="82"/>
      <c r="I194" s="93" t="str">
        <f t="shared" si="14"/>
        <v/>
      </c>
      <c r="J194" s="82"/>
      <c r="K194" s="94" t="str">
        <f>IF(OR(D194="",E194=""),"",IF(J194="",G194,IF(D194="Buy",MROUND(MAX(E194*(1-Settings!$K$8),J194*(1-Settings!$K$6)),Settings!$K$10),MROUND(MIN(E194*(1+Settings!$K$8),J194*(1+Settings!$K$6)),Settings!$K$10))))</f>
        <v/>
      </c>
      <c r="L194" s="95" t="str">
        <f t="shared" si="15"/>
        <v/>
      </c>
      <c r="M194" s="82"/>
      <c r="N194" s="94" t="str">
        <f>IF(OR(D194="",E194=""),"",IF(M194="",H194,IF(D194="Buy",MROUND(MAX(E194*(1-Settings!$K$8),M194*(1-Settings!$K$6)),Settings!$K$10),MROUND(MIN(E194*(1+Settings!$K$8),M194*(1+Settings!$K$6)),Settings!$K$10))))</f>
        <v/>
      </c>
      <c r="O194" s="95" t="str">
        <f t="shared" si="16"/>
        <v/>
      </c>
      <c r="P194" s="82"/>
      <c r="Q194" s="94" t="str">
        <f>IF(OR(D194="",P194=""),"",IF(D194="Buy",MROUND(P194*(1-Settings!$K$6),Settings!$K$10),MROUND(P194*(1+Settings!$K$6),Settings!$K$10)))</f>
        <v/>
      </c>
      <c r="R194" s="95" t="str">
        <f t="shared" si="17"/>
        <v/>
      </c>
      <c r="S194" s="82"/>
      <c r="T194" s="94" t="str">
        <f>IF(OR(D194="",S194=""),"",IF(D194="Buy",MROUND(S194*(1-Settings!$K$6),Settings!$K$10),MROUND(S194*(1+Settings!$K$6),Settings!$K$10)))</f>
        <v/>
      </c>
      <c r="U194" s="67"/>
      <c r="V194" s="109" t="str">
        <f t="shared" si="18"/>
        <v/>
      </c>
      <c r="W194" s="110"/>
      <c r="X194" s="109" t="str">
        <f t="shared" si="19"/>
        <v/>
      </c>
      <c r="Y194" s="109" t="str">
        <f t="shared" si="20"/>
        <v/>
      </c>
      <c r="Z194" s="82"/>
    </row>
    <row r="195" ht="20" customHeight="1" spans="1:26">
      <c r="A195" s="64">
        <v>182</v>
      </c>
      <c r="B195" s="65"/>
      <c r="C195" s="66"/>
      <c r="D195" s="67"/>
      <c r="E195" s="82"/>
      <c r="F195" s="82"/>
      <c r="G195" s="82"/>
      <c r="H195" s="82"/>
      <c r="I195" s="93" t="str">
        <f t="shared" si="14"/>
        <v/>
      </c>
      <c r="J195" s="82"/>
      <c r="K195" s="94" t="str">
        <f>IF(OR(D195="",E195=""),"",IF(J195="",G195,IF(D195="Buy",MROUND(MAX(E195*(1-Settings!$K$8),J195*(1-Settings!$K$6)),Settings!$K$10),MROUND(MIN(E195*(1+Settings!$K$8),J195*(1+Settings!$K$6)),Settings!$K$10))))</f>
        <v/>
      </c>
      <c r="L195" s="95" t="str">
        <f t="shared" si="15"/>
        <v/>
      </c>
      <c r="M195" s="82"/>
      <c r="N195" s="94" t="str">
        <f>IF(OR(D195="",E195=""),"",IF(M195="",H195,IF(D195="Buy",MROUND(MAX(E195*(1-Settings!$K$8),M195*(1-Settings!$K$6)),Settings!$K$10),MROUND(MIN(E195*(1+Settings!$K$8),M195*(1+Settings!$K$6)),Settings!$K$10))))</f>
        <v/>
      </c>
      <c r="O195" s="95" t="str">
        <f t="shared" si="16"/>
        <v/>
      </c>
      <c r="P195" s="82"/>
      <c r="Q195" s="94" t="str">
        <f>IF(OR(D195="",P195=""),"",IF(D195="Buy",MROUND(P195*(1-Settings!$K$6),Settings!$K$10),MROUND(P195*(1+Settings!$K$6),Settings!$K$10)))</f>
        <v/>
      </c>
      <c r="R195" s="95" t="str">
        <f t="shared" si="17"/>
        <v/>
      </c>
      <c r="S195" s="82"/>
      <c r="T195" s="94" t="str">
        <f>IF(OR(D195="",S195=""),"",IF(D195="Buy",MROUND(S195*(1-Settings!$K$6),Settings!$K$10),MROUND(S195*(1+Settings!$K$6),Settings!$K$10)))</f>
        <v/>
      </c>
      <c r="U195" s="67"/>
      <c r="V195" s="109" t="str">
        <f t="shared" si="18"/>
        <v/>
      </c>
      <c r="W195" s="110"/>
      <c r="X195" s="109" t="str">
        <f t="shared" si="19"/>
        <v/>
      </c>
      <c r="Y195" s="109" t="str">
        <f t="shared" si="20"/>
        <v/>
      </c>
      <c r="Z195" s="82"/>
    </row>
    <row r="196" ht="20" customHeight="1" spans="1:26">
      <c r="A196" s="64">
        <v>183</v>
      </c>
      <c r="B196" s="65"/>
      <c r="C196" s="66"/>
      <c r="D196" s="67"/>
      <c r="E196" s="82"/>
      <c r="F196" s="82"/>
      <c r="G196" s="82"/>
      <c r="H196" s="82"/>
      <c r="I196" s="93" t="str">
        <f t="shared" si="14"/>
        <v/>
      </c>
      <c r="J196" s="82"/>
      <c r="K196" s="94" t="str">
        <f>IF(OR(D196="",E196=""),"",IF(J196="",G196,IF(D196="Buy",MROUND(MAX(E196*(1-Settings!$K$8),J196*(1-Settings!$K$6)),Settings!$K$10),MROUND(MIN(E196*(1+Settings!$K$8),J196*(1+Settings!$K$6)),Settings!$K$10))))</f>
        <v/>
      </c>
      <c r="L196" s="95" t="str">
        <f t="shared" si="15"/>
        <v/>
      </c>
      <c r="M196" s="82"/>
      <c r="N196" s="94" t="str">
        <f>IF(OR(D196="",E196=""),"",IF(M196="",H196,IF(D196="Buy",MROUND(MAX(E196*(1-Settings!$K$8),M196*(1-Settings!$K$6)),Settings!$K$10),MROUND(MIN(E196*(1+Settings!$K$8),M196*(1+Settings!$K$6)),Settings!$K$10))))</f>
        <v/>
      </c>
      <c r="O196" s="95" t="str">
        <f t="shared" si="16"/>
        <v/>
      </c>
      <c r="P196" s="82"/>
      <c r="Q196" s="94" t="str">
        <f>IF(OR(D196="",P196=""),"",IF(D196="Buy",MROUND(P196*(1-Settings!$K$6),Settings!$K$10),MROUND(P196*(1+Settings!$K$6),Settings!$K$10)))</f>
        <v/>
      </c>
      <c r="R196" s="95" t="str">
        <f t="shared" si="17"/>
        <v/>
      </c>
      <c r="S196" s="82"/>
      <c r="T196" s="94" t="str">
        <f>IF(OR(D196="",S196=""),"",IF(D196="Buy",MROUND(S196*(1-Settings!$K$6),Settings!$K$10),MROUND(S196*(1+Settings!$K$6),Settings!$K$10)))</f>
        <v/>
      </c>
      <c r="U196" s="67"/>
      <c r="V196" s="109" t="str">
        <f t="shared" si="18"/>
        <v/>
      </c>
      <c r="W196" s="110"/>
      <c r="X196" s="109" t="str">
        <f t="shared" si="19"/>
        <v/>
      </c>
      <c r="Y196" s="109" t="str">
        <f t="shared" si="20"/>
        <v/>
      </c>
      <c r="Z196" s="82"/>
    </row>
    <row r="197" ht="20" customHeight="1" spans="1:26">
      <c r="A197" s="64">
        <v>184</v>
      </c>
      <c r="B197" s="65"/>
      <c r="C197" s="66"/>
      <c r="D197" s="67"/>
      <c r="E197" s="82"/>
      <c r="F197" s="82"/>
      <c r="G197" s="82"/>
      <c r="H197" s="82"/>
      <c r="I197" s="93" t="str">
        <f t="shared" si="14"/>
        <v/>
      </c>
      <c r="J197" s="82"/>
      <c r="K197" s="94" t="str">
        <f>IF(OR(D197="",E197=""),"",IF(J197="",G197,IF(D197="Buy",MROUND(MAX(E197*(1-Settings!$K$8),J197*(1-Settings!$K$6)),Settings!$K$10),MROUND(MIN(E197*(1+Settings!$K$8),J197*(1+Settings!$K$6)),Settings!$K$10))))</f>
        <v/>
      </c>
      <c r="L197" s="95" t="str">
        <f t="shared" si="15"/>
        <v/>
      </c>
      <c r="M197" s="82"/>
      <c r="N197" s="94" t="str">
        <f>IF(OR(D197="",E197=""),"",IF(M197="",H197,IF(D197="Buy",MROUND(MAX(E197*(1-Settings!$K$8),M197*(1-Settings!$K$6)),Settings!$K$10),MROUND(MIN(E197*(1+Settings!$K$8),M197*(1+Settings!$K$6)),Settings!$K$10))))</f>
        <v/>
      </c>
      <c r="O197" s="95" t="str">
        <f t="shared" si="16"/>
        <v/>
      </c>
      <c r="P197" s="82"/>
      <c r="Q197" s="94" t="str">
        <f>IF(OR(D197="",P197=""),"",IF(D197="Buy",MROUND(P197*(1-Settings!$K$6),Settings!$K$10),MROUND(P197*(1+Settings!$K$6),Settings!$K$10)))</f>
        <v/>
      </c>
      <c r="R197" s="95" t="str">
        <f t="shared" si="17"/>
        <v/>
      </c>
      <c r="S197" s="82"/>
      <c r="T197" s="94" t="str">
        <f>IF(OR(D197="",S197=""),"",IF(D197="Buy",MROUND(S197*(1-Settings!$K$6),Settings!$K$10),MROUND(S197*(1+Settings!$K$6),Settings!$K$10)))</f>
        <v/>
      </c>
      <c r="U197" s="67"/>
      <c r="V197" s="109" t="str">
        <f t="shared" si="18"/>
        <v/>
      </c>
      <c r="W197" s="110"/>
      <c r="X197" s="109" t="str">
        <f t="shared" si="19"/>
        <v/>
      </c>
      <c r="Y197" s="109" t="str">
        <f t="shared" si="20"/>
        <v/>
      </c>
      <c r="Z197" s="82"/>
    </row>
    <row r="198" ht="20" customHeight="1" spans="1:26">
      <c r="A198" s="64">
        <v>185</v>
      </c>
      <c r="B198" s="65"/>
      <c r="C198" s="66"/>
      <c r="D198" s="67"/>
      <c r="E198" s="82"/>
      <c r="F198" s="82"/>
      <c r="G198" s="82"/>
      <c r="H198" s="82"/>
      <c r="I198" s="93" t="str">
        <f t="shared" si="14"/>
        <v/>
      </c>
      <c r="J198" s="82"/>
      <c r="K198" s="94" t="str">
        <f>IF(OR(D198="",E198=""),"",IF(J198="",G198,IF(D198="Buy",MROUND(MAX(E198*(1-Settings!$K$8),J198*(1-Settings!$K$6)),Settings!$K$10),MROUND(MIN(E198*(1+Settings!$K$8),J198*(1+Settings!$K$6)),Settings!$K$10))))</f>
        <v/>
      </c>
      <c r="L198" s="95" t="str">
        <f t="shared" si="15"/>
        <v/>
      </c>
      <c r="M198" s="82"/>
      <c r="N198" s="94" t="str">
        <f>IF(OR(D198="",E198=""),"",IF(M198="",H198,IF(D198="Buy",MROUND(MAX(E198*(1-Settings!$K$8),M198*(1-Settings!$K$6)),Settings!$K$10),MROUND(MIN(E198*(1+Settings!$K$8),M198*(1+Settings!$K$6)),Settings!$K$10))))</f>
        <v/>
      </c>
      <c r="O198" s="95" t="str">
        <f t="shared" si="16"/>
        <v/>
      </c>
      <c r="P198" s="82"/>
      <c r="Q198" s="94" t="str">
        <f>IF(OR(D198="",P198=""),"",IF(D198="Buy",MROUND(P198*(1-Settings!$K$6),Settings!$K$10),MROUND(P198*(1+Settings!$K$6),Settings!$K$10)))</f>
        <v/>
      </c>
      <c r="R198" s="95" t="str">
        <f t="shared" si="17"/>
        <v/>
      </c>
      <c r="S198" s="82"/>
      <c r="T198" s="94" t="str">
        <f>IF(OR(D198="",S198=""),"",IF(D198="Buy",MROUND(S198*(1-Settings!$K$6),Settings!$K$10),MROUND(S198*(1+Settings!$K$6),Settings!$K$10)))</f>
        <v/>
      </c>
      <c r="U198" s="67"/>
      <c r="V198" s="109" t="str">
        <f t="shared" si="18"/>
        <v/>
      </c>
      <c r="W198" s="110"/>
      <c r="X198" s="109" t="str">
        <f t="shared" si="19"/>
        <v/>
      </c>
      <c r="Y198" s="109" t="str">
        <f t="shared" si="20"/>
        <v/>
      </c>
      <c r="Z198" s="82"/>
    </row>
    <row r="199" ht="20" customHeight="1" spans="1:26">
      <c r="A199" s="64">
        <v>186</v>
      </c>
      <c r="B199" s="65"/>
      <c r="C199" s="66"/>
      <c r="D199" s="67"/>
      <c r="E199" s="82"/>
      <c r="F199" s="82"/>
      <c r="G199" s="82"/>
      <c r="H199" s="82"/>
      <c r="I199" s="93" t="str">
        <f t="shared" si="14"/>
        <v/>
      </c>
      <c r="J199" s="82"/>
      <c r="K199" s="94" t="str">
        <f>IF(OR(D199="",E199=""),"",IF(J199="",G199,IF(D199="Buy",MROUND(MAX(E199*(1-Settings!$K$8),J199*(1-Settings!$K$6)),Settings!$K$10),MROUND(MIN(E199*(1+Settings!$K$8),J199*(1+Settings!$K$6)),Settings!$K$10))))</f>
        <v/>
      </c>
      <c r="L199" s="95" t="str">
        <f t="shared" si="15"/>
        <v/>
      </c>
      <c r="M199" s="82"/>
      <c r="N199" s="94" t="str">
        <f>IF(OR(D199="",E199=""),"",IF(M199="",H199,IF(D199="Buy",MROUND(MAX(E199*(1-Settings!$K$8),M199*(1-Settings!$K$6)),Settings!$K$10),MROUND(MIN(E199*(1+Settings!$K$8),M199*(1+Settings!$K$6)),Settings!$K$10))))</f>
        <v/>
      </c>
      <c r="O199" s="95" t="str">
        <f t="shared" si="16"/>
        <v/>
      </c>
      <c r="P199" s="82"/>
      <c r="Q199" s="94" t="str">
        <f>IF(OR(D199="",P199=""),"",IF(D199="Buy",MROUND(P199*(1-Settings!$K$6),Settings!$K$10),MROUND(P199*(1+Settings!$K$6),Settings!$K$10)))</f>
        <v/>
      </c>
      <c r="R199" s="95" t="str">
        <f t="shared" si="17"/>
        <v/>
      </c>
      <c r="S199" s="82"/>
      <c r="T199" s="94" t="str">
        <f>IF(OR(D199="",S199=""),"",IF(D199="Buy",MROUND(S199*(1-Settings!$K$6),Settings!$K$10),MROUND(S199*(1+Settings!$K$6),Settings!$K$10)))</f>
        <v/>
      </c>
      <c r="U199" s="67"/>
      <c r="V199" s="109" t="str">
        <f t="shared" si="18"/>
        <v/>
      </c>
      <c r="W199" s="110"/>
      <c r="X199" s="109" t="str">
        <f t="shared" si="19"/>
        <v/>
      </c>
      <c r="Y199" s="109" t="str">
        <f t="shared" si="20"/>
        <v/>
      </c>
      <c r="Z199" s="82"/>
    </row>
    <row r="200" ht="20" customHeight="1" spans="1:26">
      <c r="A200" s="64">
        <v>187</v>
      </c>
      <c r="B200" s="65"/>
      <c r="C200" s="66"/>
      <c r="D200" s="67"/>
      <c r="E200" s="82"/>
      <c r="F200" s="82"/>
      <c r="G200" s="82"/>
      <c r="H200" s="82"/>
      <c r="I200" s="93" t="str">
        <f t="shared" si="14"/>
        <v/>
      </c>
      <c r="J200" s="82"/>
      <c r="K200" s="94" t="str">
        <f>IF(OR(D200="",E200=""),"",IF(J200="",G200,IF(D200="Buy",MROUND(MAX(E200*(1-Settings!$K$8),J200*(1-Settings!$K$6)),Settings!$K$10),MROUND(MIN(E200*(1+Settings!$K$8),J200*(1+Settings!$K$6)),Settings!$K$10))))</f>
        <v/>
      </c>
      <c r="L200" s="95" t="str">
        <f t="shared" si="15"/>
        <v/>
      </c>
      <c r="M200" s="82"/>
      <c r="N200" s="94" t="str">
        <f>IF(OR(D200="",E200=""),"",IF(M200="",H200,IF(D200="Buy",MROUND(MAX(E200*(1-Settings!$K$8),M200*(1-Settings!$K$6)),Settings!$K$10),MROUND(MIN(E200*(1+Settings!$K$8),M200*(1+Settings!$K$6)),Settings!$K$10))))</f>
        <v/>
      </c>
      <c r="O200" s="95" t="str">
        <f t="shared" si="16"/>
        <v/>
      </c>
      <c r="P200" s="82"/>
      <c r="Q200" s="94" t="str">
        <f>IF(OR(D200="",P200=""),"",IF(D200="Buy",MROUND(P200*(1-Settings!$K$6),Settings!$K$10),MROUND(P200*(1+Settings!$K$6),Settings!$K$10)))</f>
        <v/>
      </c>
      <c r="R200" s="95" t="str">
        <f t="shared" si="17"/>
        <v/>
      </c>
      <c r="S200" s="82"/>
      <c r="T200" s="94" t="str">
        <f>IF(OR(D200="",S200=""),"",IF(D200="Buy",MROUND(S200*(1-Settings!$K$6),Settings!$K$10),MROUND(S200*(1+Settings!$K$6),Settings!$K$10)))</f>
        <v/>
      </c>
      <c r="U200" s="67"/>
      <c r="V200" s="109" t="str">
        <f t="shared" si="18"/>
        <v/>
      </c>
      <c r="W200" s="110"/>
      <c r="X200" s="109" t="str">
        <f t="shared" si="19"/>
        <v/>
      </c>
      <c r="Y200" s="109" t="str">
        <f t="shared" si="20"/>
        <v/>
      </c>
      <c r="Z200" s="82"/>
    </row>
    <row r="201" ht="20" customHeight="1" spans="1:26">
      <c r="A201" s="64">
        <v>188</v>
      </c>
      <c r="B201" s="65"/>
      <c r="C201" s="66"/>
      <c r="D201" s="67"/>
      <c r="E201" s="82"/>
      <c r="F201" s="82"/>
      <c r="G201" s="82"/>
      <c r="H201" s="82"/>
      <c r="I201" s="93" t="str">
        <f t="shared" si="14"/>
        <v/>
      </c>
      <c r="J201" s="82"/>
      <c r="K201" s="94" t="str">
        <f>IF(OR(D201="",E201=""),"",IF(J201="",G201,IF(D201="Buy",MROUND(MAX(E201*(1-Settings!$K$8),J201*(1-Settings!$K$6)),Settings!$K$10),MROUND(MIN(E201*(1+Settings!$K$8),J201*(1+Settings!$K$6)),Settings!$K$10))))</f>
        <v/>
      </c>
      <c r="L201" s="95" t="str">
        <f t="shared" si="15"/>
        <v/>
      </c>
      <c r="M201" s="82"/>
      <c r="N201" s="94" t="str">
        <f>IF(OR(D201="",E201=""),"",IF(M201="",H201,IF(D201="Buy",MROUND(MAX(E201*(1-Settings!$K$8),M201*(1-Settings!$K$6)),Settings!$K$10),MROUND(MIN(E201*(1+Settings!$K$8),M201*(1+Settings!$K$6)),Settings!$K$10))))</f>
        <v/>
      </c>
      <c r="O201" s="95" t="str">
        <f t="shared" si="16"/>
        <v/>
      </c>
      <c r="P201" s="82"/>
      <c r="Q201" s="94" t="str">
        <f>IF(OR(D201="",P201=""),"",IF(D201="Buy",MROUND(P201*(1-Settings!$K$6),Settings!$K$10),MROUND(P201*(1+Settings!$K$6),Settings!$K$10)))</f>
        <v/>
      </c>
      <c r="R201" s="95" t="str">
        <f t="shared" si="17"/>
        <v/>
      </c>
      <c r="S201" s="82"/>
      <c r="T201" s="94" t="str">
        <f>IF(OR(D201="",S201=""),"",IF(D201="Buy",MROUND(S201*(1-Settings!$K$6),Settings!$K$10),MROUND(S201*(1+Settings!$K$6),Settings!$K$10)))</f>
        <v/>
      </c>
      <c r="U201" s="67"/>
      <c r="V201" s="109" t="str">
        <f t="shared" si="18"/>
        <v/>
      </c>
      <c r="W201" s="110"/>
      <c r="X201" s="109" t="str">
        <f t="shared" si="19"/>
        <v/>
      </c>
      <c r="Y201" s="109" t="str">
        <f t="shared" si="20"/>
        <v/>
      </c>
      <c r="Z201" s="82"/>
    </row>
    <row r="202" ht="20" customHeight="1" spans="1:26">
      <c r="A202" s="64">
        <v>189</v>
      </c>
      <c r="B202" s="65"/>
      <c r="C202" s="66"/>
      <c r="D202" s="67"/>
      <c r="E202" s="82"/>
      <c r="F202" s="82"/>
      <c r="G202" s="82"/>
      <c r="H202" s="82"/>
      <c r="I202" s="93" t="str">
        <f t="shared" si="14"/>
        <v/>
      </c>
      <c r="J202" s="82"/>
      <c r="K202" s="94" t="str">
        <f>IF(OR(D202="",E202=""),"",IF(J202="",G202,IF(D202="Buy",MROUND(MAX(E202*(1-Settings!$K$8),J202*(1-Settings!$K$6)),Settings!$K$10),MROUND(MIN(E202*(1+Settings!$K$8),J202*(1+Settings!$K$6)),Settings!$K$10))))</f>
        <v/>
      </c>
      <c r="L202" s="95" t="str">
        <f t="shared" si="15"/>
        <v/>
      </c>
      <c r="M202" s="82"/>
      <c r="N202" s="94" t="str">
        <f>IF(OR(D202="",E202=""),"",IF(M202="",H202,IF(D202="Buy",MROUND(MAX(E202*(1-Settings!$K$8),M202*(1-Settings!$K$6)),Settings!$K$10),MROUND(MIN(E202*(1+Settings!$K$8),M202*(1+Settings!$K$6)),Settings!$K$10))))</f>
        <v/>
      </c>
      <c r="O202" s="95" t="str">
        <f t="shared" si="16"/>
        <v/>
      </c>
      <c r="P202" s="82"/>
      <c r="Q202" s="94" t="str">
        <f>IF(OR(D202="",P202=""),"",IF(D202="Buy",MROUND(P202*(1-Settings!$K$6),Settings!$K$10),MROUND(P202*(1+Settings!$K$6),Settings!$K$10)))</f>
        <v/>
      </c>
      <c r="R202" s="95" t="str">
        <f t="shared" si="17"/>
        <v/>
      </c>
      <c r="S202" s="82"/>
      <c r="T202" s="94" t="str">
        <f>IF(OR(D202="",S202=""),"",IF(D202="Buy",MROUND(S202*(1-Settings!$K$6),Settings!$K$10),MROUND(S202*(1+Settings!$K$6),Settings!$K$10)))</f>
        <v/>
      </c>
      <c r="U202" s="67"/>
      <c r="V202" s="109" t="str">
        <f t="shared" si="18"/>
        <v/>
      </c>
      <c r="W202" s="110"/>
      <c r="X202" s="109" t="str">
        <f t="shared" si="19"/>
        <v/>
      </c>
      <c r="Y202" s="109" t="str">
        <f t="shared" si="20"/>
        <v/>
      </c>
      <c r="Z202" s="82"/>
    </row>
    <row r="203" ht="20" customHeight="1" spans="1:26">
      <c r="A203" s="64">
        <v>190</v>
      </c>
      <c r="B203" s="65"/>
      <c r="C203" s="66"/>
      <c r="D203" s="67"/>
      <c r="E203" s="82"/>
      <c r="F203" s="82"/>
      <c r="G203" s="82"/>
      <c r="H203" s="82"/>
      <c r="I203" s="93" t="str">
        <f t="shared" si="14"/>
        <v/>
      </c>
      <c r="J203" s="82"/>
      <c r="K203" s="94" t="str">
        <f>IF(OR(D203="",E203=""),"",IF(J203="",G203,IF(D203="Buy",MROUND(MAX(E203*(1-Settings!$K$8),J203*(1-Settings!$K$6)),Settings!$K$10),MROUND(MIN(E203*(1+Settings!$K$8),J203*(1+Settings!$K$6)),Settings!$K$10))))</f>
        <v/>
      </c>
      <c r="L203" s="95" t="str">
        <f t="shared" si="15"/>
        <v/>
      </c>
      <c r="M203" s="82"/>
      <c r="N203" s="94" t="str">
        <f>IF(OR(D203="",E203=""),"",IF(M203="",H203,IF(D203="Buy",MROUND(MAX(E203*(1-Settings!$K$8),M203*(1-Settings!$K$6)),Settings!$K$10),MROUND(MIN(E203*(1+Settings!$K$8),M203*(1+Settings!$K$6)),Settings!$K$10))))</f>
        <v/>
      </c>
      <c r="O203" s="95" t="str">
        <f t="shared" si="16"/>
        <v/>
      </c>
      <c r="P203" s="82"/>
      <c r="Q203" s="94" t="str">
        <f>IF(OR(D203="",P203=""),"",IF(D203="Buy",MROUND(P203*(1-Settings!$K$6),Settings!$K$10),MROUND(P203*(1+Settings!$K$6),Settings!$K$10)))</f>
        <v/>
      </c>
      <c r="R203" s="95" t="str">
        <f t="shared" si="17"/>
        <v/>
      </c>
      <c r="S203" s="82"/>
      <c r="T203" s="94" t="str">
        <f>IF(OR(D203="",S203=""),"",IF(D203="Buy",MROUND(S203*(1-Settings!$K$6),Settings!$K$10),MROUND(S203*(1+Settings!$K$6),Settings!$K$10)))</f>
        <v/>
      </c>
      <c r="U203" s="67"/>
      <c r="V203" s="109" t="str">
        <f t="shared" si="18"/>
        <v/>
      </c>
      <c r="W203" s="110"/>
      <c r="X203" s="109" t="str">
        <f t="shared" si="19"/>
        <v/>
      </c>
      <c r="Y203" s="109" t="str">
        <f t="shared" si="20"/>
        <v/>
      </c>
      <c r="Z203" s="82"/>
    </row>
    <row r="204" ht="20" customHeight="1" spans="1:26">
      <c r="A204" s="64">
        <v>191</v>
      </c>
      <c r="B204" s="65"/>
      <c r="C204" s="66"/>
      <c r="D204" s="67"/>
      <c r="E204" s="82"/>
      <c r="F204" s="82"/>
      <c r="G204" s="82"/>
      <c r="H204" s="82"/>
      <c r="I204" s="93" t="str">
        <f t="shared" si="14"/>
        <v/>
      </c>
      <c r="J204" s="82"/>
      <c r="K204" s="94" t="str">
        <f>IF(OR(D204="",E204=""),"",IF(J204="",G204,IF(D204="Buy",MROUND(MAX(E204*(1-Settings!$K$8),J204*(1-Settings!$K$6)),Settings!$K$10),MROUND(MIN(E204*(1+Settings!$K$8),J204*(1+Settings!$K$6)),Settings!$K$10))))</f>
        <v/>
      </c>
      <c r="L204" s="95" t="str">
        <f t="shared" si="15"/>
        <v/>
      </c>
      <c r="M204" s="82"/>
      <c r="N204" s="94" t="str">
        <f>IF(OR(D204="",E204=""),"",IF(M204="",H204,IF(D204="Buy",MROUND(MAX(E204*(1-Settings!$K$8),M204*(1-Settings!$K$6)),Settings!$K$10),MROUND(MIN(E204*(1+Settings!$K$8),M204*(1+Settings!$K$6)),Settings!$K$10))))</f>
        <v/>
      </c>
      <c r="O204" s="95" t="str">
        <f t="shared" si="16"/>
        <v/>
      </c>
      <c r="P204" s="82"/>
      <c r="Q204" s="94" t="str">
        <f>IF(OR(D204="",P204=""),"",IF(D204="Buy",MROUND(P204*(1-Settings!$K$6),Settings!$K$10),MROUND(P204*(1+Settings!$K$6),Settings!$K$10)))</f>
        <v/>
      </c>
      <c r="R204" s="95" t="str">
        <f t="shared" si="17"/>
        <v/>
      </c>
      <c r="S204" s="82"/>
      <c r="T204" s="94" t="str">
        <f>IF(OR(D204="",S204=""),"",IF(D204="Buy",MROUND(S204*(1-Settings!$K$6),Settings!$K$10),MROUND(S204*(1+Settings!$K$6),Settings!$K$10)))</f>
        <v/>
      </c>
      <c r="U204" s="67"/>
      <c r="V204" s="109" t="str">
        <f t="shared" si="18"/>
        <v/>
      </c>
      <c r="W204" s="110"/>
      <c r="X204" s="109" t="str">
        <f t="shared" si="19"/>
        <v/>
      </c>
      <c r="Y204" s="109" t="str">
        <f t="shared" si="20"/>
        <v/>
      </c>
      <c r="Z204" s="82"/>
    </row>
    <row r="205" ht="20" customHeight="1" spans="1:26">
      <c r="A205" s="64">
        <v>192</v>
      </c>
      <c r="B205" s="65"/>
      <c r="C205" s="66"/>
      <c r="D205" s="67"/>
      <c r="E205" s="82"/>
      <c r="F205" s="82"/>
      <c r="G205" s="82"/>
      <c r="H205" s="82"/>
      <c r="I205" s="93" t="str">
        <f t="shared" si="14"/>
        <v/>
      </c>
      <c r="J205" s="82"/>
      <c r="K205" s="94" t="str">
        <f>IF(OR(D205="",E205=""),"",IF(J205="",G205,IF(D205="Buy",MROUND(MAX(E205*(1-Settings!$K$8),J205*(1-Settings!$K$6)),Settings!$K$10),MROUND(MIN(E205*(1+Settings!$K$8),J205*(1+Settings!$K$6)),Settings!$K$10))))</f>
        <v/>
      </c>
      <c r="L205" s="95" t="str">
        <f t="shared" si="15"/>
        <v/>
      </c>
      <c r="M205" s="82"/>
      <c r="N205" s="94" t="str">
        <f>IF(OR(D205="",E205=""),"",IF(M205="",H205,IF(D205="Buy",MROUND(MAX(E205*(1-Settings!$K$8),M205*(1-Settings!$K$6)),Settings!$K$10),MROUND(MIN(E205*(1+Settings!$K$8),M205*(1+Settings!$K$6)),Settings!$K$10))))</f>
        <v/>
      </c>
      <c r="O205" s="95" t="str">
        <f t="shared" si="16"/>
        <v/>
      </c>
      <c r="P205" s="82"/>
      <c r="Q205" s="94" t="str">
        <f>IF(OR(D205="",P205=""),"",IF(D205="Buy",MROUND(P205*(1-Settings!$K$6),Settings!$K$10),MROUND(P205*(1+Settings!$K$6),Settings!$K$10)))</f>
        <v/>
      </c>
      <c r="R205" s="95" t="str">
        <f t="shared" si="17"/>
        <v/>
      </c>
      <c r="S205" s="82"/>
      <c r="T205" s="94" t="str">
        <f>IF(OR(D205="",S205=""),"",IF(D205="Buy",MROUND(S205*(1-Settings!$K$6),Settings!$K$10),MROUND(S205*(1+Settings!$K$6),Settings!$K$10)))</f>
        <v/>
      </c>
      <c r="U205" s="67"/>
      <c r="V205" s="109" t="str">
        <f t="shared" si="18"/>
        <v/>
      </c>
      <c r="W205" s="110"/>
      <c r="X205" s="109" t="str">
        <f t="shared" si="19"/>
        <v/>
      </c>
      <c r="Y205" s="109" t="str">
        <f t="shared" si="20"/>
        <v/>
      </c>
      <c r="Z205" s="82"/>
    </row>
    <row r="206" ht="20" customHeight="1" spans="1:26">
      <c r="A206" s="64">
        <v>193</v>
      </c>
      <c r="B206" s="65"/>
      <c r="C206" s="66"/>
      <c r="D206" s="67"/>
      <c r="E206" s="82"/>
      <c r="F206" s="82"/>
      <c r="G206" s="82"/>
      <c r="H206" s="82"/>
      <c r="I206" s="93" t="str">
        <f t="shared" ref="I206:I213" si="21">IF(D206="Buy","Enter New 2DLL",IF(D206="Sell","Enter New 2DHH",""))</f>
        <v/>
      </c>
      <c r="J206" s="82"/>
      <c r="K206" s="94" t="str">
        <f>IF(OR(D206="",E206=""),"",IF(J206="",G206,IF(D206="Buy",MROUND(MAX(E206*(1-Settings!$K$8),J206*(1-Settings!$K$6)),Settings!$K$10),MROUND(MIN(E206*(1+Settings!$K$8),J206*(1+Settings!$K$6)),Settings!$K$10))))</f>
        <v/>
      </c>
      <c r="L206" s="95" t="str">
        <f t="shared" ref="L206:L213" si="22">IF(D206="Buy","Enter New 4DLL",IF(D206="Sell","Enter New 4DHH",""))</f>
        <v/>
      </c>
      <c r="M206" s="82"/>
      <c r="N206" s="94" t="str">
        <f>IF(OR(D206="",E206=""),"",IF(M206="",H206,IF(D206="Buy",MROUND(MAX(E206*(1-Settings!$K$8),M206*(1-Settings!$K$6)),Settings!$K$10),MROUND(MIN(E206*(1+Settings!$K$8),M206*(1+Settings!$K$6)),Settings!$K$10))))</f>
        <v/>
      </c>
      <c r="O206" s="95" t="str">
        <f t="shared" ref="O206:O213" si="23">IF(D206="Buy","Enter First 15-Minute Low",IF(D206="Sell","Enter First 15-Minute High",""))</f>
        <v/>
      </c>
      <c r="P206" s="82"/>
      <c r="Q206" s="94" t="str">
        <f>IF(OR(D206="",P206=""),"",IF(D206="Buy",MROUND(P206*(1-Settings!$K$6),Settings!$K$10),MROUND(P206*(1+Settings!$K$6),Settings!$K$10)))</f>
        <v/>
      </c>
      <c r="R206" s="95" t="str">
        <f t="shared" ref="R206:R213" si="24">IF(D206="Buy","Enter First 15-Minute Low",IF(D206="Sell","Enter First 15-Minute High",""))</f>
        <v/>
      </c>
      <c r="S206" s="82"/>
      <c r="T206" s="94" t="str">
        <f>IF(OR(D206="",S206=""),"",IF(D206="Buy",MROUND(S206*(1-Settings!$K$6),Settings!$K$10),MROUND(S206*(1+Settings!$K$6),Settings!$K$10)))</f>
        <v/>
      </c>
      <c r="U206" s="67"/>
      <c r="V206" s="109" t="str">
        <f t="shared" ref="V206:V213" si="25">IF(OR(D206="",E206="",U206="",$C$8="",$C$9=""),"",IF(U206="Target Hit",IF(F206="","",IF(D206="Buy",(F206-E206)*($C$8/2)*$C$9,(E206-F206)*($C$8/2)*$C$9)),IF(U206="Rollover",IF(Z206="","",IF(D206="Buy",(Z206-E206)*$C$8*$C$9,(E206-Z206)*$C$8*$C$9)),IF(U206="Stoploss 1 Hit",IF(K206="","",IF(D206="Buy",(K206-E206)*$C$8*$C$9,(E206-K206)*$C$8*$C$9)),IF(OR(AND(D206="Buy",U206="Gap Down Stoploss 1 Hit"),AND(D206="Sell",U206="Gap Up Stoploss 1 Hit")),IF(Q206="","",IF(D206="Buy",(Q206-E206)*$C$8*$C$9,(E206-Q206)*$C$8*$C$9)),"")))))</f>
        <v/>
      </c>
      <c r="W206" s="110"/>
      <c r="X206" s="109" t="str">
        <f t="shared" ref="X206:X213" si="26">IF(OR(D206="",E206="",U206&lt;&gt;"Target Hit",W206="",$C$8="",$C$9=""),"",IF(W206="Stoploss 2 Hit",IF(N206="","",IF(D206="Buy",(N206-E206)*($C$8/2)*$C$9,(E206-N206)*($C$8/2)*$C$9)),IF(W206="Rollover",IF(Z206="","",IF(D206="Buy",(Z206-E206)*($C$8/2)*$C$9,(E206-Z206)*($C$8/2)*$C$9)),IF(OR(AND(D206="Buy",W206="Gap Down Stoploss 2 Hit"),AND(D206="Sell",W206="Gap Up Stoploss 2 Hit")),IF(T206="","",IF(D206="Buy",(T206-E206)*($C$8/2)*$C$9,(E206-T206)*($C$8/2)*$C$9)),""))))</f>
        <v/>
      </c>
      <c r="Y206" s="109" t="str">
        <f t="shared" ref="Y206:Y213" si="27">IF(AND(V206="",X206=""),"",SUM(V206,X206))</f>
        <v/>
      </c>
      <c r="Z206" s="82"/>
    </row>
    <row r="207" ht="20" customHeight="1" spans="1:26">
      <c r="A207" s="64">
        <v>194</v>
      </c>
      <c r="B207" s="65"/>
      <c r="C207" s="66"/>
      <c r="D207" s="67"/>
      <c r="E207" s="82"/>
      <c r="F207" s="82"/>
      <c r="G207" s="82"/>
      <c r="H207" s="82"/>
      <c r="I207" s="93" t="str">
        <f t="shared" si="21"/>
        <v/>
      </c>
      <c r="J207" s="82"/>
      <c r="K207" s="94" t="str">
        <f>IF(OR(D207="",E207=""),"",IF(J207="",G207,IF(D207="Buy",MROUND(MAX(E207*(1-Settings!$K$8),J207*(1-Settings!$K$6)),Settings!$K$10),MROUND(MIN(E207*(1+Settings!$K$8),J207*(1+Settings!$K$6)),Settings!$K$10))))</f>
        <v/>
      </c>
      <c r="L207" s="95" t="str">
        <f t="shared" si="22"/>
        <v/>
      </c>
      <c r="M207" s="82"/>
      <c r="N207" s="94" t="str">
        <f>IF(OR(D207="",E207=""),"",IF(M207="",H207,IF(D207="Buy",MROUND(MAX(E207*(1-Settings!$K$8),M207*(1-Settings!$K$6)),Settings!$K$10),MROUND(MIN(E207*(1+Settings!$K$8),M207*(1+Settings!$K$6)),Settings!$K$10))))</f>
        <v/>
      </c>
      <c r="O207" s="95" t="str">
        <f t="shared" si="23"/>
        <v/>
      </c>
      <c r="P207" s="82"/>
      <c r="Q207" s="94" t="str">
        <f>IF(OR(D207="",P207=""),"",IF(D207="Buy",MROUND(P207*(1-Settings!$K$6),Settings!$K$10),MROUND(P207*(1+Settings!$K$6),Settings!$K$10)))</f>
        <v/>
      </c>
      <c r="R207" s="95" t="str">
        <f t="shared" si="24"/>
        <v/>
      </c>
      <c r="S207" s="82"/>
      <c r="T207" s="94" t="str">
        <f>IF(OR(D207="",S207=""),"",IF(D207="Buy",MROUND(S207*(1-Settings!$K$6),Settings!$K$10),MROUND(S207*(1+Settings!$K$6),Settings!$K$10)))</f>
        <v/>
      </c>
      <c r="U207" s="67"/>
      <c r="V207" s="109" t="str">
        <f t="shared" si="25"/>
        <v/>
      </c>
      <c r="W207" s="110"/>
      <c r="X207" s="109" t="str">
        <f t="shared" si="26"/>
        <v/>
      </c>
      <c r="Y207" s="109" t="str">
        <f t="shared" si="27"/>
        <v/>
      </c>
      <c r="Z207" s="82"/>
    </row>
    <row r="208" ht="20" customHeight="1" spans="1:26">
      <c r="A208" s="64">
        <v>195</v>
      </c>
      <c r="B208" s="65"/>
      <c r="C208" s="66"/>
      <c r="D208" s="67"/>
      <c r="E208" s="82"/>
      <c r="F208" s="82"/>
      <c r="G208" s="82"/>
      <c r="H208" s="82"/>
      <c r="I208" s="93" t="str">
        <f t="shared" si="21"/>
        <v/>
      </c>
      <c r="J208" s="82"/>
      <c r="K208" s="94" t="str">
        <f>IF(OR(D208="",E208=""),"",IF(J208="",G208,IF(D208="Buy",MROUND(MAX(E208*(1-Settings!$K$8),J208*(1-Settings!$K$6)),Settings!$K$10),MROUND(MIN(E208*(1+Settings!$K$8),J208*(1+Settings!$K$6)),Settings!$K$10))))</f>
        <v/>
      </c>
      <c r="L208" s="95" t="str">
        <f t="shared" si="22"/>
        <v/>
      </c>
      <c r="M208" s="82"/>
      <c r="N208" s="94" t="str">
        <f>IF(OR(D208="",E208=""),"",IF(M208="",H208,IF(D208="Buy",MROUND(MAX(E208*(1-Settings!$K$8),M208*(1-Settings!$K$6)),Settings!$K$10),MROUND(MIN(E208*(1+Settings!$K$8),M208*(1+Settings!$K$6)),Settings!$K$10))))</f>
        <v/>
      </c>
      <c r="O208" s="95" t="str">
        <f t="shared" si="23"/>
        <v/>
      </c>
      <c r="P208" s="82"/>
      <c r="Q208" s="94" t="str">
        <f>IF(OR(D208="",P208=""),"",IF(D208="Buy",MROUND(P208*(1-Settings!$K$6),Settings!$K$10),MROUND(P208*(1+Settings!$K$6),Settings!$K$10)))</f>
        <v/>
      </c>
      <c r="R208" s="95" t="str">
        <f t="shared" si="24"/>
        <v/>
      </c>
      <c r="S208" s="82"/>
      <c r="T208" s="94" t="str">
        <f>IF(OR(D208="",S208=""),"",IF(D208="Buy",MROUND(S208*(1-Settings!$K$6),Settings!$K$10),MROUND(S208*(1+Settings!$K$6),Settings!$K$10)))</f>
        <v/>
      </c>
      <c r="U208" s="67"/>
      <c r="V208" s="109" t="str">
        <f t="shared" si="25"/>
        <v/>
      </c>
      <c r="W208" s="110"/>
      <c r="X208" s="109" t="str">
        <f t="shared" si="26"/>
        <v/>
      </c>
      <c r="Y208" s="109" t="str">
        <f t="shared" si="27"/>
        <v/>
      </c>
      <c r="Z208" s="82"/>
    </row>
    <row r="209" ht="20" customHeight="1" spans="1:26">
      <c r="A209" s="64">
        <v>196</v>
      </c>
      <c r="B209" s="65"/>
      <c r="C209" s="66"/>
      <c r="D209" s="67"/>
      <c r="E209" s="82"/>
      <c r="F209" s="82"/>
      <c r="G209" s="82"/>
      <c r="H209" s="82"/>
      <c r="I209" s="93" t="str">
        <f t="shared" si="21"/>
        <v/>
      </c>
      <c r="J209" s="82"/>
      <c r="K209" s="94" t="str">
        <f>IF(OR(D209="",E209=""),"",IF(J209="",G209,IF(D209="Buy",MROUND(MAX(E209*(1-Settings!$K$8),J209*(1-Settings!$K$6)),Settings!$K$10),MROUND(MIN(E209*(1+Settings!$K$8),J209*(1+Settings!$K$6)),Settings!$K$10))))</f>
        <v/>
      </c>
      <c r="L209" s="95" t="str">
        <f t="shared" si="22"/>
        <v/>
      </c>
      <c r="M209" s="82"/>
      <c r="N209" s="94" t="str">
        <f>IF(OR(D209="",E209=""),"",IF(M209="",H209,IF(D209="Buy",MROUND(MAX(E209*(1-Settings!$K$8),M209*(1-Settings!$K$6)),Settings!$K$10),MROUND(MIN(E209*(1+Settings!$K$8),M209*(1+Settings!$K$6)),Settings!$K$10))))</f>
        <v/>
      </c>
      <c r="O209" s="95" t="str">
        <f t="shared" si="23"/>
        <v/>
      </c>
      <c r="P209" s="82"/>
      <c r="Q209" s="94" t="str">
        <f>IF(OR(D209="",P209=""),"",IF(D209="Buy",MROUND(P209*(1-Settings!$K$6),Settings!$K$10),MROUND(P209*(1+Settings!$K$6),Settings!$K$10)))</f>
        <v/>
      </c>
      <c r="R209" s="95" t="str">
        <f t="shared" si="24"/>
        <v/>
      </c>
      <c r="S209" s="82"/>
      <c r="T209" s="94" t="str">
        <f>IF(OR(D209="",S209=""),"",IF(D209="Buy",MROUND(S209*(1-Settings!$K$6),Settings!$K$10),MROUND(S209*(1+Settings!$K$6),Settings!$K$10)))</f>
        <v/>
      </c>
      <c r="U209" s="67"/>
      <c r="V209" s="109" t="str">
        <f t="shared" si="25"/>
        <v/>
      </c>
      <c r="W209" s="110"/>
      <c r="X209" s="109" t="str">
        <f t="shared" si="26"/>
        <v/>
      </c>
      <c r="Y209" s="109" t="str">
        <f t="shared" si="27"/>
        <v/>
      </c>
      <c r="Z209" s="82"/>
    </row>
    <row r="210" ht="20" customHeight="1" spans="1:26">
      <c r="A210" s="64">
        <v>197</v>
      </c>
      <c r="B210" s="65"/>
      <c r="C210" s="66"/>
      <c r="D210" s="67"/>
      <c r="E210" s="82"/>
      <c r="F210" s="82"/>
      <c r="G210" s="82"/>
      <c r="H210" s="82"/>
      <c r="I210" s="93" t="str">
        <f t="shared" si="21"/>
        <v/>
      </c>
      <c r="J210" s="82"/>
      <c r="K210" s="94" t="str">
        <f>IF(OR(D210="",E210=""),"",IF(J210="",G210,IF(D210="Buy",MROUND(MAX(E210*(1-Settings!$K$8),J210*(1-Settings!$K$6)),Settings!$K$10),MROUND(MIN(E210*(1+Settings!$K$8),J210*(1+Settings!$K$6)),Settings!$K$10))))</f>
        <v/>
      </c>
      <c r="L210" s="95" t="str">
        <f t="shared" si="22"/>
        <v/>
      </c>
      <c r="M210" s="82"/>
      <c r="N210" s="94" t="str">
        <f>IF(OR(D210="",E210=""),"",IF(M210="",H210,IF(D210="Buy",MROUND(MAX(E210*(1-Settings!$K$8),M210*(1-Settings!$K$6)),Settings!$K$10),MROUND(MIN(E210*(1+Settings!$K$8),M210*(1+Settings!$K$6)),Settings!$K$10))))</f>
        <v/>
      </c>
      <c r="O210" s="95" t="str">
        <f t="shared" si="23"/>
        <v/>
      </c>
      <c r="P210" s="82"/>
      <c r="Q210" s="94" t="str">
        <f>IF(OR(D210="",P210=""),"",IF(D210="Buy",MROUND(P210*(1-Settings!$K$6),Settings!$K$10),MROUND(P210*(1+Settings!$K$6),Settings!$K$10)))</f>
        <v/>
      </c>
      <c r="R210" s="95" t="str">
        <f t="shared" si="24"/>
        <v/>
      </c>
      <c r="S210" s="82"/>
      <c r="T210" s="94" t="str">
        <f>IF(OR(D210="",S210=""),"",IF(D210="Buy",MROUND(S210*(1-Settings!$K$6),Settings!$K$10),MROUND(S210*(1+Settings!$K$6),Settings!$K$10)))</f>
        <v/>
      </c>
      <c r="U210" s="67"/>
      <c r="V210" s="109" t="str">
        <f t="shared" si="25"/>
        <v/>
      </c>
      <c r="W210" s="110"/>
      <c r="X210" s="109" t="str">
        <f t="shared" si="26"/>
        <v/>
      </c>
      <c r="Y210" s="109" t="str">
        <f t="shared" si="27"/>
        <v/>
      </c>
      <c r="Z210" s="82"/>
    </row>
    <row r="211" ht="20" customHeight="1" spans="1:26">
      <c r="A211" s="64">
        <v>198</v>
      </c>
      <c r="B211" s="65"/>
      <c r="C211" s="66"/>
      <c r="D211" s="67"/>
      <c r="E211" s="82"/>
      <c r="F211" s="82"/>
      <c r="G211" s="82"/>
      <c r="H211" s="82"/>
      <c r="I211" s="93" t="str">
        <f t="shared" si="21"/>
        <v/>
      </c>
      <c r="J211" s="82"/>
      <c r="K211" s="94" t="str">
        <f>IF(OR(D211="",E211=""),"",IF(J211="",G211,IF(D211="Buy",MROUND(MAX(E211*(1-Settings!$K$8),J211*(1-Settings!$K$6)),Settings!$K$10),MROUND(MIN(E211*(1+Settings!$K$8),J211*(1+Settings!$K$6)),Settings!$K$10))))</f>
        <v/>
      </c>
      <c r="L211" s="95" t="str">
        <f t="shared" si="22"/>
        <v/>
      </c>
      <c r="M211" s="82"/>
      <c r="N211" s="94" t="str">
        <f>IF(OR(D211="",E211=""),"",IF(M211="",H211,IF(D211="Buy",MROUND(MAX(E211*(1-Settings!$K$8),M211*(1-Settings!$K$6)),Settings!$K$10),MROUND(MIN(E211*(1+Settings!$K$8),M211*(1+Settings!$K$6)),Settings!$K$10))))</f>
        <v/>
      </c>
      <c r="O211" s="95" t="str">
        <f t="shared" si="23"/>
        <v/>
      </c>
      <c r="P211" s="82"/>
      <c r="Q211" s="94" t="str">
        <f>IF(OR(D211="",P211=""),"",IF(D211="Buy",MROUND(P211*(1-Settings!$K$6),Settings!$K$10),MROUND(P211*(1+Settings!$K$6),Settings!$K$10)))</f>
        <v/>
      </c>
      <c r="R211" s="95" t="str">
        <f t="shared" si="24"/>
        <v/>
      </c>
      <c r="S211" s="82"/>
      <c r="T211" s="94" t="str">
        <f>IF(OR(D211="",S211=""),"",IF(D211="Buy",MROUND(S211*(1-Settings!$K$6),Settings!$K$10),MROUND(S211*(1+Settings!$K$6),Settings!$K$10)))</f>
        <v/>
      </c>
      <c r="U211" s="67"/>
      <c r="V211" s="109" t="str">
        <f t="shared" si="25"/>
        <v/>
      </c>
      <c r="W211" s="110"/>
      <c r="X211" s="109" t="str">
        <f t="shared" si="26"/>
        <v/>
      </c>
      <c r="Y211" s="109" t="str">
        <f t="shared" si="27"/>
        <v/>
      </c>
      <c r="Z211" s="82"/>
    </row>
    <row r="212" ht="20" customHeight="1" spans="1:26">
      <c r="A212" s="64">
        <v>199</v>
      </c>
      <c r="B212" s="65"/>
      <c r="C212" s="66"/>
      <c r="D212" s="67"/>
      <c r="E212" s="82"/>
      <c r="F212" s="82"/>
      <c r="G212" s="82"/>
      <c r="H212" s="82"/>
      <c r="I212" s="93" t="str">
        <f t="shared" si="21"/>
        <v/>
      </c>
      <c r="J212" s="82"/>
      <c r="K212" s="94" t="str">
        <f>IF(OR(D212="",E212=""),"",IF(J212="",G212,IF(D212="Buy",MROUND(MAX(E212*(1-Settings!$K$8),J212*(1-Settings!$K$6)),Settings!$K$10),MROUND(MIN(E212*(1+Settings!$K$8),J212*(1+Settings!$K$6)),Settings!$K$10))))</f>
        <v/>
      </c>
      <c r="L212" s="95" t="str">
        <f t="shared" si="22"/>
        <v/>
      </c>
      <c r="M212" s="82"/>
      <c r="N212" s="94" t="str">
        <f>IF(OR(D212="",E212=""),"",IF(M212="",H212,IF(D212="Buy",MROUND(MAX(E212*(1-Settings!$K$8),M212*(1-Settings!$K$6)),Settings!$K$10),MROUND(MIN(E212*(1+Settings!$K$8),M212*(1+Settings!$K$6)),Settings!$K$10))))</f>
        <v/>
      </c>
      <c r="O212" s="95" t="str">
        <f t="shared" si="23"/>
        <v/>
      </c>
      <c r="P212" s="82"/>
      <c r="Q212" s="94" t="str">
        <f>IF(OR(D212="",P212=""),"",IF(D212="Buy",MROUND(P212*(1-Settings!$K$6),Settings!$K$10),MROUND(P212*(1+Settings!$K$6),Settings!$K$10)))</f>
        <v/>
      </c>
      <c r="R212" s="95" t="str">
        <f t="shared" si="24"/>
        <v/>
      </c>
      <c r="S212" s="82"/>
      <c r="T212" s="94" t="str">
        <f>IF(OR(D212="",S212=""),"",IF(D212="Buy",MROUND(S212*(1-Settings!$K$6),Settings!$K$10),MROUND(S212*(1+Settings!$K$6),Settings!$K$10)))</f>
        <v/>
      </c>
      <c r="U212" s="67"/>
      <c r="V212" s="109" t="str">
        <f t="shared" si="25"/>
        <v/>
      </c>
      <c r="W212" s="110"/>
      <c r="X212" s="109" t="str">
        <f t="shared" si="26"/>
        <v/>
      </c>
      <c r="Y212" s="109" t="str">
        <f t="shared" si="27"/>
        <v/>
      </c>
      <c r="Z212" s="82"/>
    </row>
    <row r="213" ht="20" customHeight="1" spans="1:26">
      <c r="A213" s="64">
        <v>200</v>
      </c>
      <c r="B213" s="65"/>
      <c r="C213" s="66"/>
      <c r="D213" s="67"/>
      <c r="E213" s="82"/>
      <c r="F213" s="82"/>
      <c r="G213" s="82"/>
      <c r="H213" s="82"/>
      <c r="I213" s="93" t="str">
        <f t="shared" si="21"/>
        <v/>
      </c>
      <c r="J213" s="82"/>
      <c r="K213" s="94" t="str">
        <f>IF(OR(D213="",E213=""),"",IF(J213="",G213,IF(D213="Buy",MROUND(MAX(E213*(1-Settings!$K$8),J213*(1-Settings!$K$6)),Settings!$K$10),MROUND(MIN(E213*(1+Settings!$K$8),J213*(1+Settings!$K$6)),Settings!$K$10))))</f>
        <v/>
      </c>
      <c r="L213" s="95" t="str">
        <f t="shared" si="22"/>
        <v/>
      </c>
      <c r="M213" s="82"/>
      <c r="N213" s="94" t="str">
        <f>IF(OR(D213="",E213=""),"",IF(M213="",H213,IF(D213="Buy",MROUND(MAX(E213*(1-Settings!$K$8),M213*(1-Settings!$K$6)),Settings!$K$10),MROUND(MIN(E213*(1+Settings!$K$8),M213*(1+Settings!$K$6)),Settings!$K$10))))</f>
        <v/>
      </c>
      <c r="O213" s="95" t="str">
        <f t="shared" si="23"/>
        <v/>
      </c>
      <c r="P213" s="82"/>
      <c r="Q213" s="94" t="str">
        <f>IF(OR(D213="",P213=""),"",IF(D213="Buy",MROUND(P213*(1-Settings!$K$6),Settings!$K$10),MROUND(P213*(1+Settings!$K$6),Settings!$K$10)))</f>
        <v/>
      </c>
      <c r="R213" s="95" t="str">
        <f t="shared" si="24"/>
        <v/>
      </c>
      <c r="S213" s="82"/>
      <c r="T213" s="94" t="str">
        <f>IF(OR(D213="",S213=""),"",IF(D213="Buy",MROUND(S213*(1-Settings!$K$6),Settings!$K$10),MROUND(S213*(1+Settings!$K$6),Settings!$K$10)))</f>
        <v/>
      </c>
      <c r="U213" s="67"/>
      <c r="V213" s="109" t="str">
        <f t="shared" si="25"/>
        <v/>
      </c>
      <c r="W213" s="110"/>
      <c r="X213" s="109" t="str">
        <f t="shared" si="26"/>
        <v/>
      </c>
      <c r="Y213" s="109" t="str">
        <f t="shared" si="27"/>
        <v/>
      </c>
      <c r="Z213" s="82"/>
    </row>
    <row r="214" spans="1:26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8" customHeight="1" spans="1:26">
      <c r="A216" s="123" t="s">
        <v>34</v>
      </c>
      <c r="B216" s="123" t="s">
        <v>34</v>
      </c>
      <c r="C216" s="123" t="s">
        <v>34</v>
      </c>
      <c r="D216" s="123" t="s">
        <v>34</v>
      </c>
      <c r="E216" s="123" t="s">
        <v>34</v>
      </c>
      <c r="F216" s="123" t="s">
        <v>34</v>
      </c>
      <c r="G216" s="123" t="s">
        <v>34</v>
      </c>
      <c r="H216" s="123" t="s">
        <v>34</v>
      </c>
      <c r="I216" s="123" t="s">
        <v>34</v>
      </c>
      <c r="J216" s="123" t="s">
        <v>34</v>
      </c>
      <c r="K216" s="123" t="s">
        <v>34</v>
      </c>
      <c r="L216" s="123" t="s">
        <v>34</v>
      </c>
      <c r="M216" s="123" t="s">
        <v>34</v>
      </c>
      <c r="N216" s="123" t="s">
        <v>34</v>
      </c>
      <c r="O216" s="123" t="s">
        <v>34</v>
      </c>
      <c r="P216" s="123" t="s">
        <v>34</v>
      </c>
      <c r="Q216" s="123" t="s">
        <v>34</v>
      </c>
      <c r="R216" s="123" t="s">
        <v>34</v>
      </c>
      <c r="S216" s="123" t="s">
        <v>34</v>
      </c>
      <c r="T216" s="123" t="s">
        <v>34</v>
      </c>
      <c r="U216" s="123" t="s">
        <v>34</v>
      </c>
      <c r="V216" s="123" t="s">
        <v>34</v>
      </c>
      <c r="W216" s="123" t="s">
        <v>34</v>
      </c>
      <c r="X216" s="123" t="s">
        <v>34</v>
      </c>
      <c r="Y216" s="123" t="s">
        <v>34</v>
      </c>
      <c r="Z216" s="126"/>
    </row>
    <row r="217" ht="18" customHeight="1" spans="1:26">
      <c r="A217" s="124" t="s">
        <v>35</v>
      </c>
      <c r="B217" s="124" t="s">
        <v>35</v>
      </c>
      <c r="C217" s="124" t="s">
        <v>35</v>
      </c>
      <c r="D217" s="124" t="s">
        <v>35</v>
      </c>
      <c r="E217" s="124" t="s">
        <v>35</v>
      </c>
      <c r="F217" s="124" t="s">
        <v>35</v>
      </c>
      <c r="G217" s="124" t="s">
        <v>35</v>
      </c>
      <c r="H217" s="124" t="s">
        <v>35</v>
      </c>
      <c r="I217" s="124" t="s">
        <v>35</v>
      </c>
      <c r="J217" s="124" t="s">
        <v>35</v>
      </c>
      <c r="K217" s="124" t="s">
        <v>35</v>
      </c>
      <c r="L217" s="124" t="s">
        <v>35</v>
      </c>
      <c r="M217" s="124" t="s">
        <v>35</v>
      </c>
      <c r="N217" s="124" t="s">
        <v>35</v>
      </c>
      <c r="O217" s="124" t="s">
        <v>35</v>
      </c>
      <c r="P217" s="124" t="s">
        <v>35</v>
      </c>
      <c r="Q217" s="124" t="s">
        <v>35</v>
      </c>
      <c r="R217" s="124" t="s">
        <v>35</v>
      </c>
      <c r="S217" s="124" t="s">
        <v>35</v>
      </c>
      <c r="T217" s="124" t="s">
        <v>35</v>
      </c>
      <c r="U217" s="124" t="s">
        <v>35</v>
      </c>
      <c r="V217" s="124" t="s">
        <v>35</v>
      </c>
      <c r="W217" s="124" t="s">
        <v>35</v>
      </c>
      <c r="X217" s="124" t="s">
        <v>35</v>
      </c>
      <c r="Y217" s="124" t="s">
        <v>35</v>
      </c>
      <c r="Z217" s="126"/>
    </row>
    <row r="218" ht="18" customHeight="1" spans="1:26">
      <c r="A218" s="124" t="s">
        <v>36</v>
      </c>
      <c r="B218" s="124" t="s">
        <v>36</v>
      </c>
      <c r="C218" s="124" t="s">
        <v>36</v>
      </c>
      <c r="D218" s="124" t="s">
        <v>36</v>
      </c>
      <c r="E218" s="124" t="s">
        <v>36</v>
      </c>
      <c r="F218" s="124" t="s">
        <v>36</v>
      </c>
      <c r="G218" s="124" t="s">
        <v>36</v>
      </c>
      <c r="H218" s="124" t="s">
        <v>36</v>
      </c>
      <c r="I218" s="124" t="s">
        <v>36</v>
      </c>
      <c r="J218" s="124" t="s">
        <v>36</v>
      </c>
      <c r="K218" s="124" t="s">
        <v>36</v>
      </c>
      <c r="L218" s="124" t="s">
        <v>36</v>
      </c>
      <c r="M218" s="124" t="s">
        <v>36</v>
      </c>
      <c r="N218" s="124" t="s">
        <v>36</v>
      </c>
      <c r="O218" s="124" t="s">
        <v>36</v>
      </c>
      <c r="P218" s="124" t="s">
        <v>36</v>
      </c>
      <c r="Q218" s="124" t="s">
        <v>36</v>
      </c>
      <c r="R218" s="124" t="s">
        <v>36</v>
      </c>
      <c r="S218" s="124" t="s">
        <v>36</v>
      </c>
      <c r="T218" s="124" t="s">
        <v>36</v>
      </c>
      <c r="U218" s="124" t="s">
        <v>36</v>
      </c>
      <c r="V218" s="124" t="s">
        <v>36</v>
      </c>
      <c r="W218" s="124" t="s">
        <v>36</v>
      </c>
      <c r="X218" s="124" t="s">
        <v>36</v>
      </c>
      <c r="Y218" s="124" t="s">
        <v>36</v>
      </c>
      <c r="Z218" s="126"/>
    </row>
    <row r="219" ht="18" customHeight="1" spans="1:26">
      <c r="A219" s="125" t="s">
        <v>37</v>
      </c>
      <c r="B219" s="125" t="s">
        <v>37</v>
      </c>
      <c r="C219" s="125" t="s">
        <v>37</v>
      </c>
      <c r="D219" s="125" t="s">
        <v>37</v>
      </c>
      <c r="E219" s="125" t="s">
        <v>37</v>
      </c>
      <c r="F219" s="125" t="s">
        <v>37</v>
      </c>
      <c r="G219" s="125" t="s">
        <v>37</v>
      </c>
      <c r="H219" s="125" t="s">
        <v>37</v>
      </c>
      <c r="I219" s="125" t="s">
        <v>37</v>
      </c>
      <c r="J219" s="125" t="s">
        <v>37</v>
      </c>
      <c r="K219" s="125" t="s">
        <v>37</v>
      </c>
      <c r="L219" s="125" t="s">
        <v>37</v>
      </c>
      <c r="M219" s="125" t="s">
        <v>37</v>
      </c>
      <c r="N219" s="125" t="s">
        <v>37</v>
      </c>
      <c r="O219" s="125" t="s">
        <v>37</v>
      </c>
      <c r="P219" s="125" t="s">
        <v>37</v>
      </c>
      <c r="Q219" s="125" t="s">
        <v>37</v>
      </c>
      <c r="R219" s="125" t="s">
        <v>37</v>
      </c>
      <c r="S219" s="125" t="s">
        <v>37</v>
      </c>
      <c r="T219" s="125" t="s">
        <v>37</v>
      </c>
      <c r="U219" s="125" t="s">
        <v>37</v>
      </c>
      <c r="V219" s="125" t="s">
        <v>37</v>
      </c>
      <c r="W219" s="125" t="s">
        <v>37</v>
      </c>
      <c r="X219" s="125" t="s">
        <v>37</v>
      </c>
      <c r="Y219" s="125" t="s">
        <v>37</v>
      </c>
      <c r="Z219" s="126"/>
    </row>
  </sheetData>
  <sheetProtection algorithmName="SHA-512" hashValue="3cVBfB9UW5gfkg6R1hO9ned3Tj2kfSIFsR1JvzR/pYDhjpZ/mrpQ5XxCvrsUOyGVeQxxW50DRFGCA34io2ccJQ==" saltValue="ZAjWRZOZ6MnJzxv2LOK3FA==" spinCount="100000" sheet="1" objects="1"/>
  <mergeCells count="29">
    <mergeCell ref="C1:W1"/>
    <mergeCell ref="C2:W2"/>
    <mergeCell ref="C3:W3"/>
    <mergeCell ref="A4:Z4"/>
    <mergeCell ref="F6:H6"/>
    <mergeCell ref="J6:L6"/>
    <mergeCell ref="A7:D7"/>
    <mergeCell ref="F7:G7"/>
    <mergeCell ref="J7:K7"/>
    <mergeCell ref="A8:B8"/>
    <mergeCell ref="C8:D8"/>
    <mergeCell ref="F8:G8"/>
    <mergeCell ref="J8:K8"/>
    <mergeCell ref="A9:B9"/>
    <mergeCell ref="C9:D9"/>
    <mergeCell ref="F9:G9"/>
    <mergeCell ref="J9:K9"/>
    <mergeCell ref="F10:G10"/>
    <mergeCell ref="J10:K10"/>
    <mergeCell ref="A12:H12"/>
    <mergeCell ref="I12:T12"/>
    <mergeCell ref="U12:X12"/>
    <mergeCell ref="Y12:Z12"/>
    <mergeCell ref="A216:Y216"/>
    <mergeCell ref="A217:Y217"/>
    <mergeCell ref="A218:Y218"/>
    <mergeCell ref="A219:Y219"/>
    <mergeCell ref="X1:Z3"/>
    <mergeCell ref="N5:Z9"/>
  </mergeCells>
  <conditionalFormatting sqref="D14:H213">
    <cfRule type="expression" dxfId="2" priority="1">
      <formula>$D14="Buy"</formula>
    </cfRule>
    <cfRule type="expression" dxfId="3" priority="2">
      <formula>$D14="Sell"</formula>
    </cfRule>
  </conditionalFormatting>
  <conditionalFormatting sqref="V14:Y213">
    <cfRule type="cellIs" dxfId="1" priority="3" operator="greaterThan">
      <formula>0</formula>
    </cfRule>
    <cfRule type="cellIs" dxfId="0" priority="4" operator="lessThan">
      <formula>0</formula>
    </cfRule>
  </conditionalFormatting>
  <dataValidations count="6">
    <dataValidation type="decimal" operator="greaterThan" sqref="H7 C9 E14:H213">
      <formula1>0</formula1>
    </dataValidation>
    <dataValidation type="list" sqref="C8">
      <formula1>Settings!$A$7:$A$16</formula1>
    </dataValidation>
    <dataValidation type="date" operator="greaterThan" sqref="B14:B213">
      <formula1>1</formula1>
    </dataValidation>
    <dataValidation type="list" sqref="D14:D213">
      <formula1>Settings!$C$7:$C$8</formula1>
    </dataValidation>
    <dataValidation type="list" sqref="U14:U213">
      <formula1>Settings!$F$7:$F$11</formula1>
    </dataValidation>
    <dataValidation type="list" sqref="W14:W213">
      <formula1>Settings!$G$7:$G$10</formula1>
    </dataValidation>
  </dataValidation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J52"/>
  <sheetViews>
    <sheetView showGridLines="0" workbookViewId="0">
      <pane ySplit="4" topLeftCell="A18" activePane="bottomLeft" state="frozen"/>
      <selection/>
      <selection pane="bottomLeft" activeCell="G35" sqref="G35:J35"/>
    </sheetView>
  </sheetViews>
  <sheetFormatPr defaultColWidth="9" defaultRowHeight="16.8"/>
  <cols>
    <col min="1" max="1" width="22" customWidth="1"/>
    <col min="2" max="2" width="20.1826923076923" customWidth="1"/>
    <col min="3" max="5" width="15" customWidth="1"/>
    <col min="6" max="6" width="22" customWidth="1"/>
    <col min="7" max="8" width="15" customWidth="1"/>
    <col min="9" max="10" width="14" customWidth="1"/>
  </cols>
  <sheetData>
    <row r="1" ht="23" customHeight="1" spans="1:10">
      <c r="A1" s="127" t="s">
        <v>0</v>
      </c>
      <c r="B1" s="127"/>
      <c r="C1" s="127"/>
      <c r="D1" s="127"/>
      <c r="E1" s="127"/>
      <c r="F1" s="127"/>
      <c r="G1" s="127"/>
      <c r="H1" s="113" t="s">
        <v>190</v>
      </c>
      <c r="I1" s="113" t="s">
        <v>38</v>
      </c>
      <c r="J1" s="113" t="s">
        <v>38</v>
      </c>
    </row>
    <row r="2" ht="21" customHeight="1" spans="1:10">
      <c r="A2" s="128" t="s">
        <v>2</v>
      </c>
      <c r="B2" s="128"/>
      <c r="C2" s="128"/>
      <c r="D2" s="128"/>
      <c r="E2" s="128"/>
      <c r="F2" s="128"/>
      <c r="G2" s="128"/>
      <c r="H2" s="113" t="s">
        <v>38</v>
      </c>
      <c r="I2" s="113" t="s">
        <v>38</v>
      </c>
      <c r="J2" s="113" t="s">
        <v>38</v>
      </c>
    </row>
    <row r="3" ht="23" customHeight="1" spans="1:10">
      <c r="A3" s="129" t="s">
        <v>39</v>
      </c>
      <c r="B3" s="129"/>
      <c r="C3" s="129"/>
      <c r="D3" s="129"/>
      <c r="E3" s="129"/>
      <c r="F3" s="129"/>
      <c r="G3" s="129"/>
      <c r="H3" s="113" t="s">
        <v>38</v>
      </c>
      <c r="I3" s="113" t="s">
        <v>38</v>
      </c>
      <c r="J3" s="113" t="s">
        <v>38</v>
      </c>
    </row>
    <row r="4" spans="1:10">
      <c r="A4" s="260" t="inlineStr">
        <is>
          <t xml:space="preserve">Licence Number: TSA-MURU-2419    |    Name: MURUGAN M    |    Mail ID: muruganm56789@gmail.com    |    Contact Number: 8610022419</t>
        </is>
      </c>
      <c r="B4" s="184"/>
      <c r="C4" s="184"/>
      <c r="D4" s="184"/>
      <c r="E4" s="184"/>
      <c r="F4" s="184"/>
      <c r="G4" s="184"/>
      <c r="H4" s="184"/>
      <c r="I4" s="184"/>
      <c r="J4" s="184"/>
    </row>
    <row r="5" spans="1:10">
      <c r="A5" s="185" t="s">
        <v>40</v>
      </c>
      <c r="B5" s="185" t="s">
        <v>40</v>
      </c>
      <c r="C5" s="185" t="s">
        <v>40</v>
      </c>
      <c r="D5" s="185" t="s">
        <v>40</v>
      </c>
      <c r="E5" s="48"/>
      <c r="F5" s="199"/>
      <c r="G5" s="199"/>
      <c r="H5" s="199"/>
      <c r="I5" s="199"/>
      <c r="J5" s="199"/>
    </row>
    <row r="6" spans="1:10">
      <c r="A6" s="186" t="s">
        <v>41</v>
      </c>
      <c r="B6" s="187">
        <v>46275</v>
      </c>
      <c r="C6" s="187"/>
      <c r="D6" s="187"/>
      <c r="E6" s="48"/>
      <c r="F6" s="200"/>
      <c r="G6" s="201"/>
      <c r="H6" s="201"/>
      <c r="I6" s="201"/>
      <c r="J6" s="201"/>
    </row>
    <row r="7" spans="1:10">
      <c r="A7" s="186" t="s">
        <v>42</v>
      </c>
      <c r="B7" s="188" t="s">
        <v>46</v>
      </c>
      <c r="C7" s="188"/>
      <c r="D7" s="188"/>
      <c r="E7" s="48"/>
      <c r="F7" s="200"/>
      <c r="G7" s="201"/>
      <c r="H7" s="201"/>
      <c r="I7" s="201"/>
      <c r="J7" s="201"/>
    </row>
    <row r="8" spans="1:10">
      <c r="A8" s="186" t="s">
        <v>44</v>
      </c>
      <c r="B8" s="187">
        <v>46300</v>
      </c>
      <c r="C8" s="187"/>
      <c r="D8" s="187"/>
      <c r="E8" s="48"/>
      <c r="F8" s="200"/>
      <c r="G8" s="201"/>
      <c r="H8" s="201"/>
      <c r="I8" s="201"/>
      <c r="J8" s="201"/>
    </row>
    <row r="9" spans="1:10">
      <c r="A9" s="186" t="s">
        <v>45</v>
      </c>
      <c r="B9" s="188" t="s">
        <v>191</v>
      </c>
      <c r="C9" s="188"/>
      <c r="D9" s="188"/>
      <c r="E9" s="48"/>
      <c r="F9" s="200"/>
      <c r="G9" s="202"/>
      <c r="H9" s="202"/>
      <c r="I9" s="202"/>
      <c r="J9" s="202"/>
    </row>
    <row r="10" spans="1:10">
      <c r="A10" s="186" t="s">
        <v>47</v>
      </c>
      <c r="B10" s="187">
        <v>46331</v>
      </c>
      <c r="C10" s="187"/>
      <c r="D10" s="187"/>
      <c r="E10" s="48"/>
      <c r="F10" s="200"/>
      <c r="G10" s="202"/>
      <c r="H10" s="202"/>
      <c r="I10" s="202"/>
      <c r="J10" s="202"/>
    </row>
    <row r="11" spans="1:10">
      <c r="A11" s="186" t="s">
        <v>48</v>
      </c>
      <c r="B11" s="189">
        <f>IF(B8="","",WORKDAY(B8,-Settings!$K$11))</f>
        <v>46287</v>
      </c>
      <c r="C11" s="189"/>
      <c r="D11" s="189"/>
      <c r="E11" s="48"/>
      <c r="F11" s="200"/>
      <c r="G11" s="203"/>
      <c r="H11" s="203"/>
      <c r="I11" s="203"/>
      <c r="J11" s="203"/>
    </row>
    <row r="12" spans="1:10">
      <c r="A12" s="186" t="s">
        <v>49</v>
      </c>
      <c r="B12" s="190" t="str">
        <f>IF(OR(B6="",B11=""),"",IF(B6&gt;=B11,B9,B7))</f>
        <v>OCT</v>
      </c>
      <c r="C12" s="190"/>
      <c r="D12" s="190"/>
      <c r="E12" s="48"/>
      <c r="F12" s="200"/>
      <c r="G12" s="203"/>
      <c r="H12" s="203"/>
      <c r="I12" s="203"/>
      <c r="J12" s="203"/>
    </row>
    <row r="13" ht="17.55" spans="1:10">
      <c r="A13" s="48"/>
      <c r="B13" s="48"/>
      <c r="C13" s="48"/>
      <c r="D13" s="48"/>
      <c r="E13" s="48"/>
      <c r="F13" s="48"/>
      <c r="G13" s="48"/>
      <c r="H13" s="48"/>
      <c r="I13" s="48"/>
      <c r="J13" s="48"/>
    </row>
    <row r="14" ht="17.55" spans="1:10">
      <c r="A14" s="61" t="s">
        <v>50</v>
      </c>
      <c r="B14" s="62" t="s">
        <v>50</v>
      </c>
      <c r="C14" s="62" t="s">
        <v>50</v>
      </c>
      <c r="D14" s="62" t="s">
        <v>50</v>
      </c>
      <c r="E14" s="62" t="s">
        <v>50</v>
      </c>
      <c r="F14" s="62" t="s">
        <v>50</v>
      </c>
      <c r="G14" s="62" t="s">
        <v>50</v>
      </c>
      <c r="H14" s="62" t="s">
        <v>50</v>
      </c>
      <c r="I14" s="62" t="s">
        <v>50</v>
      </c>
      <c r="J14" s="81" t="s">
        <v>50</v>
      </c>
    </row>
    <row r="15" spans="1:10">
      <c r="A15" s="48"/>
      <c r="B15" s="48"/>
      <c r="C15" s="48"/>
      <c r="D15" s="48"/>
      <c r="E15" s="48"/>
      <c r="F15" s="48"/>
      <c r="G15" s="48"/>
      <c r="H15" s="48"/>
      <c r="I15" s="48"/>
      <c r="J15" s="48"/>
    </row>
    <row r="16" spans="1:10">
      <c r="A16" s="63" t="s">
        <v>51</v>
      </c>
      <c r="B16" s="63" t="s">
        <v>52</v>
      </c>
      <c r="C16" s="63" t="s">
        <v>53</v>
      </c>
      <c r="D16" s="63" t="s">
        <v>54</v>
      </c>
      <c r="E16" s="48"/>
      <c r="F16" s="63" t="s">
        <v>55</v>
      </c>
      <c r="G16" s="63" t="s">
        <v>56</v>
      </c>
      <c r="H16" s="48"/>
      <c r="I16" s="208"/>
      <c r="J16" s="208"/>
    </row>
    <row r="17" spans="1:10">
      <c r="A17" s="191" t="s">
        <v>57</v>
      </c>
      <c r="B17" s="65">
        <v>46269</v>
      </c>
      <c r="C17" s="82">
        <v>155945</v>
      </c>
      <c r="D17" s="82">
        <v>151519</v>
      </c>
      <c r="E17" s="48"/>
      <c r="F17" s="204" t="s">
        <v>58</v>
      </c>
      <c r="G17" s="179">
        <f>IF(COUNT(C17:C20)&lt;4,"",MAX(C17:C20))</f>
        <v>155945</v>
      </c>
      <c r="H17" s="48"/>
      <c r="I17" s="208"/>
      <c r="J17" s="208"/>
    </row>
    <row r="18" spans="1:10">
      <c r="A18" s="191" t="s">
        <v>59</v>
      </c>
      <c r="B18" s="65">
        <v>46272</v>
      </c>
      <c r="C18" s="82">
        <v>153436</v>
      </c>
      <c r="D18" s="82">
        <v>152010</v>
      </c>
      <c r="E18" s="48"/>
      <c r="F18" s="204" t="s">
        <v>60</v>
      </c>
      <c r="G18" s="179">
        <f>IF(COUNT(D17:D20)&lt;4,"",MIN(D17:D20))</f>
        <v>151519</v>
      </c>
      <c r="H18" s="48"/>
      <c r="I18" s="208"/>
      <c r="J18" s="208"/>
    </row>
    <row r="19" spans="1:10">
      <c r="A19" s="191" t="s">
        <v>61</v>
      </c>
      <c r="B19" s="65">
        <v>46273</v>
      </c>
      <c r="C19" s="82">
        <v>154275</v>
      </c>
      <c r="D19" s="82">
        <v>152550</v>
      </c>
      <c r="E19" s="48"/>
      <c r="F19" s="204" t="s">
        <v>62</v>
      </c>
      <c r="G19" s="179">
        <f>IF(COUNT(C19:C20)&lt;2,"",MAX(C19:C20))</f>
        <v>154389</v>
      </c>
      <c r="H19" s="48"/>
      <c r="I19" s="208"/>
      <c r="J19" s="208"/>
    </row>
    <row r="20" spans="1:10">
      <c r="A20" s="191" t="s">
        <v>63</v>
      </c>
      <c r="B20" s="65">
        <v>46274</v>
      </c>
      <c r="C20" s="82">
        <v>154389</v>
      </c>
      <c r="D20" s="82">
        <v>152210</v>
      </c>
      <c r="E20" s="48"/>
      <c r="F20" s="204" t="s">
        <v>64</v>
      </c>
      <c r="G20" s="179">
        <f>IF(COUNT(D19:D20)&lt;2,"",MIN(D19:D20))</f>
        <v>152210</v>
      </c>
      <c r="H20" s="48"/>
      <c r="I20" s="208"/>
      <c r="J20" s="208"/>
    </row>
    <row r="21" ht="17.55" spans="1:10">
      <c r="A21" s="48"/>
      <c r="B21" s="48"/>
      <c r="C21" s="48"/>
      <c r="D21" s="48"/>
      <c r="E21" s="48"/>
      <c r="F21" s="48"/>
      <c r="G21" s="48"/>
      <c r="H21" s="48"/>
      <c r="I21" s="48"/>
      <c r="J21" s="48"/>
    </row>
    <row r="22" ht="17.55" spans="1:10">
      <c r="A22" s="106" t="s">
        <v>65</v>
      </c>
      <c r="B22" s="69" t="s">
        <v>65</v>
      </c>
      <c r="C22" s="69" t="s">
        <v>65</v>
      </c>
      <c r="D22" s="70" t="s">
        <v>65</v>
      </c>
      <c r="E22" s="48"/>
      <c r="F22" s="156" t="s">
        <v>66</v>
      </c>
      <c r="G22" s="205" t="s">
        <v>66</v>
      </c>
      <c r="H22" s="205" t="s">
        <v>66</v>
      </c>
      <c r="I22" s="205" t="s">
        <v>66</v>
      </c>
      <c r="J22" s="209" t="s">
        <v>66</v>
      </c>
    </row>
    <row r="23" spans="1:10">
      <c r="A23" s="192" t="s">
        <v>67</v>
      </c>
      <c r="B23" s="193">
        <f>IF(G17="","",G17*(1+Settings!$K$6))</f>
        <v>156132.134</v>
      </c>
      <c r="C23" s="193"/>
      <c r="D23" s="193"/>
      <c r="E23" s="48"/>
      <c r="F23" s="206" t="s">
        <v>67</v>
      </c>
      <c r="G23" s="207">
        <f>IF(G18="","",G18*(1-Settings!$K$6))</f>
        <v>151337.1772</v>
      </c>
      <c r="H23" s="207"/>
      <c r="I23" s="207"/>
      <c r="J23" s="207"/>
    </row>
    <row r="24" spans="1:10">
      <c r="A24" s="192" t="s">
        <v>68</v>
      </c>
      <c r="B24" s="193">
        <f>IF(B23="","",B23*(1+Settings!$K$7))</f>
        <v>158474.11601</v>
      </c>
      <c r="C24" s="193"/>
      <c r="D24" s="193"/>
      <c r="E24" s="48"/>
      <c r="F24" s="206" t="s">
        <v>68</v>
      </c>
      <c r="G24" s="207">
        <f>IF(G23="","",G23*(1-Settings!$K$7))</f>
        <v>149067.119542</v>
      </c>
      <c r="H24" s="207"/>
      <c r="I24" s="207"/>
      <c r="J24" s="207"/>
    </row>
    <row r="25" spans="1:10">
      <c r="A25" s="192" t="s">
        <v>69</v>
      </c>
      <c r="B25" s="193">
        <f>IF(OR(B23="",G20=""),"",MAX(B23*(1-Settings!$K$8),G20*(1-Settings!$K$6)))</f>
        <v>153790.15199</v>
      </c>
      <c r="C25" s="193"/>
      <c r="D25" s="193"/>
      <c r="E25" s="48"/>
      <c r="F25" s="206" t="s">
        <v>69</v>
      </c>
      <c r="G25" s="207">
        <f>IF(OR(G23="",G19=""),"",MIN(G23*(1+Settings!$K$8),G19*(1+Settings!$K$6)))</f>
        <v>153607.234858</v>
      </c>
      <c r="H25" s="207"/>
      <c r="I25" s="207"/>
      <c r="J25" s="207"/>
    </row>
    <row r="26" spans="1:10">
      <c r="A26" s="192" t="s">
        <v>70</v>
      </c>
      <c r="B26" s="193">
        <f>IF(OR(B23="",G18=""),"",MAX(B23*(1-Settings!$K$8),G18*(1-Settings!$K$6)))</f>
        <v>153790.15199</v>
      </c>
      <c r="C26" s="193"/>
      <c r="D26" s="193"/>
      <c r="E26" s="48"/>
      <c r="F26" s="206" t="s">
        <v>70</v>
      </c>
      <c r="G26" s="207">
        <f>IF(OR(G23="",G17=""),"",MIN(G23*(1+Settings!$K$8),G17*(1+Settings!$K$6)))</f>
        <v>153607.234858</v>
      </c>
      <c r="H26" s="207"/>
      <c r="I26" s="207"/>
      <c r="J26" s="207"/>
    </row>
    <row r="27" spans="1:10">
      <c r="A27" s="48"/>
      <c r="B27" s="48"/>
      <c r="C27" s="48"/>
      <c r="D27" s="48"/>
      <c r="E27" s="48"/>
      <c r="F27" s="48"/>
      <c r="G27" s="48"/>
      <c r="H27" s="48"/>
      <c r="I27" s="48"/>
      <c r="J27" s="48"/>
    </row>
    <row r="28" ht="17.55" spans="1:10">
      <c r="A28" s="48"/>
      <c r="B28" s="48"/>
      <c r="C28" s="48"/>
      <c r="D28" s="48"/>
      <c r="E28" s="48"/>
      <c r="F28" s="48"/>
      <c r="G28" s="48"/>
      <c r="H28" s="48"/>
      <c r="I28" s="48"/>
      <c r="J28" s="48"/>
    </row>
    <row r="29" ht="17.55" spans="1:10">
      <c r="A29" s="61" t="s">
        <v>71</v>
      </c>
      <c r="B29" s="62" t="s">
        <v>71</v>
      </c>
      <c r="C29" s="62" t="s">
        <v>71</v>
      </c>
      <c r="D29" s="62" t="s">
        <v>71</v>
      </c>
      <c r="E29" s="62" t="s">
        <v>71</v>
      </c>
      <c r="F29" s="62" t="s">
        <v>71</v>
      </c>
      <c r="G29" s="62" t="s">
        <v>71</v>
      </c>
      <c r="H29" s="81" t="s">
        <v>71</v>
      </c>
      <c r="I29" s="48"/>
      <c r="J29" s="48"/>
    </row>
    <row r="30" spans="1:10">
      <c r="A30" s="63" t="s">
        <v>72</v>
      </c>
      <c r="B30" s="63" t="s">
        <v>73</v>
      </c>
      <c r="C30" s="63" t="s">
        <v>74</v>
      </c>
      <c r="D30" s="63" t="s">
        <v>75</v>
      </c>
      <c r="E30" s="63" t="s">
        <v>67</v>
      </c>
      <c r="F30" s="63" t="s">
        <v>68</v>
      </c>
      <c r="G30" s="63" t="s">
        <v>69</v>
      </c>
      <c r="H30" s="63" t="s">
        <v>70</v>
      </c>
      <c r="I30" s="48"/>
      <c r="J30" s="48"/>
    </row>
    <row r="31" spans="1:10">
      <c r="A31" s="142" t="s">
        <v>76</v>
      </c>
      <c r="B31" s="194">
        <f>IF(B6="","",B6)</f>
        <v>46275</v>
      </c>
      <c r="C31" s="142" t="str">
        <f>IF(B12="","",B12)</f>
        <v>OCT</v>
      </c>
      <c r="D31" s="142" t="s">
        <v>77</v>
      </c>
      <c r="E31" s="143">
        <f>B23</f>
        <v>156132.134</v>
      </c>
      <c r="F31" s="143">
        <f>B24</f>
        <v>158474.11601</v>
      </c>
      <c r="G31" s="143">
        <f>B25</f>
        <v>153790.15199</v>
      </c>
      <c r="H31" s="143">
        <f>B26</f>
        <v>153790.15199</v>
      </c>
      <c r="I31" s="48"/>
      <c r="J31" s="48"/>
    </row>
    <row r="32" ht="17.55" spans="1:10">
      <c r="A32" s="142" t="s">
        <v>78</v>
      </c>
      <c r="B32" s="194">
        <f>IF(B6="","",B6)</f>
        <v>46275</v>
      </c>
      <c r="C32" s="142" t="str">
        <f>IF(B12="","",B12)</f>
        <v>OCT</v>
      </c>
      <c r="D32" s="142" t="s">
        <v>79</v>
      </c>
      <c r="E32" s="143">
        <f>G23</f>
        <v>151337.1772</v>
      </c>
      <c r="F32" s="143">
        <f>G24</f>
        <v>149067.119542</v>
      </c>
      <c r="G32" s="143">
        <f>G25</f>
        <v>153607.234858</v>
      </c>
      <c r="H32" s="143">
        <f>G26</f>
        <v>153607.234858</v>
      </c>
      <c r="I32" s="48"/>
      <c r="J32" s="48"/>
    </row>
    <row r="33" ht="17.55" spans="1:10">
      <c r="A33" s="61" t="s">
        <v>80</v>
      </c>
      <c r="B33" s="62" t="s">
        <v>80</v>
      </c>
      <c r="C33" s="62" t="s">
        <v>80</v>
      </c>
      <c r="D33" s="62" t="s">
        <v>80</v>
      </c>
      <c r="E33" s="62" t="s">
        <v>80</v>
      </c>
      <c r="F33" s="62" t="s">
        <v>80</v>
      </c>
      <c r="G33" s="62" t="s">
        <v>80</v>
      </c>
      <c r="H33" s="62" t="s">
        <v>80</v>
      </c>
      <c r="I33" s="62" t="s">
        <v>80</v>
      </c>
      <c r="J33" s="81" t="s">
        <v>80</v>
      </c>
    </row>
    <row r="34" ht="17.55" spans="1:10">
      <c r="A34" s="106" t="s">
        <v>81</v>
      </c>
      <c r="B34" s="69" t="s">
        <v>81</v>
      </c>
      <c r="C34" s="69" t="s">
        <v>81</v>
      </c>
      <c r="D34" s="70" t="s">
        <v>81</v>
      </c>
      <c r="E34" s="48"/>
      <c r="F34" s="156" t="s">
        <v>82</v>
      </c>
      <c r="G34" s="205" t="s">
        <v>82</v>
      </c>
      <c r="H34" s="205" t="s">
        <v>82</v>
      </c>
      <c r="I34" s="205" t="s">
        <v>82</v>
      </c>
      <c r="J34" s="209" t="s">
        <v>82</v>
      </c>
    </row>
    <row r="35" spans="1:10">
      <c r="A35" s="192" t="s">
        <v>83</v>
      </c>
      <c r="B35" s="195">
        <v>150862</v>
      </c>
      <c r="C35" s="195"/>
      <c r="D35" s="195"/>
      <c r="E35" s="48"/>
      <c r="F35" s="206" t="s">
        <v>84</v>
      </c>
      <c r="G35" s="195"/>
      <c r="H35" s="195"/>
      <c r="I35" s="195"/>
      <c r="J35" s="195"/>
    </row>
    <row r="36" spans="1:10">
      <c r="A36" s="192" t="s">
        <v>67</v>
      </c>
      <c r="B36" s="193">
        <f>IF(B35="","",B35*(1+Settings!$K$6))</f>
        <v>151043.0344</v>
      </c>
      <c r="C36" s="193"/>
      <c r="D36" s="193"/>
      <c r="E36" s="48"/>
      <c r="F36" s="206" t="s">
        <v>67</v>
      </c>
      <c r="G36" s="207" t="str">
        <f>IF(G35="","",G35*(1-Settings!$K$6))</f>
        <v/>
      </c>
      <c r="H36" s="207"/>
      <c r="I36" s="207"/>
      <c r="J36" s="207"/>
    </row>
    <row r="37" spans="1:10">
      <c r="A37" s="192" t="s">
        <v>68</v>
      </c>
      <c r="B37" s="193">
        <f>IF(B36="","",B36*(1+Settings!$K$7))</f>
        <v>153308.679916</v>
      </c>
      <c r="C37" s="193"/>
      <c r="D37" s="193"/>
      <c r="E37" s="48"/>
      <c r="F37" s="206" t="s">
        <v>68</v>
      </c>
      <c r="G37" s="207" t="str">
        <f>IF(G36="","",G36*(1-Settings!$K$7))</f>
        <v/>
      </c>
      <c r="H37" s="207"/>
      <c r="I37" s="207"/>
      <c r="J37" s="207"/>
    </row>
    <row r="38" spans="1:10">
      <c r="A38" s="192" t="s">
        <v>69</v>
      </c>
      <c r="B38" s="193">
        <f>IF(OR(B35="",G20=""),"",MAX(B36*(1-Settings!$K$8),G20*(1-Settings!$K$6)))</f>
        <v>152027.348</v>
      </c>
      <c r="C38" s="193"/>
      <c r="D38" s="193"/>
      <c r="E38" s="48"/>
      <c r="F38" s="206" t="s">
        <v>69</v>
      </c>
      <c r="G38" s="207" t="str">
        <f>IF(OR(G35="",G19=""),"",MIN(G36*(1+Settings!$K$8),G19*(1+Settings!$K$6)))</f>
        <v/>
      </c>
      <c r="H38" s="207"/>
      <c r="I38" s="207"/>
      <c r="J38" s="207"/>
    </row>
    <row r="39" spans="1:10">
      <c r="A39" s="192" t="s">
        <v>70</v>
      </c>
      <c r="B39" s="193">
        <f>IF(OR(B35="",G18=""),"",MAX(B36*(1-Settings!$K$8),G18*(1-Settings!$K$6)))</f>
        <v>151337.1772</v>
      </c>
      <c r="C39" s="193"/>
      <c r="D39" s="193"/>
      <c r="E39" s="48"/>
      <c r="F39" s="206" t="s">
        <v>70</v>
      </c>
      <c r="G39" s="207" t="str">
        <f>IF(OR(G35="",G17=""),"",MIN(G36*(1+Settings!$K$8),G17*(1+Settings!$K$6)))</f>
        <v/>
      </c>
      <c r="H39" s="207"/>
      <c r="I39" s="207"/>
      <c r="J39" s="207"/>
    </row>
    <row r="40" ht="17.55" spans="1:10">
      <c r="A40" s="48"/>
      <c r="B40" s="48"/>
      <c r="C40" s="48"/>
      <c r="D40" s="48"/>
      <c r="E40" s="48"/>
      <c r="F40" s="48"/>
      <c r="G40" s="48"/>
      <c r="H40" s="48"/>
      <c r="I40" s="48"/>
      <c r="J40" s="48"/>
    </row>
    <row r="41" ht="17.55" spans="1:10">
      <c r="A41" s="61" t="s">
        <v>85</v>
      </c>
      <c r="B41" s="62" t="s">
        <v>85</v>
      </c>
      <c r="C41" s="62" t="s">
        <v>85</v>
      </c>
      <c r="D41" s="62" t="s">
        <v>85</v>
      </c>
      <c r="E41" s="62" t="s">
        <v>85</v>
      </c>
      <c r="F41" s="62" t="s">
        <v>85</v>
      </c>
      <c r="G41" s="62" t="s">
        <v>85</v>
      </c>
      <c r="H41" s="81" t="s">
        <v>85</v>
      </c>
      <c r="I41" s="48"/>
      <c r="J41" s="48"/>
    </row>
    <row r="42" spans="1:10">
      <c r="A42" s="196" t="s">
        <v>86</v>
      </c>
      <c r="B42" s="196" t="s">
        <v>86</v>
      </c>
      <c r="C42" s="196" t="s">
        <v>86</v>
      </c>
      <c r="D42" s="196" t="s">
        <v>86</v>
      </c>
      <c r="E42" s="196" t="s">
        <v>86</v>
      </c>
      <c r="F42" s="196" t="s">
        <v>86</v>
      </c>
      <c r="G42" s="196" t="s">
        <v>86</v>
      </c>
      <c r="H42" s="196" t="s">
        <v>86</v>
      </c>
      <c r="I42" s="48"/>
      <c r="J42" s="48"/>
    </row>
    <row r="43" spans="1:10">
      <c r="A43" s="63" t="s">
        <v>72</v>
      </c>
      <c r="B43" s="63" t="s">
        <v>73</v>
      </c>
      <c r="C43" s="63" t="s">
        <v>74</v>
      </c>
      <c r="D43" s="63" t="s">
        <v>75</v>
      </c>
      <c r="E43" s="63" t="s">
        <v>67</v>
      </c>
      <c r="F43" s="63" t="s">
        <v>68</v>
      </c>
      <c r="G43" s="63" t="s">
        <v>69</v>
      </c>
      <c r="H43" s="63" t="s">
        <v>70</v>
      </c>
      <c r="I43" s="48"/>
      <c r="J43" s="48"/>
    </row>
    <row r="44" spans="1:10">
      <c r="A44" s="142" t="s">
        <v>87</v>
      </c>
      <c r="B44" s="194">
        <f>IF(B6="","",B6)</f>
        <v>46275</v>
      </c>
      <c r="C44" s="142" t="str">
        <f>IF(B12="","",B12)</f>
        <v>OCT</v>
      </c>
      <c r="D44" s="142" t="s">
        <v>77</v>
      </c>
      <c r="E44" s="143">
        <f>IF(B35="","",B36)</f>
        <v>151043.0344</v>
      </c>
      <c r="F44" s="143">
        <f>IF(B35="","",B37)</f>
        <v>153308.679916</v>
      </c>
      <c r="G44" s="143">
        <f>IF(B35="","",B38)</f>
        <v>152027.348</v>
      </c>
      <c r="H44" s="143">
        <f>IF(B35="","",B39)</f>
        <v>151337.1772</v>
      </c>
      <c r="I44" s="48"/>
      <c r="J44" s="48"/>
    </row>
    <row r="45" spans="1:10">
      <c r="A45" s="142" t="s">
        <v>88</v>
      </c>
      <c r="B45" s="194">
        <f>IF(B6="","",B6)</f>
        <v>46275</v>
      </c>
      <c r="C45" s="142" t="str">
        <f>IF(B12="","",B12)</f>
        <v>OCT</v>
      </c>
      <c r="D45" s="142" t="s">
        <v>79</v>
      </c>
      <c r="E45" s="143" t="str">
        <f>IF(G35="","",G36)</f>
        <v/>
      </c>
      <c r="F45" s="143" t="str">
        <f>IF(G35="","",G37)</f>
        <v/>
      </c>
      <c r="G45" s="143" t="str">
        <f>IF(G35="","",G38)</f>
        <v/>
      </c>
      <c r="H45" s="143" t="str">
        <f>IF(G35="","",G39)</f>
        <v/>
      </c>
      <c r="I45" s="48"/>
      <c r="J45" s="48"/>
    </row>
    <row r="46" spans="1:10">
      <c r="A46" s="48"/>
      <c r="B46" s="48"/>
      <c r="C46" s="48"/>
      <c r="D46" s="48"/>
      <c r="E46" s="48"/>
      <c r="F46" s="48"/>
      <c r="G46" s="48"/>
      <c r="H46" s="48"/>
      <c r="I46" s="48"/>
      <c r="J46" s="48"/>
    </row>
    <row r="47" spans="1:10">
      <c r="A47" s="197" t="s">
        <v>89</v>
      </c>
      <c r="B47" s="198" t="s">
        <v>89</v>
      </c>
      <c r="C47" s="198" t="s">
        <v>89</v>
      </c>
      <c r="D47" s="198" t="s">
        <v>89</v>
      </c>
      <c r="E47" s="198" t="s">
        <v>89</v>
      </c>
      <c r="F47" s="198" t="s">
        <v>89</v>
      </c>
      <c r="G47" s="198" t="s">
        <v>89</v>
      </c>
      <c r="H47" s="198" t="s">
        <v>89</v>
      </c>
      <c r="I47" s="198" t="s">
        <v>89</v>
      </c>
      <c r="J47" s="210" t="s">
        <v>89</v>
      </c>
    </row>
    <row r="48" spans="1:10">
      <c r="A48" s="48"/>
      <c r="B48" s="48"/>
      <c r="C48" s="48"/>
      <c r="D48" s="48"/>
      <c r="E48" s="48"/>
      <c r="F48" s="48"/>
      <c r="G48" s="48"/>
      <c r="H48" s="48"/>
      <c r="I48" s="48"/>
      <c r="J48" s="48"/>
    </row>
    <row r="49" ht="18" customHeight="1" spans="1:10">
      <c r="A49" s="164" t="s">
        <v>34</v>
      </c>
      <c r="B49" s="164"/>
      <c r="C49" s="164"/>
      <c r="D49" s="164"/>
      <c r="E49" s="164"/>
      <c r="F49" s="164"/>
      <c r="G49" s="164"/>
      <c r="H49" s="164"/>
      <c r="I49" s="164"/>
      <c r="J49" s="164"/>
    </row>
    <row r="50" ht="18" customHeight="1" spans="1:10">
      <c r="A50" s="165" t="s">
        <v>35</v>
      </c>
      <c r="B50" s="165"/>
      <c r="C50" s="165"/>
      <c r="D50" s="165"/>
      <c r="E50" s="165"/>
      <c r="F50" s="165"/>
      <c r="G50" s="165"/>
      <c r="H50" s="165"/>
      <c r="I50" s="165"/>
      <c r="J50" s="165"/>
    </row>
    <row r="51" ht="18" customHeight="1" spans="1:10">
      <c r="A51" s="165" t="s">
        <v>36</v>
      </c>
      <c r="B51" s="165"/>
      <c r="C51" s="165"/>
      <c r="D51" s="165"/>
      <c r="E51" s="165"/>
      <c r="F51" s="165"/>
      <c r="G51" s="165"/>
      <c r="H51" s="165"/>
      <c r="I51" s="165"/>
      <c r="J51" s="165"/>
    </row>
    <row r="52" ht="18" customHeight="1" spans="1:10">
      <c r="A52" s="166" t="s">
        <v>37</v>
      </c>
      <c r="B52" s="166"/>
      <c r="C52" s="166"/>
      <c r="D52" s="166"/>
      <c r="E52" s="166"/>
      <c r="F52" s="166"/>
      <c r="G52" s="166"/>
      <c r="H52" s="166"/>
      <c r="I52" s="166"/>
      <c r="J52" s="166"/>
    </row>
  </sheetData>
  <sheetProtection algorithmName="SHA-512" hashValue="rs3OPewtrQTYxH3NmSfTXsRMgx3d+niyQPZgirQk9trSazjl70C80dPYgi29gKTieR60XfCW4GVc9bwAhJ0SPQ==" saltValue="d+7iQ9PdSsKe1lIcjyguEw==" spinCount="100000" sheet="1" objects="1"/>
  <mergeCells count="45">
    <mergeCell ref="A1:G1"/>
    <mergeCell ref="A2:G2"/>
    <mergeCell ref="A3:G3"/>
    <mergeCell ref="A4:J4"/>
    <mergeCell ref="A5:D5"/>
    <mergeCell ref="B6:D6"/>
    <mergeCell ref="B7:D7"/>
    <mergeCell ref="B8:D8"/>
    <mergeCell ref="B9:D9"/>
    <mergeCell ref="B10:D10"/>
    <mergeCell ref="B11:D11"/>
    <mergeCell ref="B12:D12"/>
    <mergeCell ref="A14:J14"/>
    <mergeCell ref="A22:D22"/>
    <mergeCell ref="F22:J22"/>
    <mergeCell ref="B23:D23"/>
    <mergeCell ref="G23:J23"/>
    <mergeCell ref="B24:D24"/>
    <mergeCell ref="G24:J24"/>
    <mergeCell ref="B25:D25"/>
    <mergeCell ref="G25:J25"/>
    <mergeCell ref="B26:D26"/>
    <mergeCell ref="G26:J26"/>
    <mergeCell ref="A29:H29"/>
    <mergeCell ref="A33:J33"/>
    <mergeCell ref="A34:D34"/>
    <mergeCell ref="F34:J34"/>
    <mergeCell ref="B35:D35"/>
    <mergeCell ref="G35:J35"/>
    <mergeCell ref="B36:D36"/>
    <mergeCell ref="G36:J36"/>
    <mergeCell ref="B37:D37"/>
    <mergeCell ref="G37:J37"/>
    <mergeCell ref="B38:D38"/>
    <mergeCell ref="G38:J38"/>
    <mergeCell ref="B39:D39"/>
    <mergeCell ref="G39:J39"/>
    <mergeCell ref="A41:H41"/>
    <mergeCell ref="A42:H42"/>
    <mergeCell ref="A47:J47"/>
    <mergeCell ref="A49:J49"/>
    <mergeCell ref="A50:J50"/>
    <mergeCell ref="A51:J51"/>
    <mergeCell ref="A52:J52"/>
    <mergeCell ref="H1:J3"/>
  </mergeCells>
  <dataValidations count="2">
    <dataValidation type="date" operator="greaterThan" sqref="B6 B8 B10 B17:B20">
      <formula1>1</formula1>
    </dataValidation>
    <dataValidation type="decimal" operator="greaterThan" sqref="B35 G35 C17:D20">
      <formula1>0</formula1>
    </dataValidation>
  </dataValidations>
  <pageMargins left="0.7" right="0.7" top="0.75" bottom="0.75" header="0.3" footer="0.3"/>
  <headerFooter/>
  <ignoredErrors>
    <ignoredError sqref="G19:G20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I56"/>
  <sheetViews>
    <sheetView showGridLines="0" workbookViewId="0">
      <pane ySplit="4" topLeftCell="A5" activePane="bottomLeft" state="frozen"/>
      <selection/>
      <selection pane="bottomLeft" activeCell="A21" sqref="A21:A22"/>
    </sheetView>
  </sheetViews>
  <sheetFormatPr defaultColWidth="9" defaultRowHeight="16.8"/>
  <cols>
    <col min="1" max="1" width="23" customWidth="1"/>
    <col min="2" max="2" width="22.2692307692308" customWidth="1"/>
    <col min="3" max="3" width="22" customWidth="1"/>
    <col min="4" max="4" width="22.5865384615385" customWidth="1"/>
    <col min="5" max="5" width="24.8365384615385" customWidth="1"/>
    <col min="6" max="6" width="34" customWidth="1"/>
    <col min="7" max="7" width="27.0769230769231" customWidth="1"/>
    <col min="8" max="8" width="19.8653846153846" customWidth="1"/>
    <col min="9" max="9" width="29.0096153846154" customWidth="1"/>
  </cols>
  <sheetData>
    <row r="1" ht="23" customHeight="1" spans="1:9">
      <c r="A1" s="127" t="s">
        <v>0</v>
      </c>
      <c r="B1" s="127"/>
      <c r="C1" s="127"/>
      <c r="D1" s="127"/>
      <c r="E1" s="127"/>
      <c r="F1" s="127"/>
      <c r="G1" s="113" t="s">
        <v>192</v>
      </c>
      <c r="H1" s="113" t="s">
        <v>90</v>
      </c>
      <c r="I1" s="113" t="s">
        <v>90</v>
      </c>
    </row>
    <row r="2" ht="21" customHeight="1" spans="1:9">
      <c r="A2" s="128" t="s">
        <v>2</v>
      </c>
      <c r="B2" s="128"/>
      <c r="C2" s="128"/>
      <c r="D2" s="128"/>
      <c r="E2" s="128"/>
      <c r="F2" s="128"/>
      <c r="G2" s="113" t="s">
        <v>90</v>
      </c>
      <c r="H2" s="113" t="s">
        <v>90</v>
      </c>
      <c r="I2" s="113" t="s">
        <v>90</v>
      </c>
    </row>
    <row r="3" ht="23" customHeight="1" spans="1:9">
      <c r="A3" s="129" t="s">
        <v>91</v>
      </c>
      <c r="B3" s="129"/>
      <c r="C3" s="129"/>
      <c r="D3" s="129"/>
      <c r="E3" s="129"/>
      <c r="F3" s="129"/>
      <c r="G3" s="113" t="s">
        <v>90</v>
      </c>
      <c r="H3" s="113" t="s">
        <v>90</v>
      </c>
      <c r="I3" s="113" t="s">
        <v>90</v>
      </c>
    </row>
    <row r="4" ht="17.55" spans="1:9">
      <c r="A4" s="261" t="inlineStr">
        <is>
          <t xml:space="preserve">Licence Number: TSA-MURU-2419    |    Name: MURUGAN M    |    Mail ID: muruganm56789@gmail.com    |    Contact Number: 8610022419</t>
        </is>
      </c>
      <c r="B4" s="130"/>
      <c r="C4" s="130"/>
      <c r="D4" s="130"/>
      <c r="E4" s="130"/>
      <c r="F4" s="130"/>
      <c r="G4" s="130"/>
      <c r="H4" s="130"/>
      <c r="I4" s="130"/>
    </row>
    <row r="5" ht="17.55" spans="1:9">
      <c r="A5" s="131" t="s">
        <v>92</v>
      </c>
      <c r="B5" s="132">
        <v>10</v>
      </c>
      <c r="C5" s="48"/>
      <c r="D5" s="49"/>
      <c r="E5" s="49"/>
      <c r="F5" s="48"/>
      <c r="G5" s="48"/>
      <c r="H5" s="48"/>
      <c r="I5" s="48"/>
    </row>
    <row r="6" spans="1:9">
      <c r="A6" s="133" t="s">
        <v>93</v>
      </c>
      <c r="B6" s="134">
        <v>150312</v>
      </c>
      <c r="C6" s="48"/>
      <c r="D6" s="49"/>
      <c r="E6" s="131" t="s">
        <v>18</v>
      </c>
      <c r="F6" s="167" t="s">
        <v>5</v>
      </c>
      <c r="G6" s="48"/>
      <c r="H6" s="48"/>
      <c r="I6" s="48"/>
    </row>
    <row r="7" spans="1:9">
      <c r="A7" s="133" t="s">
        <v>94</v>
      </c>
      <c r="B7" s="134">
        <v>151563</v>
      </c>
      <c r="C7" s="48"/>
      <c r="D7" s="49"/>
      <c r="E7" s="133" t="s">
        <v>19</v>
      </c>
      <c r="F7" s="168" t="str">
        <f>IF('GOLDM Calculation'!$B$12="","",'GOLDM Calculation'!$B$12)</f>
        <v>OCT</v>
      </c>
      <c r="G7" s="48"/>
      <c r="H7" s="48"/>
      <c r="I7" s="48"/>
    </row>
    <row r="8" ht="17.55" spans="1:9">
      <c r="A8" s="133" t="s">
        <v>96</v>
      </c>
      <c r="B8" s="134">
        <v>148800</v>
      </c>
      <c r="C8" s="48"/>
      <c r="D8" s="49"/>
      <c r="E8" s="133" t="s">
        <v>95</v>
      </c>
      <c r="F8" s="169">
        <f>IF('GOLDM Calculation'!$B$6="","",'GOLDM Calculation'!$B$6)</f>
        <v>46275</v>
      </c>
      <c r="G8" s="48"/>
      <c r="H8" s="48"/>
      <c r="I8" s="48"/>
    </row>
    <row r="9" ht="17.55" spans="1:9">
      <c r="A9" s="135" t="s">
        <v>22</v>
      </c>
      <c r="B9" s="136" t="s">
        <v>98</v>
      </c>
      <c r="C9" s="137" t="s">
        <v>100</v>
      </c>
      <c r="D9" s="49"/>
      <c r="E9" s="170" t="s">
        <v>97</v>
      </c>
      <c r="F9" s="171" t="str">
        <f>IF(COUNT(B6:B8)=3,"READY","INPUT REQUIRED")</f>
        <v>READY</v>
      </c>
      <c r="G9" s="48"/>
      <c r="H9" s="48"/>
      <c r="I9" s="48"/>
    </row>
    <row r="10" ht="17.55" spans="1:9">
      <c r="A10" s="138" t="s">
        <v>24</v>
      </c>
      <c r="B10" s="139" t="s">
        <v>99</v>
      </c>
      <c r="C10" s="140" t="s">
        <v>193</v>
      </c>
      <c r="D10" s="141"/>
      <c r="E10" s="172"/>
      <c r="F10" s="48"/>
      <c r="G10" s="48"/>
      <c r="H10" s="48"/>
      <c r="I10" s="48"/>
    </row>
    <row r="11" ht="17.55" spans="1:9">
      <c r="A11" s="48"/>
      <c r="B11" s="48"/>
      <c r="C11" s="48"/>
      <c r="D11" s="48"/>
      <c r="E11" s="48"/>
      <c r="F11" s="48"/>
      <c r="G11" s="48"/>
      <c r="H11" s="48"/>
      <c r="I11" s="48"/>
    </row>
    <row r="12" ht="17.55" spans="1:9">
      <c r="A12" s="61" t="s">
        <v>101</v>
      </c>
      <c r="B12" s="62" t="s">
        <v>101</v>
      </c>
      <c r="C12" s="62" t="s">
        <v>101</v>
      </c>
      <c r="D12" s="62" t="s">
        <v>101</v>
      </c>
      <c r="E12" s="62" t="s">
        <v>101</v>
      </c>
      <c r="F12" s="62" t="s">
        <v>101</v>
      </c>
      <c r="G12" s="62" t="s">
        <v>101</v>
      </c>
      <c r="H12" s="62" t="s">
        <v>101</v>
      </c>
      <c r="I12" s="81" t="s">
        <v>101</v>
      </c>
    </row>
    <row r="13" spans="1:9">
      <c r="A13" s="63" t="s">
        <v>72</v>
      </c>
      <c r="B13" s="63" t="s">
        <v>67</v>
      </c>
      <c r="C13" s="63" t="s">
        <v>68</v>
      </c>
      <c r="D13" s="63" t="s">
        <v>102</v>
      </c>
      <c r="E13" s="63" t="s">
        <v>103</v>
      </c>
      <c r="F13" s="63" t="s">
        <v>104</v>
      </c>
      <c r="G13" s="48"/>
      <c r="H13" s="48"/>
      <c r="I13" s="48"/>
    </row>
    <row r="14" spans="1:9">
      <c r="A14" s="142" t="s">
        <v>105</v>
      </c>
      <c r="B14" s="143">
        <f>IF(COUNT('GOLDM Calculation'!$G$17)=0,"",'GOLDM Calculation'!$B$23)</f>
        <v>156132.134</v>
      </c>
      <c r="C14" s="143">
        <f>IF(COUNT('GOLDM Calculation'!$G$17)=0,"",'GOLDM Calculation'!$B$24)</f>
        <v>158474.11601</v>
      </c>
      <c r="D14" s="143">
        <f>IF(COUNT('GOLDM Calculation'!$G$17)=0,"",'GOLDM Calculation'!$B$25)</f>
        <v>153790.15199</v>
      </c>
      <c r="E14" s="143">
        <f>IF(COUNT('GOLDM Calculation'!$G$17)=0,"",'GOLDM Calculation'!$B$26)</f>
        <v>153790.15199</v>
      </c>
      <c r="F14" s="142" t="str">
        <f>IF(COUNT('GOLDM Calculation'!$G$17)=0,"INPUT REQUIRED",IF(COUNT(B14:E14)=4,"READY","INPUT REQUIRED"))</f>
        <v>READY</v>
      </c>
      <c r="G14" s="48"/>
      <c r="H14" s="48"/>
      <c r="I14" s="48"/>
    </row>
    <row r="15" spans="1:9">
      <c r="A15" s="142" t="s">
        <v>106</v>
      </c>
      <c r="B15" s="143">
        <f>IF(COUNT('GOLDM Calculation'!$G$18)=0,"",'GOLDM Calculation'!$G$23)</f>
        <v>151337.1772</v>
      </c>
      <c r="C15" s="143">
        <f>IF(COUNT('GOLDM Calculation'!$G$18)=0,"",'GOLDM Calculation'!$G$24)</f>
        <v>149067.119542</v>
      </c>
      <c r="D15" s="143">
        <f>IF(COUNT('GOLDM Calculation'!$G$18)=0,"",'GOLDM Calculation'!$G$25)</f>
        <v>153607.234858</v>
      </c>
      <c r="E15" s="143">
        <f>IF(COUNT('GOLDM Calculation'!$G$18)=0,"",'GOLDM Calculation'!$G$26)</f>
        <v>153607.234858</v>
      </c>
      <c r="F15" s="142" t="str">
        <f>IF(COUNT('GOLDM Calculation'!$G$18)=0,"INPUT REQUIRED",IF(COUNT(B15:E15)=4,"READY","INPUT REQUIRED"))</f>
        <v>READY</v>
      </c>
      <c r="G15" s="48"/>
      <c r="H15" s="48"/>
      <c r="I15" s="48"/>
    </row>
    <row r="16" spans="1:9">
      <c r="A16" s="142" t="s">
        <v>107</v>
      </c>
      <c r="B16" s="143">
        <f>IF(COUNT('GOLDM Calculation'!$B$35)=0,"",'GOLDM Calculation'!$B$36)</f>
        <v>151043.0344</v>
      </c>
      <c r="C16" s="143">
        <f>IF(COUNT('GOLDM Calculation'!$B$35)=0,"",'GOLDM Calculation'!$B$37)</f>
        <v>153308.679916</v>
      </c>
      <c r="D16" s="143">
        <f>IF(COUNT('GOLDM Calculation'!$B$35)=0,"",'GOLDM Calculation'!$B$38)</f>
        <v>152027.348</v>
      </c>
      <c r="E16" s="143">
        <f>IF(COUNT('GOLDM Calculation'!$B$35)=0,"",'GOLDM Calculation'!$B$39)</f>
        <v>151337.1772</v>
      </c>
      <c r="F16" s="142" t="str">
        <f>IF(COUNT('GOLDM Calculation'!$B$35)=0,"INPUT REQUIRED",IF(COUNT(B16:E16)=4,"READY","INPUT REQUIRED"))</f>
        <v>READY</v>
      </c>
      <c r="G16" s="48"/>
      <c r="H16" s="48"/>
      <c r="I16" s="48"/>
    </row>
    <row r="17" spans="1:9">
      <c r="A17" s="142" t="s">
        <v>108</v>
      </c>
      <c r="B17" s="143" t="str">
        <f>IF(COUNT('GOLDM Calculation'!$G$35)=0,"",'GOLDM Calculation'!$G$36)</f>
        <v/>
      </c>
      <c r="C17" s="143" t="str">
        <f>IF(COUNT('GOLDM Calculation'!$G$35)=0,"",'GOLDM Calculation'!$G$37)</f>
        <v/>
      </c>
      <c r="D17" s="143" t="str">
        <f>IF(COUNT('GOLDM Calculation'!$G$35)=0,"",'GOLDM Calculation'!$G$38)</f>
        <v/>
      </c>
      <c r="E17" s="143" t="str">
        <f>IF(COUNT('GOLDM Calculation'!$G$35)=0,"",'GOLDM Calculation'!$G$39)</f>
        <v/>
      </c>
      <c r="F17" s="142" t="str">
        <f>IF(COUNT('GOLDM Calculation'!$G$35)=0,"INPUT REQUIRED",IF(COUNT(B17:E17)=4,"READY","INPUT REQUIRED"))</f>
        <v>INPUT REQUIRED</v>
      </c>
      <c r="G17" s="48"/>
      <c r="H17" s="48"/>
      <c r="I17" s="48"/>
    </row>
    <row r="18" ht="17.55" spans="1:9">
      <c r="A18" s="48"/>
      <c r="B18" s="48"/>
      <c r="C18" s="48"/>
      <c r="D18" s="48"/>
      <c r="E18" s="48"/>
      <c r="F18" s="48"/>
      <c r="G18" s="48"/>
      <c r="H18" s="48"/>
      <c r="I18" s="48"/>
    </row>
    <row r="19" ht="17.55" spans="1:9">
      <c r="A19" s="144" t="s">
        <v>109</v>
      </c>
      <c r="B19" s="145" t="s">
        <v>109</v>
      </c>
      <c r="C19" s="145" t="s">
        <v>109</v>
      </c>
      <c r="D19" s="145" t="s">
        <v>109</v>
      </c>
      <c r="E19" s="145" t="s">
        <v>109</v>
      </c>
      <c r="F19" s="145" t="s">
        <v>109</v>
      </c>
      <c r="G19" s="145" t="s">
        <v>109</v>
      </c>
      <c r="H19" s="92" t="s">
        <v>109</v>
      </c>
      <c r="I19" s="102" t="s">
        <v>109</v>
      </c>
    </row>
    <row r="20" ht="17.55" spans="1:9">
      <c r="A20" s="146" t="s">
        <v>75</v>
      </c>
      <c r="B20" s="147" t="s">
        <v>67</v>
      </c>
      <c r="C20" s="147" t="s">
        <v>68</v>
      </c>
      <c r="D20" s="147" t="s">
        <v>69</v>
      </c>
      <c r="E20" s="147" t="s">
        <v>70</v>
      </c>
      <c r="F20" s="147" t="s">
        <v>110</v>
      </c>
      <c r="G20" s="173" t="s">
        <v>111</v>
      </c>
      <c r="H20" s="48"/>
      <c r="I20" s="48"/>
    </row>
    <row r="21" ht="17.55" spans="1:9">
      <c r="A21" s="148" t="s">
        <v>105</v>
      </c>
      <c r="B21" s="149">
        <f>IF($B$9="Buy Holding",IFERROR(LOOKUP(2,1/(('GOLDM Tracking'!$D$14:$D$213="Buy")*('GOLDM Tracking'!$E$14:$E$213&lt;&gt;"")),'GOLDM Tracking'!$E$14:$E$213),""),IF($A$21="Normal Buy",IF(ISNUMBER(B14),B14,""),IF($A$21="Gap Up Buy",IF(ISNUMBER(B16),B16,""),"")))</f>
        <v>156132.134</v>
      </c>
      <c r="C21" s="149">
        <f>IF($B$9="Buy Holding",IFERROR(LOOKUP(2,1/(('GOLDM Tracking'!$D$14:$D$213="Buy")*('GOLDM Tracking'!$E$14:$E$213&lt;&gt;"")),'GOLDM Tracking'!$F$14:$F$213),""),IF($A$21="Normal Buy",IF(ISNUMBER(C14),C14,""),IF($A$21="Gap Up Buy",IF(ISNUMBER(C16),C16,""),"")))</f>
        <v>158474.11601</v>
      </c>
      <c r="D21" s="149">
        <f>IF($B$9="Buy Holding",IFERROR(IF(AND(LOOKUP(2,1/(('GOLDM Tracking'!$D$14:$D$213="Buy")*('GOLDM Tracking'!$E$14:$E$213&lt;&gt;"")),'GOLDM Tracking'!$K$14:$K$213)="",LOOKUP(2,1/(('GOLDM Tracking'!$D$14:$D$213="Buy")*('GOLDM Tracking'!$E$14:$E$213&lt;&gt;"")),'GOLDM Tracking'!$Q$14:$Q$213)=""),"",IF(LOOKUP(2,1/(('GOLDM Tracking'!$D$14:$D$213="Buy")*('GOLDM Tracking'!$E$14:$E$213&lt;&gt;"")),'GOLDM Tracking'!$K$14:$K$213)="",LOOKUP(2,1/(('GOLDM Tracking'!$D$14:$D$213="Buy")*('GOLDM Tracking'!$E$14:$E$213&lt;&gt;"")),'GOLDM Tracking'!$Q$14:$Q$213),IF(LOOKUP(2,1/(('GOLDM Tracking'!$D$14:$D$213="Buy")*('GOLDM Tracking'!$E$14:$E$213&lt;&gt;"")),'GOLDM Tracking'!$Q$14:$Q$213)="",LOOKUP(2,1/(('GOLDM Tracking'!$D$14:$D$213="Buy")*('GOLDM Tracking'!$E$14:$E$213&lt;&gt;"")),'GOLDM Tracking'!$K$14:$K$213),MIN(LOOKUP(2,1/(('GOLDM Tracking'!$D$14:$D$213="Buy")*('GOLDM Tracking'!$E$14:$E$213&lt;&gt;"")),'GOLDM Tracking'!$K$14:$K$213),LOOKUP(2,1/(('GOLDM Tracking'!$D$14:$D$213="Buy")*('GOLDM Tracking'!$E$14:$E$213&lt;&gt;"")),'GOLDM Tracking'!$Q$14:$Q$213))))),""),IF($A$21="Normal Buy",IF(ISNUMBER(D14),D14,""),IF($A$21="Gap Up Buy",IF(ISNUMBER(D16),D16,""),"")))</f>
        <v>153790.15199</v>
      </c>
      <c r="E21" s="149">
        <f>IF($B$9="Buy Holding",IFERROR(IF(AND(LOOKUP(2,1/(('GOLDM Tracking'!$D$14:$D$213="Buy")*('GOLDM Tracking'!$E$14:$E$213&lt;&gt;"")),'GOLDM Tracking'!$N$14:$N$213)="",LOOKUP(2,1/(('GOLDM Tracking'!$D$14:$D$213="Buy")*('GOLDM Tracking'!$E$14:$E$213&lt;&gt;"")),'GOLDM Tracking'!$T$14:$T$213)=""),"",IF(LOOKUP(2,1/(('GOLDM Tracking'!$D$14:$D$213="Buy")*('GOLDM Tracking'!$E$14:$E$213&lt;&gt;"")),'GOLDM Tracking'!$N$14:$N$213)="",LOOKUP(2,1/(('GOLDM Tracking'!$D$14:$D$213="Buy")*('GOLDM Tracking'!$E$14:$E$213&lt;&gt;"")),'GOLDM Tracking'!$T$14:$T$213),IF(LOOKUP(2,1/(('GOLDM Tracking'!$D$14:$D$213="Buy")*('GOLDM Tracking'!$E$14:$E$213&lt;&gt;"")),'GOLDM Tracking'!$T$14:$T$213)="",LOOKUP(2,1/(('GOLDM Tracking'!$D$14:$D$213="Buy")*('GOLDM Tracking'!$E$14:$E$213&lt;&gt;"")),'GOLDM Tracking'!$N$14:$N$213),MIN(LOOKUP(2,1/(('GOLDM Tracking'!$D$14:$D$213="Buy")*('GOLDM Tracking'!$E$14:$E$213&lt;&gt;"")),'GOLDM Tracking'!$N$14:$N$213),LOOKUP(2,1/(('GOLDM Tracking'!$D$14:$D$213="Buy")*('GOLDM Tracking'!$E$14:$E$213&lt;&gt;"")),'GOLDM Tracking'!$T$14:$T$213))))),""),IF($A$21="Normal Buy",IF(ISNUMBER(E14),E14,""),IF($A$21="Gap Up Buy",IF(ISNUMBER(E16),E16,""),"")))</f>
        <v>153790.15199</v>
      </c>
      <c r="F21" s="174" t="str">
        <f>IF($C$9&lt;&gt;"",$C$9,IF($B$9="","",$B$9))</f>
        <v>Target Triggered</v>
      </c>
      <c r="G21" s="175" t="str">
        <f>IF($B$9="Buy Holding","Latest Tracking Buy",IF($A$21="","",$A$21))</f>
        <v>Normal Buy</v>
      </c>
      <c r="H21" s="48"/>
      <c r="I21" s="48"/>
    </row>
    <row r="22" ht="17.55" spans="1:9">
      <c r="A22" s="150" t="s">
        <v>106</v>
      </c>
      <c r="B22" s="151">
        <f>IF($B$10="Sell Holding",IFERROR(LOOKUP(2,1/(('GOLDM Tracking'!$D$14:$D$213="Sell")*('GOLDM Tracking'!$E$14:$E$213&lt;&gt;"")),'GOLDM Tracking'!$E$14:$E$213),""),IF($A$22="Normal Sell",IF(ISNUMBER(B15),B15,""),IF($A$22="Gap Down Sell",IF(ISNUMBER(B17),B17,""),"")))</f>
        <v>158921.0656</v>
      </c>
      <c r="C22" s="151">
        <f>IF($B$10="Sell Holding",IFERROR(LOOKUP(2,1/(('GOLDM Tracking'!$D$14:$D$213="Sell")*('GOLDM Tracking'!$E$14:$E$213&lt;&gt;"")),'GOLDM Tracking'!$F$14:$F$213),""),IF($A$22="Normal Sell",IF(ISNUMBER(C15),C15,""),IF($A$22="Gap Down Sell",IF(ISNUMBER(C17),C17,""),"")))</f>
        <v>156537.249616</v>
      </c>
      <c r="D22" s="151">
        <f>IF($B$10="Sell Holding",IFERROR(IF(AND(LOOKUP(2,1/(('GOLDM Tracking'!$D$14:$D$213="Sell")*('GOLDM Tracking'!$E$14:$E$213&lt;&gt;"")),'GOLDM Tracking'!$K$14:$K$213)="",LOOKUP(2,1/(('GOLDM Tracking'!$D$14:$D$213="Sell")*('GOLDM Tracking'!$E$14:$E$213&lt;&gt;"")),'GOLDM Tracking'!$Q$14:$Q$213)=""),"",IF(LOOKUP(2,1/(('GOLDM Tracking'!$D$14:$D$213="Sell")*('GOLDM Tracking'!$E$14:$E$213&lt;&gt;"")),'GOLDM Tracking'!$K$14:$K$213)="",LOOKUP(2,1/(('GOLDM Tracking'!$D$14:$D$213="Sell")*('GOLDM Tracking'!$E$14:$E$213&lt;&gt;"")),'GOLDM Tracking'!$Q$14:$Q$213),IF(LOOKUP(2,1/(('GOLDM Tracking'!$D$14:$D$213="Sell")*('GOLDM Tracking'!$E$14:$E$213&lt;&gt;"")),'GOLDM Tracking'!$Q$14:$Q$213)="",LOOKUP(2,1/(('GOLDM Tracking'!$D$14:$D$213="Sell")*('GOLDM Tracking'!$E$14:$E$213&lt;&gt;"")),'GOLDM Tracking'!$K$14:$K$213),MAX(LOOKUP(2,1/(('GOLDM Tracking'!$D$14:$D$213="Sell")*('GOLDM Tracking'!$E$14:$E$213&lt;&gt;"")),'GOLDM Tracking'!$K$14:$K$213),LOOKUP(2,1/(('GOLDM Tracking'!$D$14:$D$213="Sell")*('GOLDM Tracking'!$E$14:$E$213&lt;&gt;"")),'GOLDM Tracking'!$Q$14:$Q$213))))),""),IF($A$22="Normal Sell",IF(ISNUMBER(D15),D15,""),IF($A$22="Gap Down Sell",IF(ISNUMBER(D17),D17,""),"")))</f>
        <v>161304.881584</v>
      </c>
      <c r="E22" s="151">
        <f>IF($B$10="Sell Holding",IFERROR(IF(AND(LOOKUP(2,1/(('GOLDM Tracking'!$D$14:$D$213="Sell")*('GOLDM Tracking'!$E$14:$E$213&lt;&gt;"")),'GOLDM Tracking'!$N$14:$N$213)="",LOOKUP(2,1/(('GOLDM Tracking'!$D$14:$D$213="Sell")*('GOLDM Tracking'!$E$14:$E$213&lt;&gt;"")),'GOLDM Tracking'!$T$14:$T$213)=""),"",IF(LOOKUP(2,1/(('GOLDM Tracking'!$D$14:$D$213="Sell")*('GOLDM Tracking'!$E$14:$E$213&lt;&gt;"")),'GOLDM Tracking'!$N$14:$N$213)="",LOOKUP(2,1/(('GOLDM Tracking'!$D$14:$D$213="Sell")*('GOLDM Tracking'!$E$14:$E$213&lt;&gt;"")),'GOLDM Tracking'!$T$14:$T$213),IF(LOOKUP(2,1/(('GOLDM Tracking'!$D$14:$D$213="Sell")*('GOLDM Tracking'!$E$14:$E$213&lt;&gt;"")),'GOLDM Tracking'!$T$14:$T$213)="",LOOKUP(2,1/(('GOLDM Tracking'!$D$14:$D$213="Sell")*('GOLDM Tracking'!$E$14:$E$213&lt;&gt;"")),'GOLDM Tracking'!$N$14:$N$213),MAX(LOOKUP(2,1/(('GOLDM Tracking'!$D$14:$D$213="Sell")*('GOLDM Tracking'!$E$14:$E$213&lt;&gt;"")),'GOLDM Tracking'!$N$14:$N$213),LOOKUP(2,1/(('GOLDM Tracking'!$D$14:$D$213="Sell")*('GOLDM Tracking'!$E$14:$E$213&lt;&gt;"")),'GOLDM Tracking'!$T$14:$T$213))))),""),IF($A$22="Normal Sell",IF(ISNUMBER(E15),E15,""),IF($A$22="Gap Down Sell",IF(ISNUMBER(E17),E17,""),"")))</f>
        <v>161304.881584</v>
      </c>
      <c r="F22" s="176" t="str">
        <f>IF($C$10&lt;&gt;"",$C$10,IF($B$10="","",$B$10))</f>
        <v>Sell Holding</v>
      </c>
      <c r="G22" s="177" t="str">
        <f>IF($B$10="Sell Holding","Latest Tracking Sell",IF($A$22="","",$A$22))</f>
        <v>Latest Tracking Sell</v>
      </c>
      <c r="H22" s="48"/>
      <c r="I22" s="48"/>
    </row>
    <row r="23" spans="1:9">
      <c r="A23" s="48"/>
      <c r="B23" s="48"/>
      <c r="C23" s="48"/>
      <c r="D23" s="48"/>
      <c r="E23" s="48"/>
      <c r="F23" s="48"/>
      <c r="G23" s="48"/>
      <c r="H23" s="48"/>
      <c r="I23" s="48"/>
    </row>
    <row r="24" spans="1:9">
      <c r="A24" s="48"/>
      <c r="B24" s="48"/>
      <c r="C24" s="48"/>
      <c r="D24" s="48"/>
      <c r="E24" s="48"/>
      <c r="F24" s="48"/>
      <c r="G24" s="48"/>
      <c r="H24" s="48"/>
      <c r="I24" s="48"/>
    </row>
    <row r="25" spans="1:9">
      <c r="A25" s="63" t="s">
        <v>112</v>
      </c>
      <c r="B25" s="63" t="s">
        <v>113</v>
      </c>
      <c r="C25" s="63" t="s">
        <v>114</v>
      </c>
      <c r="D25" s="63" t="s">
        <v>115</v>
      </c>
      <c r="E25" s="63" t="s">
        <v>116</v>
      </c>
      <c r="F25" s="63" t="s">
        <v>117</v>
      </c>
      <c r="G25" s="63" t="s">
        <v>118</v>
      </c>
      <c r="H25" s="49"/>
      <c r="I25" s="180"/>
    </row>
    <row r="26" spans="1:9">
      <c r="A26" s="152" t="s">
        <v>119</v>
      </c>
      <c r="B26" s="152" t="s">
        <v>77</v>
      </c>
      <c r="C26" s="152" t="s">
        <v>120</v>
      </c>
      <c r="D26" s="152" t="s">
        <v>121</v>
      </c>
      <c r="E26" s="178" t="str">
        <f>IF(OR($B$9&lt;&gt;"No Holdings",$C$9&lt;&gt;"",NOT(ISNUMBER($B$21)),NOT(ISNUMBER($B$7))),"",IF($B$7&gt;=$B$21,"MISSED","NOT MISSED"))</f>
        <v/>
      </c>
      <c r="F26" s="178" t="str">
        <f>IF(E26="","",IF(E26="MISSED",IF($A$21="Normal Buy","WAIT FOR GAP-UP INPUT","DO NOT PLACE — ENTRY PASSED"),IF($A$21="Normal Buy","PLACE AFTER 9:10 AM","PLACE AFTER 9:15 AM")))</f>
        <v/>
      </c>
      <c r="G26" s="179" t="str">
        <f>IF(AND($B$9="No Holdings",$C$9="",ISNUMBER($B$21)),ROUND($B$21,0),"")</f>
        <v/>
      </c>
      <c r="H26" s="49"/>
      <c r="I26" s="48"/>
    </row>
    <row r="27" spans="1:9">
      <c r="A27" s="152" t="s">
        <v>122</v>
      </c>
      <c r="B27" s="152" t="s">
        <v>79</v>
      </c>
      <c r="C27" s="152" t="s">
        <v>123</v>
      </c>
      <c r="D27" s="152" t="s">
        <v>124</v>
      </c>
      <c r="E27" s="178" t="str">
        <f>IF(OR($B$10&lt;&gt;"No Holdings",$C$10&lt;&gt;"",NOT(ISNUMBER($B$22)),NOT(ISNUMBER($B$8))),"",IF($B$8&lt;=$B$22,"MISSED","NOT MISSED"))</f>
        <v/>
      </c>
      <c r="F27" s="178" t="str">
        <f>IF(E27="","",IF(E27="MISSED",IF($A$22="Normal Sell","WAIT FOR GAP-DOWN INPUT","DO NOT PLACE — ENTRY PASSED"),IF($A$22="Normal Sell","PLACE AFTER 9:10 AM","PLACE AFTER 9:15 AM")))</f>
        <v/>
      </c>
      <c r="G27" s="179" t="str">
        <f>IF(AND($B$10="No Holdings",$C$10="",ISNUMBER($B$22)),ROUND($B$22,0),"")</f>
        <v/>
      </c>
      <c r="H27" s="49"/>
      <c r="I27" s="48"/>
    </row>
    <row r="28" spans="1:9">
      <c r="A28" s="152" t="s">
        <v>125</v>
      </c>
      <c r="B28" s="152" t="s">
        <v>79</v>
      </c>
      <c r="C28" s="152" t="s">
        <v>126</v>
      </c>
      <c r="D28" s="152" t="s">
        <v>127</v>
      </c>
      <c r="E28" s="178" t="str">
        <f>IF(OR($C$9&lt;&gt;"Entry Triggered",NOT(ISNUMBER($C$21)),NOT(ISNUMBER($B$6))),"",IF($B$6&gt;=$C$21,"MISSED","NOT MISSED"))</f>
        <v/>
      </c>
      <c r="F28" s="178" t="str">
        <f>IF(E28="","",IF(E28="MISSED","EXIT AT CURRENT MARKET PRICE","PLACE LIMIT ORDER AT 9:00 AM"))</f>
        <v/>
      </c>
      <c r="G28" s="179" t="str">
        <f>IF(AND($C$9="Entry Triggered",ISNUMBER($C$21)),ROUND($C$21,0),"")</f>
        <v/>
      </c>
      <c r="H28" s="49"/>
      <c r="I28" s="48"/>
    </row>
    <row r="29" spans="1:9">
      <c r="A29" s="152" t="s">
        <v>128</v>
      </c>
      <c r="B29" s="152" t="s">
        <v>77</v>
      </c>
      <c r="C29" s="152" t="s">
        <v>126</v>
      </c>
      <c r="D29" s="152" t="s">
        <v>129</v>
      </c>
      <c r="E29" s="178" t="str">
        <f>IF(OR($C$10&lt;&gt;"Entry Triggered",NOT(ISNUMBER($C$22)),NOT(ISNUMBER($B$6))),"",IF($B$6&lt;=$C$22,"MISSED","NOT MISSED"))</f>
        <v/>
      </c>
      <c r="F29" s="178" t="str">
        <f>IF(E29="","",IF(E29="MISSED","EXIT AT CURRENT MARKET PRICE","PLACE LIMIT ORDER AT 9:00 AM"))</f>
        <v/>
      </c>
      <c r="G29" s="179" t="str">
        <f>IF(AND($C$10="Entry Triggered",ISNUMBER($C$22)),ROUND($C$22,0),"")</f>
        <v/>
      </c>
      <c r="H29" s="49"/>
      <c r="I29" s="48"/>
    </row>
    <row r="30" spans="1:9">
      <c r="A30" s="152" t="s">
        <v>130</v>
      </c>
      <c r="B30" s="152" t="s">
        <v>79</v>
      </c>
      <c r="C30" s="152" t="s">
        <v>123</v>
      </c>
      <c r="D30" s="152" t="s">
        <v>131</v>
      </c>
      <c r="E30" s="178" t="str">
        <f>IF(OR($C$9&lt;&gt;"Entry Triggered",NOT(ISNUMBER($D$21)),NOT(ISNUMBER($B$8))),"",IF($B$8&lt;=$D$21,"MISSED","NOT MISSED"))</f>
        <v/>
      </c>
      <c r="F30" s="178" t="str">
        <f>IF(E30="","",IF(E30="MISSED","WAIT FOR GAP-DOWN SL1","PLACE ORDER AT 9:10 AM"))</f>
        <v/>
      </c>
      <c r="G30" s="179" t="str">
        <f>IF(AND($C$9="Entry Triggered",ISNUMBER($D$21)),ROUND($D$21,0),"")</f>
        <v/>
      </c>
      <c r="H30" s="49"/>
      <c r="I30" s="48"/>
    </row>
    <row r="31" spans="1:9">
      <c r="A31" s="152" t="s">
        <v>132</v>
      </c>
      <c r="B31" s="152" t="s">
        <v>79</v>
      </c>
      <c r="C31" s="152" t="s">
        <v>123</v>
      </c>
      <c r="D31" s="152" t="s">
        <v>133</v>
      </c>
      <c r="E31" s="178" t="str">
        <f>IF(OR($C$9&lt;&gt;"Target Triggered",NOT(ISNUMBER($E$21)),NOT(ISNUMBER($B$8))),"",IF($B$8&lt;=$E$21,"MISSED","NOT MISSED"))</f>
        <v>MISSED</v>
      </c>
      <c r="F31" s="178" t="str">
        <f>IF(E31="","",IF(E31="MISSED","WAIT FOR GAP-DOWN SL2","PLACE ORDER AT 9:10 AM"))</f>
        <v>WAIT FOR GAP-DOWN SL2</v>
      </c>
      <c r="G31" s="179">
        <f>IF(AND($C$9="Target Triggered",ISNUMBER($E$21)),ROUND($E$21,0),"")</f>
        <v>153790</v>
      </c>
      <c r="H31" s="49"/>
      <c r="I31" s="48"/>
    </row>
    <row r="32" spans="1:9">
      <c r="A32" s="152" t="s">
        <v>134</v>
      </c>
      <c r="B32" s="152" t="s">
        <v>77</v>
      </c>
      <c r="C32" s="152" t="s">
        <v>120</v>
      </c>
      <c r="D32" s="152" t="s">
        <v>135</v>
      </c>
      <c r="E32" s="178" t="str">
        <f>IF(OR($C$10&lt;&gt;"Entry Triggered",NOT(ISNUMBER($D$22)),NOT(ISNUMBER($B$7))),"",IF($B$7&gt;=$D$22,"MISSED","NOT MISSED"))</f>
        <v/>
      </c>
      <c r="F32" s="178" t="str">
        <f>IF(E32="","",IF(E32="MISSED","WAIT FOR GAP-UP SL1","PLACE ORDER AT 9:10 AM"))</f>
        <v/>
      </c>
      <c r="G32" s="179" t="str">
        <f>IF(AND($C$10="Entry Triggered",ISNUMBER($D$22)),ROUND($D$22,0),"")</f>
        <v/>
      </c>
      <c r="H32" s="49"/>
      <c r="I32" s="48"/>
    </row>
    <row r="33" spans="1:9">
      <c r="A33" s="152" t="s">
        <v>136</v>
      </c>
      <c r="B33" s="152" t="s">
        <v>77</v>
      </c>
      <c r="C33" s="152" t="s">
        <v>120</v>
      </c>
      <c r="D33" s="152" t="s">
        <v>137</v>
      </c>
      <c r="E33" s="178" t="str">
        <f>IF(OR($C$10&lt;&gt;"Target Triggered",NOT(ISNUMBER($E$22)),NOT(ISNUMBER($B$7))),"",IF($B$7&gt;=$E$22,"MISSED","NOT MISSED"))</f>
        <v/>
      </c>
      <c r="F33" s="178" t="str">
        <f>IF(E33="","",IF(E33="MISSED","WAIT FOR GAP-UP SL2","PLACE ORDER AT 9:10 AM"))</f>
        <v/>
      </c>
      <c r="G33" s="179" t="str">
        <f>IF(AND($C$10="Target Triggered",ISNUMBER($E$22)),ROUND($E$22,0),"")</f>
        <v/>
      </c>
      <c r="H33" s="49"/>
      <c r="I33" s="48"/>
    </row>
    <row r="34" spans="1:9">
      <c r="A34" s="48"/>
      <c r="B34" s="48"/>
      <c r="C34" s="48"/>
      <c r="D34" s="48"/>
      <c r="E34" s="48"/>
      <c r="F34" s="48"/>
      <c r="G34" s="48"/>
      <c r="H34" s="48"/>
      <c r="I34" s="48"/>
    </row>
    <row r="35" ht="17.55" spans="1:9">
      <c r="A35" s="48"/>
      <c r="B35" s="48"/>
      <c r="C35" s="48"/>
      <c r="D35" s="48"/>
      <c r="E35" s="48"/>
      <c r="F35" s="48"/>
      <c r="G35" s="48"/>
      <c r="H35" s="48"/>
      <c r="I35" s="48"/>
    </row>
    <row r="36" ht="17.55" spans="1:9">
      <c r="A36" s="106" t="s">
        <v>138</v>
      </c>
      <c r="B36" s="107" t="s">
        <v>138</v>
      </c>
      <c r="C36" s="107" t="s">
        <v>138</v>
      </c>
      <c r="D36" s="107" t="s">
        <v>138</v>
      </c>
      <c r="E36" s="107" t="s">
        <v>138</v>
      </c>
      <c r="F36" s="107" t="s">
        <v>138</v>
      </c>
      <c r="G36" s="107" t="s">
        <v>138</v>
      </c>
      <c r="H36" s="107" t="s">
        <v>138</v>
      </c>
      <c r="I36" s="108" t="s">
        <v>138</v>
      </c>
    </row>
    <row r="37" spans="1:9">
      <c r="A37" s="63" t="s">
        <v>139</v>
      </c>
      <c r="B37" s="63" t="s">
        <v>140</v>
      </c>
      <c r="C37" s="63" t="s">
        <v>141</v>
      </c>
      <c r="D37" s="63" t="s">
        <v>142</v>
      </c>
      <c r="E37" s="63" t="s">
        <v>143</v>
      </c>
      <c r="F37" s="63" t="s">
        <v>144</v>
      </c>
      <c r="G37" s="63" t="s">
        <v>145</v>
      </c>
      <c r="H37" s="63" t="s">
        <v>146</v>
      </c>
      <c r="I37" s="63" t="s">
        <v>117</v>
      </c>
    </row>
    <row r="38" spans="1:9">
      <c r="A38" s="153" t="s">
        <v>67</v>
      </c>
      <c r="B38" s="153" t="s">
        <v>77</v>
      </c>
      <c r="C38" s="153" t="s">
        <v>147</v>
      </c>
      <c r="D38" s="154" t="str">
        <f>IF(AND($B$9="No Holdings",$C$9="",$E$26="NOT MISSED"),$B$5,"")</f>
        <v/>
      </c>
      <c r="E38" s="154" t="str">
        <f>IF(D38="","",$G$26)</f>
        <v/>
      </c>
      <c r="F38" s="154" t="str">
        <f>IF(E38="","",ROUND(E38*(1+Settings!$K$9),0))</f>
        <v/>
      </c>
      <c r="G38" s="154"/>
      <c r="H38" s="154" t="str">
        <f>IF(D38="","",IF($A$21="Normal Buy","After 9:10 AM","After 9:15 AM"))</f>
        <v/>
      </c>
      <c r="I38" s="153" t="str">
        <f>IF(AND($B$9="No Holdings",$C$9=""),$F$26,"")</f>
        <v/>
      </c>
    </row>
    <row r="39" spans="1:9">
      <c r="A39" s="153" t="s">
        <v>68</v>
      </c>
      <c r="B39" s="153" t="s">
        <v>79</v>
      </c>
      <c r="C39" s="153" t="s">
        <v>148</v>
      </c>
      <c r="D39" s="154" t="str">
        <f>IF(AND($C$9="Entry Triggered",$E$28="NOT MISSED"),$B$5/2,"")</f>
        <v/>
      </c>
      <c r="E39" s="154"/>
      <c r="F39" s="154"/>
      <c r="G39" s="154" t="str">
        <f>IF(D39="","",$G$28)</f>
        <v/>
      </c>
      <c r="H39" s="154" t="str">
        <f>IF(D39="","","9:00 AM")</f>
        <v/>
      </c>
      <c r="I39" s="153" t="str">
        <f>IF($C$9="Entry Triggered",$F$28,"")</f>
        <v/>
      </c>
    </row>
    <row r="40" spans="1:9">
      <c r="A40" s="153" t="s">
        <v>69</v>
      </c>
      <c r="B40" s="153" t="s">
        <v>79</v>
      </c>
      <c r="C40" s="153" t="s">
        <v>147</v>
      </c>
      <c r="D40" s="154" t="str">
        <f>IF(AND($C$9="Entry Triggered",$E$30="NOT MISSED"),$B$5,"")</f>
        <v/>
      </c>
      <c r="E40" s="154" t="str">
        <f>IF(D40="","",$G$30)</f>
        <v/>
      </c>
      <c r="F40" s="154" t="str">
        <f>IF(E40="","",ROUND(E40*(1-Settings!$K$9),0))</f>
        <v/>
      </c>
      <c r="G40" s="154"/>
      <c r="H40" s="154" t="str">
        <f>IF(D40="","","9:10 AM")</f>
        <v/>
      </c>
      <c r="I40" s="153" t="str">
        <f>IF($C$9="Stoploss 1 Triggered","START FRESH ORDER FROM TOMORROW",IF($C$9="Entry Triggered",$F$30,""))</f>
        <v/>
      </c>
    </row>
    <row r="41" spans="1:9">
      <c r="A41" s="153" t="s">
        <v>70</v>
      </c>
      <c r="B41" s="153" t="s">
        <v>79</v>
      </c>
      <c r="C41" s="153" t="s">
        <v>147</v>
      </c>
      <c r="D41" s="154" t="str">
        <f>IF(AND($C$9="Target Triggered",$E$31="NOT MISSED"),$B$5/2,"")</f>
        <v/>
      </c>
      <c r="E41" s="154" t="str">
        <f>IF(D41="","",$G$31)</f>
        <v/>
      </c>
      <c r="F41" s="154" t="str">
        <f>IF(E41="","",ROUND(E41*(1-Settings!$K$9),0))</f>
        <v/>
      </c>
      <c r="G41" s="154"/>
      <c r="H41" s="154" t="str">
        <f>IF(D41="","","9:10 AM")</f>
        <v/>
      </c>
      <c r="I41" s="153" t="str">
        <f>IF($C$9="Stoploss 2 Triggered","START FRESH ORDER FROM TOMORROW",IF($C$9="Target Triggered",$F$31,""))</f>
        <v>WAIT FOR GAP-DOWN SL2</v>
      </c>
    </row>
    <row r="42" spans="1:9">
      <c r="A42" s="48"/>
      <c r="B42" s="48"/>
      <c r="C42" s="48"/>
      <c r="D42" s="155"/>
      <c r="E42" s="155"/>
      <c r="F42" s="155"/>
      <c r="G42" s="155"/>
      <c r="H42" s="155"/>
      <c r="I42" s="48"/>
    </row>
    <row r="43" ht="17.55" spans="1:9">
      <c r="A43" s="48"/>
      <c r="B43" s="48"/>
      <c r="C43" s="48"/>
      <c r="D43" s="155"/>
      <c r="E43" s="155"/>
      <c r="F43" s="155"/>
      <c r="G43" s="155"/>
      <c r="H43" s="155"/>
      <c r="I43" s="48"/>
    </row>
    <row r="44" ht="17.55" spans="1:9">
      <c r="A44" s="156" t="s">
        <v>149</v>
      </c>
      <c r="B44" s="157" t="s">
        <v>149</v>
      </c>
      <c r="C44" s="157" t="s">
        <v>149</v>
      </c>
      <c r="D44" s="158" t="s">
        <v>149</v>
      </c>
      <c r="E44" s="158" t="s">
        <v>149</v>
      </c>
      <c r="F44" s="158" t="s">
        <v>149</v>
      </c>
      <c r="G44" s="158" t="s">
        <v>149</v>
      </c>
      <c r="H44" s="158" t="s">
        <v>149</v>
      </c>
      <c r="I44" s="181" t="s">
        <v>149</v>
      </c>
    </row>
    <row r="45" spans="1:9">
      <c r="A45" s="63" t="s">
        <v>139</v>
      </c>
      <c r="B45" s="63" t="s">
        <v>140</v>
      </c>
      <c r="C45" s="63" t="s">
        <v>141</v>
      </c>
      <c r="D45" s="159" t="s">
        <v>142</v>
      </c>
      <c r="E45" s="159" t="s">
        <v>143</v>
      </c>
      <c r="F45" s="159" t="s">
        <v>144</v>
      </c>
      <c r="G45" s="159" t="s">
        <v>145</v>
      </c>
      <c r="H45" s="159" t="s">
        <v>146</v>
      </c>
      <c r="I45" s="63" t="s">
        <v>117</v>
      </c>
    </row>
    <row r="46" spans="1:9">
      <c r="A46" s="153" t="s">
        <v>67</v>
      </c>
      <c r="B46" s="153" t="s">
        <v>79</v>
      </c>
      <c r="C46" s="153" t="s">
        <v>147</v>
      </c>
      <c r="D46" s="154" t="str">
        <f>IF(AND($B$10="No Holdings",$C$10="",$E$27="NOT MISSED"),$B$5,"")</f>
        <v/>
      </c>
      <c r="E46" s="154" t="str">
        <f>IF(D46="","",$G$27)</f>
        <v/>
      </c>
      <c r="F46" s="154" t="str">
        <f>IF(E46="","",ROUND(E46*(1-Settings!$K$9),0))</f>
        <v/>
      </c>
      <c r="G46" s="154"/>
      <c r="H46" s="154" t="str">
        <f>IF(D46="","",IF($A$22="Normal Sell","After 9:10 AM","After 9:15 AM"))</f>
        <v/>
      </c>
      <c r="I46" s="153" t="str">
        <f>IF(AND($B$10="No Holdings",$C$10=""),$F$27,"")</f>
        <v/>
      </c>
    </row>
    <row r="47" spans="1:9">
      <c r="A47" s="153" t="s">
        <v>68</v>
      </c>
      <c r="B47" s="153" t="s">
        <v>77</v>
      </c>
      <c r="C47" s="153" t="s">
        <v>148</v>
      </c>
      <c r="D47" s="154" t="str">
        <f>IF(AND($C$10="Entry Triggered",$E$29="NOT MISSED"),$B$5/2,"")</f>
        <v/>
      </c>
      <c r="E47" s="154"/>
      <c r="F47" s="154"/>
      <c r="G47" s="154" t="str">
        <f>IF(D47="","",$G$29)</f>
        <v/>
      </c>
      <c r="H47" s="154" t="str">
        <f>IF(D47="","","9:00 AM")</f>
        <v/>
      </c>
      <c r="I47" s="153" t="str">
        <f>IF($C$10="Entry Triggered",$F$29,"")</f>
        <v/>
      </c>
    </row>
    <row r="48" spans="1:9">
      <c r="A48" s="153" t="s">
        <v>69</v>
      </c>
      <c r="B48" s="153" t="s">
        <v>77</v>
      </c>
      <c r="C48" s="153" t="s">
        <v>147</v>
      </c>
      <c r="D48" s="154" t="str">
        <f>IF(AND($C$10="Entry Triggered",$E$32="NOT MISSED"),$B$5,"")</f>
        <v/>
      </c>
      <c r="E48" s="154" t="str">
        <f>IF(D48="","",$G$32)</f>
        <v/>
      </c>
      <c r="F48" s="154" t="str">
        <f>IF(E48="","",ROUND(E48*(1+Settings!$K$9),0))</f>
        <v/>
      </c>
      <c r="G48" s="154"/>
      <c r="H48" s="154" t="str">
        <f>IF(D48="","","9:10 AM")</f>
        <v/>
      </c>
      <c r="I48" s="153" t="str">
        <f>IF($C$10="Stoploss 1 Triggered","START FRESH ORDER FROM TOMORROW",IF($C$10="Entry Triggered",$F$32,""))</f>
        <v/>
      </c>
    </row>
    <row r="49" spans="1:9">
      <c r="A49" s="153" t="s">
        <v>70</v>
      </c>
      <c r="B49" s="153" t="s">
        <v>77</v>
      </c>
      <c r="C49" s="153" t="s">
        <v>147</v>
      </c>
      <c r="D49" s="154" t="str">
        <f>IF(AND($C$10="Target Triggered",$E$33="NOT MISSED"),$B$5/2,"")</f>
        <v/>
      </c>
      <c r="E49" s="154" t="str">
        <f>IF(D49="","",$G$33)</f>
        <v/>
      </c>
      <c r="F49" s="154" t="str">
        <f>IF(E49="","",ROUND(E49*(1+Settings!$K$9),0))</f>
        <v/>
      </c>
      <c r="G49" s="154"/>
      <c r="H49" s="154" t="str">
        <f>IF(D49="","","9:10 AM")</f>
        <v/>
      </c>
      <c r="I49" s="153" t="str">
        <f>IF($C$10="Stoploss 2 Triggered","START FRESH ORDER FROM TOMORROW",IF($C$10="Target Triggered",$F$33,""))</f>
        <v/>
      </c>
    </row>
    <row r="50" ht="17.55" spans="1:9">
      <c r="A50" s="48"/>
      <c r="B50" s="48"/>
      <c r="C50" s="48"/>
      <c r="D50" s="48"/>
      <c r="E50" s="48"/>
      <c r="F50" s="48"/>
      <c r="G50" s="48"/>
      <c r="H50" s="48"/>
      <c r="I50" s="48"/>
    </row>
    <row r="51" spans="1:9">
      <c r="A51" s="160" t="s">
        <v>150</v>
      </c>
      <c r="B51" s="161" t="s">
        <v>151</v>
      </c>
      <c r="C51" s="161" t="s">
        <v>151</v>
      </c>
      <c r="D51" s="161" t="s">
        <v>151</v>
      </c>
      <c r="E51" s="161" t="s">
        <v>151</v>
      </c>
      <c r="F51" s="161" t="s">
        <v>151</v>
      </c>
      <c r="G51" s="161" t="s">
        <v>151</v>
      </c>
      <c r="H51" s="161" t="s">
        <v>151</v>
      </c>
      <c r="I51" s="182" t="s">
        <v>151</v>
      </c>
    </row>
    <row r="52" spans="1:9">
      <c r="A52" s="162" t="s">
        <v>151</v>
      </c>
      <c r="B52" s="163" t="s">
        <v>151</v>
      </c>
      <c r="C52" s="163" t="s">
        <v>151</v>
      </c>
      <c r="D52" s="163" t="s">
        <v>151</v>
      </c>
      <c r="E52" s="163" t="s">
        <v>151</v>
      </c>
      <c r="F52" s="163" t="s">
        <v>151</v>
      </c>
      <c r="G52" s="163" t="s">
        <v>151</v>
      </c>
      <c r="H52" s="163" t="s">
        <v>151</v>
      </c>
      <c r="I52" s="183" t="s">
        <v>151</v>
      </c>
    </row>
    <row r="53" ht="18" customHeight="1" spans="1:9">
      <c r="A53" s="164" t="s">
        <v>34</v>
      </c>
      <c r="B53" s="164"/>
      <c r="C53" s="164"/>
      <c r="D53" s="164"/>
      <c r="E53" s="164"/>
      <c r="F53" s="164"/>
      <c r="G53" s="164"/>
      <c r="H53" s="164"/>
      <c r="I53" s="164"/>
    </row>
    <row r="54" ht="18" customHeight="1" spans="1:9">
      <c r="A54" s="165" t="s">
        <v>35</v>
      </c>
      <c r="B54" s="165"/>
      <c r="C54" s="165"/>
      <c r="D54" s="165"/>
      <c r="E54" s="165"/>
      <c r="F54" s="165"/>
      <c r="G54" s="165"/>
      <c r="H54" s="165"/>
      <c r="I54" s="165"/>
    </row>
    <row r="55" ht="18" customHeight="1" spans="1:9">
      <c r="A55" s="165" t="s">
        <v>36</v>
      </c>
      <c r="B55" s="165"/>
      <c r="C55" s="165"/>
      <c r="D55" s="165"/>
      <c r="E55" s="165"/>
      <c r="F55" s="165"/>
      <c r="G55" s="165"/>
      <c r="H55" s="165"/>
      <c r="I55" s="165"/>
    </row>
    <row r="56" ht="18" customHeight="1" spans="1:9">
      <c r="A56" s="166" t="s">
        <v>37</v>
      </c>
      <c r="B56" s="166"/>
      <c r="C56" s="166"/>
      <c r="D56" s="166"/>
      <c r="E56" s="166"/>
      <c r="F56" s="166"/>
      <c r="G56" s="166"/>
      <c r="H56" s="166"/>
      <c r="I56" s="166"/>
    </row>
  </sheetData>
  <sheetProtection algorithmName="SHA-512" hashValue="wpzlWZx3a5RhI+KwqNomsUG8Agxoj8jnvryXKbwkwnKN01iyRQzqIGhfH3jwACajoubfy4+MUZ/AOkQaEuaQ2w==" saltValue="GVvCMpksUp9wjkBTCBx6Yw==" spinCount="100000" sheet="1" objects="1"/>
  <mergeCells count="14">
    <mergeCell ref="A1:F1"/>
    <mergeCell ref="A2:F2"/>
    <mergeCell ref="A3:F3"/>
    <mergeCell ref="A4:I4"/>
    <mergeCell ref="A12:I12"/>
    <mergeCell ref="A19:I19"/>
    <mergeCell ref="A36:I36"/>
    <mergeCell ref="A44:I44"/>
    <mergeCell ref="A53:I53"/>
    <mergeCell ref="A54:I54"/>
    <mergeCell ref="A55:I55"/>
    <mergeCell ref="A56:I56"/>
    <mergeCell ref="G1:I3"/>
    <mergeCell ref="A51:I52"/>
  </mergeCells>
  <conditionalFormatting sqref="E26:E33">
    <cfRule type="expression" dxfId="0" priority="1">
      <formula>E26="MISSED"</formula>
    </cfRule>
    <cfRule type="expression" dxfId="1" priority="2">
      <formula>E26="NOT MISSED"</formula>
    </cfRule>
  </conditionalFormatting>
  <conditionalFormatting sqref="A38:I41">
    <cfRule type="expression" dxfId="2" priority="3">
      <formula>$D38&lt;&gt;""</formula>
    </cfRule>
  </conditionalFormatting>
  <conditionalFormatting sqref="A46:I49">
    <cfRule type="expression" dxfId="3" priority="4">
      <formula>$D46&lt;&gt;""</formula>
    </cfRule>
  </conditionalFormatting>
  <dataValidations count="7">
    <dataValidation type="list" sqref="B5">
      <formula1>Settings!$A$7:$A$16</formula1>
    </dataValidation>
    <dataValidation type="list" sqref="B9">
      <formula1>Settings!$H$7:$H$8</formula1>
    </dataValidation>
    <dataValidation type="list" sqref="B10">
      <formula1>Settings!$I$7:$I$8</formula1>
    </dataValidation>
    <dataValidation type="list" sqref="A21">
      <formula1>Settings!$D$7:$D$8</formula1>
    </dataValidation>
    <dataValidation type="list" sqref="A22">
      <formula1>Settings!$E$7:$E$8</formula1>
    </dataValidation>
    <dataValidation type="decimal" operator="greaterThan" sqref="B6:B8">
      <formula1>0</formula1>
    </dataValidation>
    <dataValidation type="list" allowBlank="1" sqref="C9:C10">
      <formula1>Settings!$B$7:$B$10</formula1>
    </dataValidation>
  </dataValidations>
  <pageMargins left="0.7" right="0.7" top="0.75" bottom="0.75" header="0.3" footer="0.3"/>
  <headerFooter/>
  <ignoredErrors>
    <ignoredError sqref="F9" formulaRange="1"/>
    <ignoredError sqref="C10" listDataValidation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9A227"/>
  </sheetPr>
  <dimension ref="A1:Z219"/>
  <sheetViews>
    <sheetView showGridLines="0" workbookViewId="0">
      <pane xSplit="4" ySplit="13" topLeftCell="S206" activePane="bottomRight" state="frozen"/>
      <selection/>
      <selection pane="topRight"/>
      <selection pane="bottomLeft"/>
      <selection pane="bottomRight" activeCell="Z14" sqref="Z14:Z213"/>
    </sheetView>
  </sheetViews>
  <sheetFormatPr defaultColWidth="9" defaultRowHeight="16.8"/>
  <cols>
    <col min="1" max="1" width="7" customWidth="1"/>
    <col min="2" max="2" width="17.9423076923077" customWidth="1"/>
    <col min="3" max="3" width="13" customWidth="1"/>
    <col min="4" max="4" width="12.9711538461538" customWidth="1"/>
    <col min="5" max="7" width="12" customWidth="1"/>
    <col min="8" max="8" width="17.1442307692308" customWidth="1"/>
    <col min="9" max="9" width="20" customWidth="1"/>
    <col min="10" max="10" width="13" customWidth="1"/>
    <col min="11" max="11" width="14" customWidth="1"/>
    <col min="12" max="12" width="20" customWidth="1"/>
    <col min="13" max="13" width="13" customWidth="1"/>
    <col min="14" max="14" width="14" customWidth="1"/>
    <col min="15" max="15" width="28.8365384615385" customWidth="1"/>
    <col min="16" max="16" width="13" customWidth="1"/>
    <col min="17" max="17" width="14" customWidth="1"/>
    <col min="18" max="18" width="30.2884615384615" customWidth="1"/>
    <col min="19" max="19" width="13" customWidth="1"/>
    <col min="20" max="20" width="14" customWidth="1"/>
    <col min="21" max="21" width="20" customWidth="1"/>
    <col min="22" max="22" width="15" customWidth="1"/>
    <col min="23" max="23" width="20" customWidth="1"/>
    <col min="24" max="25" width="15" customWidth="1"/>
    <col min="26" max="26" width="13" customWidth="1"/>
  </cols>
  <sheetData>
    <row r="1" ht="23" customHeight="1" spans="1:26">
      <c r="A1" s="43"/>
      <c r="B1" s="43"/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103" t="s">
        <v>194</v>
      </c>
      <c r="Y1" s="111" t="s">
        <v>152</v>
      </c>
      <c r="Z1" s="112" t="s">
        <v>152</v>
      </c>
    </row>
    <row r="2" ht="21" customHeight="1" spans="1:26">
      <c r="A2" s="43"/>
      <c r="B2" s="43"/>
      <c r="C2" s="45" t="s">
        <v>2</v>
      </c>
      <c r="D2" s="45" t="s">
        <v>2</v>
      </c>
      <c r="E2" s="45" t="s">
        <v>2</v>
      </c>
      <c r="F2" s="45" t="s">
        <v>2</v>
      </c>
      <c r="G2" s="45" t="s">
        <v>2</v>
      </c>
      <c r="H2" s="45" t="s">
        <v>2</v>
      </c>
      <c r="I2" s="45" t="s">
        <v>2</v>
      </c>
      <c r="J2" s="45" t="s">
        <v>2</v>
      </c>
      <c r="K2" s="45" t="s">
        <v>2</v>
      </c>
      <c r="L2" s="45" t="s">
        <v>2</v>
      </c>
      <c r="M2" s="45" t="s">
        <v>2</v>
      </c>
      <c r="N2" s="45" t="s">
        <v>2</v>
      </c>
      <c r="O2" s="45" t="s">
        <v>2</v>
      </c>
      <c r="P2" s="45" t="s">
        <v>2</v>
      </c>
      <c r="Q2" s="45" t="s">
        <v>2</v>
      </c>
      <c r="R2" s="45" t="s">
        <v>2</v>
      </c>
      <c r="S2" s="45" t="s">
        <v>2</v>
      </c>
      <c r="T2" s="45" t="s">
        <v>2</v>
      </c>
      <c r="U2" s="45" t="s">
        <v>2</v>
      </c>
      <c r="V2" s="45" t="s">
        <v>2</v>
      </c>
      <c r="W2" s="45" t="s">
        <v>2</v>
      </c>
      <c r="X2" s="104" t="s">
        <v>152</v>
      </c>
      <c r="Y2" s="113" t="s">
        <v>152</v>
      </c>
      <c r="Z2" s="114" t="s">
        <v>152</v>
      </c>
    </row>
    <row r="3" ht="23" customHeight="1" spans="1:26">
      <c r="A3" s="43"/>
      <c r="B3" s="43"/>
      <c r="C3" s="46" t="s">
        <v>153</v>
      </c>
      <c r="D3" s="46" t="s">
        <v>153</v>
      </c>
      <c r="E3" s="46" t="s">
        <v>153</v>
      </c>
      <c r="F3" s="46" t="s">
        <v>153</v>
      </c>
      <c r="G3" s="46" t="s">
        <v>153</v>
      </c>
      <c r="H3" s="46" t="s">
        <v>153</v>
      </c>
      <c r="I3" s="46" t="s">
        <v>153</v>
      </c>
      <c r="J3" s="46" t="s">
        <v>153</v>
      </c>
      <c r="K3" s="46" t="s">
        <v>153</v>
      </c>
      <c r="L3" s="46" t="s">
        <v>153</v>
      </c>
      <c r="M3" s="46" t="s">
        <v>153</v>
      </c>
      <c r="N3" s="46" t="s">
        <v>153</v>
      </c>
      <c r="O3" s="46" t="s">
        <v>153</v>
      </c>
      <c r="P3" s="46" t="s">
        <v>153</v>
      </c>
      <c r="Q3" s="46" t="s">
        <v>153</v>
      </c>
      <c r="R3" s="46" t="s">
        <v>153</v>
      </c>
      <c r="S3" s="46" t="s">
        <v>153</v>
      </c>
      <c r="T3" s="46" t="s">
        <v>153</v>
      </c>
      <c r="U3" s="46" t="s">
        <v>153</v>
      </c>
      <c r="V3" s="46" t="s">
        <v>153</v>
      </c>
      <c r="W3" s="46" t="s">
        <v>153</v>
      </c>
      <c r="X3" s="105" t="s">
        <v>152</v>
      </c>
      <c r="Y3" s="115" t="s">
        <v>152</v>
      </c>
      <c r="Z3" s="116" t="s">
        <v>152</v>
      </c>
    </row>
    <row r="4" ht="17.55" spans="1:26">
      <c r="A4" s="259" t="inlineStr">
        <is>
          <t xml:space="preserve">Licence Number: TSA-MURU-2419    |    Name: MURUGAN M    |    Mail ID: muruganm56789@gmail.com    |    Contact Number: 8610022419</t>
        </is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117"/>
    </row>
    <row r="5" ht="17.55" spans="1:26">
      <c r="A5" s="48"/>
      <c r="B5" s="49"/>
      <c r="C5" s="49"/>
      <c r="D5" s="49"/>
      <c r="E5" s="48"/>
      <c r="F5" s="49"/>
      <c r="G5" s="49"/>
      <c r="H5" s="49"/>
      <c r="I5" s="48"/>
      <c r="J5" s="49"/>
      <c r="K5" s="49"/>
      <c r="L5" s="49"/>
      <c r="M5" s="48"/>
      <c r="N5" s="96" t="s">
        <v>154</v>
      </c>
      <c r="O5" s="97" t="s">
        <v>154</v>
      </c>
      <c r="P5" s="97" t="s">
        <v>154</v>
      </c>
      <c r="Q5" s="97" t="s">
        <v>154</v>
      </c>
      <c r="R5" s="97" t="s">
        <v>154</v>
      </c>
      <c r="S5" s="97" t="s">
        <v>154</v>
      </c>
      <c r="T5" s="97" t="s">
        <v>154</v>
      </c>
      <c r="U5" s="97" t="s">
        <v>154</v>
      </c>
      <c r="V5" s="97" t="s">
        <v>154</v>
      </c>
      <c r="W5" s="97" t="s">
        <v>154</v>
      </c>
      <c r="X5" s="97" t="s">
        <v>154</v>
      </c>
      <c r="Y5" s="97" t="s">
        <v>154</v>
      </c>
      <c r="Z5" s="118" t="s">
        <v>154</v>
      </c>
    </row>
    <row r="6" ht="17.55" spans="1:26">
      <c r="A6" s="48"/>
      <c r="B6" s="49"/>
      <c r="C6" s="49"/>
      <c r="D6" s="49"/>
      <c r="E6" s="48"/>
      <c r="F6" s="68" t="s">
        <v>155</v>
      </c>
      <c r="G6" s="69" t="s">
        <v>155</v>
      </c>
      <c r="H6" s="70">
        <v>0</v>
      </c>
      <c r="I6" s="48"/>
      <c r="J6" s="83" t="s">
        <v>156</v>
      </c>
      <c r="K6" s="84" t="s">
        <v>156</v>
      </c>
      <c r="L6" s="85">
        <v>0</v>
      </c>
      <c r="M6" s="48"/>
      <c r="N6" s="98" t="s">
        <v>154</v>
      </c>
      <c r="O6" s="99" t="s">
        <v>154</v>
      </c>
      <c r="P6" s="99" t="s">
        <v>154</v>
      </c>
      <c r="Q6" s="99" t="s">
        <v>154</v>
      </c>
      <c r="R6" s="99" t="s">
        <v>154</v>
      </c>
      <c r="S6" s="99" t="s">
        <v>154</v>
      </c>
      <c r="T6" s="99" t="s">
        <v>154</v>
      </c>
      <c r="U6" s="99" t="s">
        <v>154</v>
      </c>
      <c r="V6" s="99" t="s">
        <v>154</v>
      </c>
      <c r="W6" s="99" t="s">
        <v>154</v>
      </c>
      <c r="X6" s="99" t="s">
        <v>154</v>
      </c>
      <c r="Y6" s="99" t="s">
        <v>154</v>
      </c>
      <c r="Z6" s="119" t="s">
        <v>154</v>
      </c>
    </row>
    <row r="7" ht="17.55" spans="1:26">
      <c r="A7" s="50" t="s">
        <v>157</v>
      </c>
      <c r="B7" s="51"/>
      <c r="C7" s="51"/>
      <c r="D7" s="52"/>
      <c r="E7" s="48"/>
      <c r="F7" s="71" t="s">
        <v>12</v>
      </c>
      <c r="G7" s="72"/>
      <c r="H7" s="73">
        <v>800000</v>
      </c>
      <c r="I7" s="48"/>
      <c r="J7" s="74" t="s">
        <v>16</v>
      </c>
      <c r="K7" s="86"/>
      <c r="L7" s="87">
        <f>COUNTIF(Y14:Y213,"&gt;0")</f>
        <v>2</v>
      </c>
      <c r="M7" s="48"/>
      <c r="N7" s="98" t="s">
        <v>154</v>
      </c>
      <c r="O7" s="99" t="s">
        <v>154</v>
      </c>
      <c r="P7" s="99" t="s">
        <v>154</v>
      </c>
      <c r="Q7" s="99" t="s">
        <v>154</v>
      </c>
      <c r="R7" s="99" t="s">
        <v>154</v>
      </c>
      <c r="S7" s="99" t="s">
        <v>154</v>
      </c>
      <c r="T7" s="99" t="s">
        <v>154</v>
      </c>
      <c r="U7" s="99" t="s">
        <v>154</v>
      </c>
      <c r="V7" s="99" t="s">
        <v>154</v>
      </c>
      <c r="W7" s="99" t="s">
        <v>154</v>
      </c>
      <c r="X7" s="99" t="s">
        <v>154</v>
      </c>
      <c r="Y7" s="99" t="s">
        <v>154</v>
      </c>
      <c r="Z7" s="119" t="s">
        <v>154</v>
      </c>
    </row>
    <row r="8" ht="17.55" spans="1:26">
      <c r="A8" s="53" t="s">
        <v>92</v>
      </c>
      <c r="B8" s="54"/>
      <c r="C8" s="55">
        <v>2</v>
      </c>
      <c r="D8" s="56"/>
      <c r="E8" s="48"/>
      <c r="F8" s="74" t="s">
        <v>158</v>
      </c>
      <c r="G8" s="75"/>
      <c r="H8" s="76">
        <f>SUM(Y14:Y213)</f>
        <v>175293.42204</v>
      </c>
      <c r="I8" s="48"/>
      <c r="J8" s="74" t="s">
        <v>159</v>
      </c>
      <c r="K8" s="86"/>
      <c r="L8" s="87">
        <f>COUNTIF(Y14:Y213,"&lt;0")</f>
        <v>0</v>
      </c>
      <c r="M8" s="48"/>
      <c r="N8" s="98" t="s">
        <v>154</v>
      </c>
      <c r="O8" s="99" t="s">
        <v>154</v>
      </c>
      <c r="P8" s="99" t="s">
        <v>154</v>
      </c>
      <c r="Q8" s="99" t="s">
        <v>154</v>
      </c>
      <c r="R8" s="99" t="s">
        <v>154</v>
      </c>
      <c r="S8" s="99" t="s">
        <v>154</v>
      </c>
      <c r="T8" s="99" t="s">
        <v>154</v>
      </c>
      <c r="U8" s="99" t="s">
        <v>154</v>
      </c>
      <c r="V8" s="99" t="s">
        <v>154</v>
      </c>
      <c r="W8" s="99" t="s">
        <v>154</v>
      </c>
      <c r="X8" s="99" t="s">
        <v>154</v>
      </c>
      <c r="Y8" s="99" t="s">
        <v>154</v>
      </c>
      <c r="Z8" s="119" t="s">
        <v>154</v>
      </c>
    </row>
    <row r="9" ht="17.55" spans="1:26">
      <c r="A9" s="57" t="s">
        <v>160</v>
      </c>
      <c r="B9" s="58"/>
      <c r="C9" s="59">
        <v>10</v>
      </c>
      <c r="D9" s="60"/>
      <c r="E9" s="48"/>
      <c r="F9" s="74" t="s">
        <v>161</v>
      </c>
      <c r="G9" s="75"/>
      <c r="H9" s="77">
        <f>IF(OR(H7="",H7&lt;=0),"",H8/H7)</f>
        <v>0.21911677755</v>
      </c>
      <c r="I9" s="48"/>
      <c r="J9" s="74" t="s">
        <v>162</v>
      </c>
      <c r="K9" s="86"/>
      <c r="L9" s="88">
        <f>IF(H10=0,"",L7/H10)</f>
        <v>1</v>
      </c>
      <c r="M9" s="48"/>
      <c r="N9" s="100" t="s">
        <v>154</v>
      </c>
      <c r="O9" s="101" t="s">
        <v>154</v>
      </c>
      <c r="P9" s="101" t="s">
        <v>154</v>
      </c>
      <c r="Q9" s="101" t="s">
        <v>154</v>
      </c>
      <c r="R9" s="101" t="s">
        <v>154</v>
      </c>
      <c r="S9" s="101" t="s">
        <v>154</v>
      </c>
      <c r="T9" s="101" t="s">
        <v>154</v>
      </c>
      <c r="U9" s="101" t="s">
        <v>154</v>
      </c>
      <c r="V9" s="101" t="s">
        <v>154</v>
      </c>
      <c r="W9" s="101" t="s">
        <v>154</v>
      </c>
      <c r="X9" s="101" t="s">
        <v>154</v>
      </c>
      <c r="Y9" s="101" t="s">
        <v>154</v>
      </c>
      <c r="Z9" s="120" t="s">
        <v>154</v>
      </c>
    </row>
    <row r="10" spans="1:26">
      <c r="A10" s="48"/>
      <c r="B10" s="48"/>
      <c r="C10" s="48"/>
      <c r="D10" s="48"/>
      <c r="E10" s="48"/>
      <c r="F10" s="78" t="s">
        <v>15</v>
      </c>
      <c r="G10" s="79"/>
      <c r="H10" s="80">
        <f>COUNT(Y14:Y213)</f>
        <v>2</v>
      </c>
      <c r="I10" s="48"/>
      <c r="J10" s="78" t="s">
        <v>163</v>
      </c>
      <c r="K10" s="89"/>
      <c r="L10" s="90">
        <f>MAX(0,COUNTA(D14:D213)-H10)</f>
        <v>0</v>
      </c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7.55" spans="1:26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17.55" spans="1:26">
      <c r="A12" s="61" t="s">
        <v>164</v>
      </c>
      <c r="B12" s="62" t="s">
        <v>164</v>
      </c>
      <c r="C12" s="62" t="s">
        <v>164</v>
      </c>
      <c r="D12" s="62" t="s">
        <v>164</v>
      </c>
      <c r="E12" s="62" t="s">
        <v>164</v>
      </c>
      <c r="F12" s="62" t="s">
        <v>164</v>
      </c>
      <c r="G12" s="62" t="s">
        <v>164</v>
      </c>
      <c r="H12" s="81" t="s">
        <v>164</v>
      </c>
      <c r="I12" s="91" t="s">
        <v>165</v>
      </c>
      <c r="J12" s="92" t="s">
        <v>165</v>
      </c>
      <c r="K12" s="92" t="s">
        <v>165</v>
      </c>
      <c r="L12" s="92" t="s">
        <v>165</v>
      </c>
      <c r="M12" s="92" t="s">
        <v>165</v>
      </c>
      <c r="N12" s="92" t="s">
        <v>165</v>
      </c>
      <c r="O12" s="92" t="s">
        <v>165</v>
      </c>
      <c r="P12" s="92" t="s">
        <v>165</v>
      </c>
      <c r="Q12" s="92" t="s">
        <v>165</v>
      </c>
      <c r="R12" s="92" t="s">
        <v>165</v>
      </c>
      <c r="S12" s="92" t="s">
        <v>165</v>
      </c>
      <c r="T12" s="102" t="s">
        <v>165</v>
      </c>
      <c r="U12" s="106" t="s">
        <v>166</v>
      </c>
      <c r="V12" s="107" t="s">
        <v>166</v>
      </c>
      <c r="W12" s="107" t="s">
        <v>166</v>
      </c>
      <c r="X12" s="108" t="s">
        <v>166</v>
      </c>
      <c r="Y12" s="121" t="s">
        <v>167</v>
      </c>
      <c r="Z12" s="122" t="s">
        <v>167</v>
      </c>
    </row>
    <row r="13" ht="54" customHeight="1" spans="1:26">
      <c r="A13" s="63" t="s">
        <v>168</v>
      </c>
      <c r="B13" s="63" t="s">
        <v>52</v>
      </c>
      <c r="C13" s="63" t="s">
        <v>74</v>
      </c>
      <c r="D13" s="63" t="s">
        <v>169</v>
      </c>
      <c r="E13" s="63" t="s">
        <v>67</v>
      </c>
      <c r="F13" s="63" t="s">
        <v>68</v>
      </c>
      <c r="G13" s="63" t="s">
        <v>69</v>
      </c>
      <c r="H13" s="63" t="s">
        <v>70</v>
      </c>
      <c r="I13" s="63" t="s">
        <v>170</v>
      </c>
      <c r="J13" s="63" t="s">
        <v>171</v>
      </c>
      <c r="K13" s="63" t="s">
        <v>172</v>
      </c>
      <c r="L13" s="63" t="s">
        <v>173</v>
      </c>
      <c r="M13" s="63" t="s">
        <v>174</v>
      </c>
      <c r="N13" s="63" t="s">
        <v>175</v>
      </c>
      <c r="O13" s="63" t="s">
        <v>176</v>
      </c>
      <c r="P13" s="63" t="s">
        <v>177</v>
      </c>
      <c r="Q13" s="63" t="s">
        <v>178</v>
      </c>
      <c r="R13" s="63" t="s">
        <v>179</v>
      </c>
      <c r="S13" s="63" t="s">
        <v>180</v>
      </c>
      <c r="T13" s="63" t="s">
        <v>181</v>
      </c>
      <c r="U13" s="63" t="s">
        <v>182</v>
      </c>
      <c r="V13" s="63" t="s">
        <v>183</v>
      </c>
      <c r="W13" s="63" t="s">
        <v>184</v>
      </c>
      <c r="X13" s="63" t="s">
        <v>185</v>
      </c>
      <c r="Y13" s="63" t="s">
        <v>186</v>
      </c>
      <c r="Z13" s="63" t="s">
        <v>187</v>
      </c>
    </row>
    <row r="14" ht="20" customHeight="1" spans="1:26">
      <c r="A14" s="64">
        <v>1</v>
      </c>
      <c r="B14" s="65">
        <v>46239</v>
      </c>
      <c r="C14" s="66" t="s">
        <v>43</v>
      </c>
      <c r="D14" s="67" t="s">
        <v>77</v>
      </c>
      <c r="E14" s="82">
        <v>145964.948</v>
      </c>
      <c r="F14" s="82">
        <v>148154.42222</v>
      </c>
      <c r="G14" s="82">
        <v>143775.47378</v>
      </c>
      <c r="H14" s="82">
        <v>143775.47378</v>
      </c>
      <c r="I14" s="93" t="str">
        <f t="shared" ref="I14:I77" si="0">IF(D14="Buy","Enter New 2DLL",IF(D14="Sell","Enter New 2DHH",""))</f>
        <v>Enter New 2DLL</v>
      </c>
      <c r="J14" s="82">
        <v>143100</v>
      </c>
      <c r="K14" s="94">
        <f>IF(OR(D14="",E14=""),"",IF(J14="",G14,IF(D14="Buy",MROUND(MAX(E14*(1-Settings!$K$8),J14*(1-Settings!$K$6)),Settings!$K$10),MROUND(MIN(E14*(1+Settings!$K$8),J14*(1+Settings!$K$6)),Settings!$K$10))))</f>
        <v>143775</v>
      </c>
      <c r="L14" s="95" t="str">
        <f t="shared" ref="L14:L77" si="1">IF(D14="Buy","Enter New 4DLL",IF(D14="Sell","Enter New 4DHH",""))</f>
        <v>Enter New 4DLL</v>
      </c>
      <c r="M14" s="82">
        <v>159112</v>
      </c>
      <c r="N14" s="94">
        <f>IF(OR(D14="",E14=""),"",IF(M14="",H14,IF(D14="Buy",MROUND(MAX(E14*(1-Settings!$K$8),M14*(1-Settings!$K$6)),Settings!$K$10),MROUND(MIN(E14*(1+Settings!$K$8),M14*(1+Settings!$K$6)),Settings!$K$10))))</f>
        <v>158921</v>
      </c>
      <c r="O14" s="95" t="str">
        <f t="shared" ref="O14:O77" si="2">IF(D14="Buy","Enter First 15-Minute Low",IF(D14="Sell","Enter First 15-Minute High",""))</f>
        <v>Enter First 15-Minute Low</v>
      </c>
      <c r="P14" s="82">
        <v>143400</v>
      </c>
      <c r="Q14" s="94">
        <f>IF(OR(D14="",P14=""),"",IF(D14="Buy",MROUND(P14*(1-Settings!$K$6),Settings!$K$10),MROUND(P14*(1+Settings!$K$6),Settings!$K$10)))</f>
        <v>143228</v>
      </c>
      <c r="R14" s="95" t="str">
        <f t="shared" ref="R14:R77" si="3">IF(D14="Buy","Enter First 15-Minute Low",IF(D14="Sell","Enter First 15-Minute High",""))</f>
        <v>Enter First 15-Minute Low</v>
      </c>
      <c r="S14" s="82"/>
      <c r="T14" s="94" t="str">
        <f>IF(OR(D14="",S14=""),"",IF(D14="Buy",MROUND(S14*(1-Settings!$K$6),Settings!$K$10),MROUND(S14*(1+Settings!$K$6),Settings!$K$10)))</f>
        <v/>
      </c>
      <c r="U14" s="67" t="s">
        <v>188</v>
      </c>
      <c r="V14" s="211">
        <f t="shared" ref="V14:V77" si="4">IF(OR(D14="",E14="",U14="",$C$8="",$C$9=""),"",IF(U14="Target Hit",IF(F14="","",IF(D14="Buy",(F14-E14)*($C$8/2)*$C$9,(E14-F14)*($C$8/2)*$C$9)),IF(U14="Rollover",IF(Z14="","",IF(D14="Buy",(Z14-E14)*$C$8*$C$9,(E14-Z14)*$C$8*$C$9)),IF(U14="Stoploss 1 Hit",IF(K14="","",IF(D14="Buy",(K14-E14)*$C$8*$C$9,(E14-K14)*$C$8*$C$9)),IF(OR(AND(D14="Buy",U14="Gap Down Stoploss 1 Hit"),AND(D14="Sell",U14="Gap Up Stoploss 1 Hit")),IF(Q14="","",IF(D14="Buy",(Q14-E14)*$C$8*$C$9,(E14-Q14)*$C$8*$C$9)),"")))))</f>
        <v>21894.7422</v>
      </c>
      <c r="W14" s="110" t="s">
        <v>189</v>
      </c>
      <c r="X14" s="211">
        <f t="shared" ref="X14:X77" si="5">IF(OR(D14="",E14="",U14&lt;&gt;"Target Hit",W14="",$C$8="",$C$9=""),"",IF(W14="Stoploss 2 Hit",IF(N14="","",IF(D14="Buy",(N14-E14)*($C$8/2)*$C$9,(E14-N14)*($C$8/2)*$C$9)),IF(W14="Rollover",IF(Z14="","",IF(D14="Buy",(Z14-E14)*($C$8/2)*$C$9,(E14-Z14)*($C$8/2)*$C$9)),IF(OR(AND(D14="Buy",W14="Gap Down Stoploss 2 Hit"),AND(D14="Sell",W14="Gap Up Stoploss 2 Hit")),IF(T14="","",IF(D14="Buy",(T14-E14)*($C$8/2)*$C$9,(E14-T14)*($C$8/2)*$C$9)),""))))</f>
        <v>129560.52</v>
      </c>
      <c r="Y14" s="211">
        <f t="shared" ref="Y14:Y77" si="6">IF(AND(V14="",X14=""),"",SUM(V14,X14))</f>
        <v>151455.2622</v>
      </c>
      <c r="Z14" s="82"/>
    </row>
    <row r="15" ht="20" customHeight="1" spans="1:26">
      <c r="A15" s="64">
        <v>2</v>
      </c>
      <c r="B15" s="65">
        <v>46261</v>
      </c>
      <c r="C15" s="66" t="s">
        <v>43</v>
      </c>
      <c r="D15" s="67" t="s">
        <v>79</v>
      </c>
      <c r="E15" s="82">
        <v>158921.0656</v>
      </c>
      <c r="F15" s="82">
        <v>156537.249616</v>
      </c>
      <c r="G15" s="82">
        <v>161304.881584</v>
      </c>
      <c r="H15" s="82">
        <v>161304.881584</v>
      </c>
      <c r="I15" s="93" t="str">
        <f t="shared" si="0"/>
        <v>Enter New 2DHH</v>
      </c>
      <c r="J15" s="82"/>
      <c r="K15" s="94">
        <f>IF(OR(D15="",E15=""),"",IF(J15="",G15,IF(D15="Buy",MROUND(MAX(E15*(1-Settings!$K$8),J15*(1-Settings!$K$6)),Settings!$K$10),MROUND(MIN(E15*(1+Settings!$K$8),J15*(1+Settings!$K$6)),Settings!$K$10))))</f>
        <v>161304.881584</v>
      </c>
      <c r="L15" s="95" t="str">
        <f t="shared" si="1"/>
        <v>Enter New 4DHH</v>
      </c>
      <c r="M15" s="82"/>
      <c r="N15" s="94">
        <f>IF(OR(D15="",E15=""),"",IF(M15="",H15,IF(D15="Buy",MROUND(MAX(E15*(1-Settings!$K$8),M15*(1-Settings!$K$6)),Settings!$K$10),MROUND(MIN(E15*(1+Settings!$K$8),M15*(1+Settings!$K$6)),Settings!$K$10))))</f>
        <v>161304.881584</v>
      </c>
      <c r="O15" s="95" t="str">
        <f t="shared" si="2"/>
        <v>Enter First 15-Minute High</v>
      </c>
      <c r="P15" s="82"/>
      <c r="Q15" s="94" t="str">
        <f>IF(OR(D15="",P15=""),"",IF(D15="Buy",MROUND(P15*(1-Settings!$K$6),Settings!$K$10),MROUND(P15*(1+Settings!$K$6),Settings!$K$10)))</f>
        <v/>
      </c>
      <c r="R15" s="95" t="str">
        <f t="shared" si="3"/>
        <v>Enter First 15-Minute High</v>
      </c>
      <c r="S15" s="82"/>
      <c r="T15" s="94" t="str">
        <f>IF(OR(D15="",S15=""),"",IF(D15="Buy",MROUND(S15*(1-Settings!$K$6),Settings!$K$10),MROUND(S15*(1+Settings!$K$6),Settings!$K$10)))</f>
        <v/>
      </c>
      <c r="U15" s="67" t="s">
        <v>188</v>
      </c>
      <c r="V15" s="211">
        <f t="shared" si="4"/>
        <v>23838.1598400002</v>
      </c>
      <c r="W15" s="110"/>
      <c r="X15" s="211" t="str">
        <f t="shared" si="5"/>
        <v/>
      </c>
      <c r="Y15" s="211">
        <f t="shared" si="6"/>
        <v>23838.1598400002</v>
      </c>
      <c r="Z15" s="82"/>
    </row>
    <row r="16" ht="20" customHeight="1" spans="1:26">
      <c r="A16" s="64">
        <v>3</v>
      </c>
      <c r="B16" s="65"/>
      <c r="C16" s="66"/>
      <c r="D16" s="67"/>
      <c r="E16" s="82"/>
      <c r="F16" s="82"/>
      <c r="G16" s="82"/>
      <c r="H16" s="82"/>
      <c r="I16" s="93" t="str">
        <f t="shared" si="0"/>
        <v/>
      </c>
      <c r="J16" s="82"/>
      <c r="K16" s="94" t="str">
        <f>IF(OR(D16="",E16=""),"",IF(J16="",G16,IF(D16="Buy",MROUND(MAX(E16*(1-Settings!$K$8),J16*(1-Settings!$K$6)),Settings!$K$10),MROUND(MIN(E16*(1+Settings!$K$8),J16*(1+Settings!$K$6)),Settings!$K$10))))</f>
        <v/>
      </c>
      <c r="L16" s="95" t="str">
        <f t="shared" si="1"/>
        <v/>
      </c>
      <c r="M16" s="82"/>
      <c r="N16" s="94" t="str">
        <f>IF(OR(D16="",E16=""),"",IF(M16="",H16,IF(D16="Buy",MROUND(MAX(E16*(1-Settings!$K$8),M16*(1-Settings!$K$6)),Settings!$K$10),MROUND(MIN(E16*(1+Settings!$K$8),M16*(1+Settings!$K$6)),Settings!$K$10))))</f>
        <v/>
      </c>
      <c r="O16" s="95" t="str">
        <f t="shared" si="2"/>
        <v/>
      </c>
      <c r="P16" s="82"/>
      <c r="Q16" s="94" t="str">
        <f>IF(OR(D16="",P16=""),"",IF(D16="Buy",MROUND(P16*(1-Settings!$K$6),Settings!$K$10),MROUND(P16*(1+Settings!$K$6),Settings!$K$10)))</f>
        <v/>
      </c>
      <c r="R16" s="95" t="str">
        <f t="shared" si="3"/>
        <v/>
      </c>
      <c r="S16" s="82"/>
      <c r="T16" s="94" t="str">
        <f>IF(OR(D16="",S16=""),"",IF(D16="Buy",MROUND(S16*(1-Settings!$K$6),Settings!$K$10),MROUND(S16*(1+Settings!$K$6),Settings!$K$10)))</f>
        <v/>
      </c>
      <c r="U16" s="67"/>
      <c r="V16" s="211" t="str">
        <f t="shared" si="4"/>
        <v/>
      </c>
      <c r="W16" s="110"/>
      <c r="X16" s="211" t="str">
        <f t="shared" si="5"/>
        <v/>
      </c>
      <c r="Y16" s="211" t="str">
        <f t="shared" si="6"/>
        <v/>
      </c>
      <c r="Z16" s="82"/>
    </row>
    <row r="17" ht="20" customHeight="1" spans="1:26">
      <c r="A17" s="64">
        <v>4</v>
      </c>
      <c r="B17" s="65"/>
      <c r="C17" s="66"/>
      <c r="D17" s="67"/>
      <c r="E17" s="82"/>
      <c r="F17" s="82"/>
      <c r="G17" s="82"/>
      <c r="H17" s="82"/>
      <c r="I17" s="93" t="str">
        <f t="shared" si="0"/>
        <v/>
      </c>
      <c r="J17" s="82"/>
      <c r="K17" s="94" t="str">
        <f>IF(OR(D17="",E17=""),"",IF(J17="",G17,IF(D17="Buy",MROUND(MAX(E17*(1-Settings!$K$8),J17*(1-Settings!$K$6)),Settings!$K$10),MROUND(MIN(E17*(1+Settings!$K$8),J17*(1+Settings!$K$6)),Settings!$K$10))))</f>
        <v/>
      </c>
      <c r="L17" s="95" t="str">
        <f t="shared" si="1"/>
        <v/>
      </c>
      <c r="M17" s="82"/>
      <c r="N17" s="94" t="str">
        <f>IF(OR(D17="",E17=""),"",IF(M17="",H17,IF(D17="Buy",MROUND(MAX(E17*(1-Settings!$K$8),M17*(1-Settings!$K$6)),Settings!$K$10),MROUND(MIN(E17*(1+Settings!$K$8),M17*(1+Settings!$K$6)),Settings!$K$10))))</f>
        <v/>
      </c>
      <c r="O17" s="95" t="str">
        <f t="shared" si="2"/>
        <v/>
      </c>
      <c r="P17" s="82"/>
      <c r="Q17" s="94" t="str">
        <f>IF(OR(D17="",P17=""),"",IF(D17="Buy",MROUND(P17*(1-Settings!$K$6),Settings!$K$10),MROUND(P17*(1+Settings!$K$6),Settings!$K$10)))</f>
        <v/>
      </c>
      <c r="R17" s="95" t="str">
        <f t="shared" si="3"/>
        <v/>
      </c>
      <c r="S17" s="82"/>
      <c r="T17" s="94" t="str">
        <f>IF(OR(D17="",S17=""),"",IF(D17="Buy",MROUND(S17*(1-Settings!$K$6),Settings!$K$10),MROUND(S17*(1+Settings!$K$6),Settings!$K$10)))</f>
        <v/>
      </c>
      <c r="U17" s="67"/>
      <c r="V17" s="211" t="str">
        <f t="shared" si="4"/>
        <v/>
      </c>
      <c r="W17" s="110"/>
      <c r="X17" s="211" t="str">
        <f t="shared" si="5"/>
        <v/>
      </c>
      <c r="Y17" s="211" t="str">
        <f t="shared" si="6"/>
        <v/>
      </c>
      <c r="Z17" s="82"/>
    </row>
    <row r="18" ht="20" customHeight="1" spans="1:26">
      <c r="A18" s="64">
        <v>5</v>
      </c>
      <c r="B18" s="65"/>
      <c r="C18" s="66"/>
      <c r="D18" s="67"/>
      <c r="E18" s="82"/>
      <c r="F18" s="82"/>
      <c r="G18" s="82"/>
      <c r="H18" s="82"/>
      <c r="I18" s="93" t="str">
        <f t="shared" si="0"/>
        <v/>
      </c>
      <c r="J18" s="82"/>
      <c r="K18" s="94" t="str">
        <f>IF(OR(D18="",E18=""),"",IF(J18="",G18,IF(D18="Buy",MROUND(MAX(E18*(1-Settings!$K$8),J18*(1-Settings!$K$6)),Settings!$K$10),MROUND(MIN(E18*(1+Settings!$K$8),J18*(1+Settings!$K$6)),Settings!$K$10))))</f>
        <v/>
      </c>
      <c r="L18" s="95" t="str">
        <f t="shared" si="1"/>
        <v/>
      </c>
      <c r="M18" s="82"/>
      <c r="N18" s="94" t="str">
        <f>IF(OR(D18="",E18=""),"",IF(M18="",H18,IF(D18="Buy",MROUND(MAX(E18*(1-Settings!$K$8),M18*(1-Settings!$K$6)),Settings!$K$10),MROUND(MIN(E18*(1+Settings!$K$8),M18*(1+Settings!$K$6)),Settings!$K$10))))</f>
        <v/>
      </c>
      <c r="O18" s="95" t="str">
        <f t="shared" si="2"/>
        <v/>
      </c>
      <c r="P18" s="82"/>
      <c r="Q18" s="94" t="str">
        <f>IF(OR(D18="",P18=""),"",IF(D18="Buy",MROUND(P18*(1-Settings!$K$6),Settings!$K$10),MROUND(P18*(1+Settings!$K$6),Settings!$K$10)))</f>
        <v/>
      </c>
      <c r="R18" s="95" t="str">
        <f t="shared" si="3"/>
        <v/>
      </c>
      <c r="S18" s="82"/>
      <c r="T18" s="94" t="str">
        <f>IF(OR(D18="",S18=""),"",IF(D18="Buy",MROUND(S18*(1-Settings!$K$6),Settings!$K$10),MROUND(S18*(1+Settings!$K$6),Settings!$K$10)))</f>
        <v/>
      </c>
      <c r="U18" s="67"/>
      <c r="V18" s="211" t="str">
        <f t="shared" si="4"/>
        <v/>
      </c>
      <c r="W18" s="110"/>
      <c r="X18" s="211" t="str">
        <f t="shared" si="5"/>
        <v/>
      </c>
      <c r="Y18" s="211" t="str">
        <f t="shared" si="6"/>
        <v/>
      </c>
      <c r="Z18" s="82"/>
    </row>
    <row r="19" ht="20" customHeight="1" spans="1:26">
      <c r="A19" s="64">
        <v>6</v>
      </c>
      <c r="B19" s="65"/>
      <c r="C19" s="66"/>
      <c r="D19" s="67"/>
      <c r="E19" s="82"/>
      <c r="F19" s="82"/>
      <c r="G19" s="82"/>
      <c r="H19" s="82"/>
      <c r="I19" s="93" t="str">
        <f t="shared" si="0"/>
        <v/>
      </c>
      <c r="J19" s="82"/>
      <c r="K19" s="94" t="str">
        <f>IF(OR(D19="",E19=""),"",IF(J19="",G19,IF(D19="Buy",MROUND(MAX(E19*(1-Settings!$K$8),J19*(1-Settings!$K$6)),Settings!$K$10),MROUND(MIN(E19*(1+Settings!$K$8),J19*(1+Settings!$K$6)),Settings!$K$10))))</f>
        <v/>
      </c>
      <c r="L19" s="95" t="str">
        <f t="shared" si="1"/>
        <v/>
      </c>
      <c r="M19" s="82"/>
      <c r="N19" s="94" t="str">
        <f>IF(OR(D19="",E19=""),"",IF(M19="",H19,IF(D19="Buy",MROUND(MAX(E19*(1-Settings!$K$8),M19*(1-Settings!$K$6)),Settings!$K$10),MROUND(MIN(E19*(1+Settings!$K$8),M19*(1+Settings!$K$6)),Settings!$K$10))))</f>
        <v/>
      </c>
      <c r="O19" s="95" t="str">
        <f t="shared" si="2"/>
        <v/>
      </c>
      <c r="P19" s="82"/>
      <c r="Q19" s="94" t="str">
        <f>IF(OR(D19="",P19=""),"",IF(D19="Buy",MROUND(P19*(1-Settings!$K$6),Settings!$K$10),MROUND(P19*(1+Settings!$K$6),Settings!$K$10)))</f>
        <v/>
      </c>
      <c r="R19" s="95" t="str">
        <f t="shared" si="3"/>
        <v/>
      </c>
      <c r="S19" s="82"/>
      <c r="T19" s="94" t="str">
        <f>IF(OR(D19="",S19=""),"",IF(D19="Buy",MROUND(S19*(1-Settings!$K$6),Settings!$K$10),MROUND(S19*(1+Settings!$K$6),Settings!$K$10)))</f>
        <v/>
      </c>
      <c r="U19" s="67"/>
      <c r="V19" s="211" t="str">
        <f t="shared" si="4"/>
        <v/>
      </c>
      <c r="W19" s="110"/>
      <c r="X19" s="211" t="str">
        <f t="shared" si="5"/>
        <v/>
      </c>
      <c r="Y19" s="211" t="str">
        <f t="shared" si="6"/>
        <v/>
      </c>
      <c r="Z19" s="82"/>
    </row>
    <row r="20" ht="20" customHeight="1" spans="1:26">
      <c r="A20" s="64">
        <v>7</v>
      </c>
      <c r="B20" s="65"/>
      <c r="C20" s="66"/>
      <c r="D20" s="67"/>
      <c r="E20" s="82"/>
      <c r="F20" s="82"/>
      <c r="G20" s="82"/>
      <c r="H20" s="82"/>
      <c r="I20" s="93" t="str">
        <f t="shared" si="0"/>
        <v/>
      </c>
      <c r="J20" s="82"/>
      <c r="K20" s="94" t="str">
        <f>IF(OR(D20="",E20=""),"",IF(J20="",G20,IF(D20="Buy",MROUND(MAX(E20*(1-Settings!$K$8),J20*(1-Settings!$K$6)),Settings!$K$10),MROUND(MIN(E20*(1+Settings!$K$8),J20*(1+Settings!$K$6)),Settings!$K$10))))</f>
        <v/>
      </c>
      <c r="L20" s="95" t="str">
        <f t="shared" si="1"/>
        <v/>
      </c>
      <c r="M20" s="82"/>
      <c r="N20" s="94" t="str">
        <f>IF(OR(D20="",E20=""),"",IF(M20="",H20,IF(D20="Buy",MROUND(MAX(E20*(1-Settings!$K$8),M20*(1-Settings!$K$6)),Settings!$K$10),MROUND(MIN(E20*(1+Settings!$K$8),M20*(1+Settings!$K$6)),Settings!$K$10))))</f>
        <v/>
      </c>
      <c r="O20" s="95" t="str">
        <f t="shared" si="2"/>
        <v/>
      </c>
      <c r="P20" s="82"/>
      <c r="Q20" s="94" t="str">
        <f>IF(OR(D20="",P20=""),"",IF(D20="Buy",MROUND(P20*(1-Settings!$K$6),Settings!$K$10),MROUND(P20*(1+Settings!$K$6),Settings!$K$10)))</f>
        <v/>
      </c>
      <c r="R20" s="95" t="str">
        <f t="shared" si="3"/>
        <v/>
      </c>
      <c r="S20" s="82"/>
      <c r="T20" s="94" t="str">
        <f>IF(OR(D20="",S20=""),"",IF(D20="Buy",MROUND(S20*(1-Settings!$K$6),Settings!$K$10),MROUND(S20*(1+Settings!$K$6),Settings!$K$10)))</f>
        <v/>
      </c>
      <c r="U20" s="67"/>
      <c r="V20" s="211" t="str">
        <f t="shared" si="4"/>
        <v/>
      </c>
      <c r="W20" s="110"/>
      <c r="X20" s="211" t="str">
        <f t="shared" si="5"/>
        <v/>
      </c>
      <c r="Y20" s="211" t="str">
        <f t="shared" si="6"/>
        <v/>
      </c>
      <c r="Z20" s="82"/>
    </row>
    <row r="21" ht="20" customHeight="1" spans="1:26">
      <c r="A21" s="64">
        <v>8</v>
      </c>
      <c r="B21" s="65"/>
      <c r="C21" s="66"/>
      <c r="D21" s="67"/>
      <c r="E21" s="82"/>
      <c r="F21" s="82"/>
      <c r="G21" s="82"/>
      <c r="H21" s="82"/>
      <c r="I21" s="93" t="str">
        <f t="shared" si="0"/>
        <v/>
      </c>
      <c r="J21" s="82"/>
      <c r="K21" s="94" t="str">
        <f>IF(OR(D21="",E21=""),"",IF(J21="",G21,IF(D21="Buy",MROUND(MAX(E21*(1-Settings!$K$8),J21*(1-Settings!$K$6)),Settings!$K$10),MROUND(MIN(E21*(1+Settings!$K$8),J21*(1+Settings!$K$6)),Settings!$K$10))))</f>
        <v/>
      </c>
      <c r="L21" s="95" t="str">
        <f t="shared" si="1"/>
        <v/>
      </c>
      <c r="M21" s="82"/>
      <c r="N21" s="94" t="str">
        <f>IF(OR(D21="",E21=""),"",IF(M21="",H21,IF(D21="Buy",MROUND(MAX(E21*(1-Settings!$K$8),M21*(1-Settings!$K$6)),Settings!$K$10),MROUND(MIN(E21*(1+Settings!$K$8),M21*(1+Settings!$K$6)),Settings!$K$10))))</f>
        <v/>
      </c>
      <c r="O21" s="95" t="str">
        <f t="shared" si="2"/>
        <v/>
      </c>
      <c r="P21" s="82"/>
      <c r="Q21" s="94" t="str">
        <f>IF(OR(D21="",P21=""),"",IF(D21="Buy",MROUND(P21*(1-Settings!$K$6),Settings!$K$10),MROUND(P21*(1+Settings!$K$6),Settings!$K$10)))</f>
        <v/>
      </c>
      <c r="R21" s="95" t="str">
        <f t="shared" si="3"/>
        <v/>
      </c>
      <c r="S21" s="82"/>
      <c r="T21" s="94" t="str">
        <f>IF(OR(D21="",S21=""),"",IF(D21="Buy",MROUND(S21*(1-Settings!$K$6),Settings!$K$10),MROUND(S21*(1+Settings!$K$6),Settings!$K$10)))</f>
        <v/>
      </c>
      <c r="U21" s="67"/>
      <c r="V21" s="211" t="str">
        <f t="shared" si="4"/>
        <v/>
      </c>
      <c r="W21" s="110"/>
      <c r="X21" s="211" t="str">
        <f t="shared" si="5"/>
        <v/>
      </c>
      <c r="Y21" s="211" t="str">
        <f t="shared" si="6"/>
        <v/>
      </c>
      <c r="Z21" s="82"/>
    </row>
    <row r="22" ht="20" customHeight="1" spans="1:26">
      <c r="A22" s="64">
        <v>9</v>
      </c>
      <c r="B22" s="65"/>
      <c r="C22" s="66"/>
      <c r="D22" s="67"/>
      <c r="E22" s="82"/>
      <c r="F22" s="82"/>
      <c r="G22" s="82"/>
      <c r="H22" s="82"/>
      <c r="I22" s="93" t="str">
        <f t="shared" si="0"/>
        <v/>
      </c>
      <c r="J22" s="82"/>
      <c r="K22" s="94" t="str">
        <f>IF(OR(D22="",E22=""),"",IF(J22="",G22,IF(D22="Buy",MROUND(MAX(E22*(1-Settings!$K$8),J22*(1-Settings!$K$6)),Settings!$K$10),MROUND(MIN(E22*(1+Settings!$K$8),J22*(1+Settings!$K$6)),Settings!$K$10))))</f>
        <v/>
      </c>
      <c r="L22" s="95" t="str">
        <f t="shared" si="1"/>
        <v/>
      </c>
      <c r="M22" s="82"/>
      <c r="N22" s="94" t="str">
        <f>IF(OR(D22="",E22=""),"",IF(M22="",H22,IF(D22="Buy",MROUND(MAX(E22*(1-Settings!$K$8),M22*(1-Settings!$K$6)),Settings!$K$10),MROUND(MIN(E22*(1+Settings!$K$8),M22*(1+Settings!$K$6)),Settings!$K$10))))</f>
        <v/>
      </c>
      <c r="O22" s="95" t="str">
        <f t="shared" si="2"/>
        <v/>
      </c>
      <c r="P22" s="82"/>
      <c r="Q22" s="94" t="str">
        <f>IF(OR(D22="",P22=""),"",IF(D22="Buy",MROUND(P22*(1-Settings!$K$6),Settings!$K$10),MROUND(P22*(1+Settings!$K$6),Settings!$K$10)))</f>
        <v/>
      </c>
      <c r="R22" s="95" t="str">
        <f t="shared" si="3"/>
        <v/>
      </c>
      <c r="S22" s="82"/>
      <c r="T22" s="94" t="str">
        <f>IF(OR(D22="",S22=""),"",IF(D22="Buy",MROUND(S22*(1-Settings!$K$6),Settings!$K$10),MROUND(S22*(1+Settings!$K$6),Settings!$K$10)))</f>
        <v/>
      </c>
      <c r="U22" s="67"/>
      <c r="V22" s="211" t="str">
        <f t="shared" si="4"/>
        <v/>
      </c>
      <c r="W22" s="110"/>
      <c r="X22" s="211" t="str">
        <f t="shared" si="5"/>
        <v/>
      </c>
      <c r="Y22" s="211" t="str">
        <f t="shared" si="6"/>
        <v/>
      </c>
      <c r="Z22" s="82"/>
    </row>
    <row r="23" ht="20" customHeight="1" spans="1:26">
      <c r="A23" s="64">
        <v>10</v>
      </c>
      <c r="B23" s="65"/>
      <c r="C23" s="66"/>
      <c r="D23" s="67"/>
      <c r="E23" s="82"/>
      <c r="F23" s="82"/>
      <c r="G23" s="82"/>
      <c r="H23" s="82"/>
      <c r="I23" s="93" t="str">
        <f t="shared" si="0"/>
        <v/>
      </c>
      <c r="J23" s="82"/>
      <c r="K23" s="94" t="str">
        <f>IF(OR(D23="",E23=""),"",IF(J23="",G23,IF(D23="Buy",MROUND(MAX(E23*(1-Settings!$K$8),J23*(1-Settings!$K$6)),Settings!$K$10),MROUND(MIN(E23*(1+Settings!$K$8),J23*(1+Settings!$K$6)),Settings!$K$10))))</f>
        <v/>
      </c>
      <c r="L23" s="95" t="str">
        <f t="shared" si="1"/>
        <v/>
      </c>
      <c r="M23" s="82"/>
      <c r="N23" s="94" t="str">
        <f>IF(OR(D23="",E23=""),"",IF(M23="",H23,IF(D23="Buy",MROUND(MAX(E23*(1-Settings!$K$8),M23*(1-Settings!$K$6)),Settings!$K$10),MROUND(MIN(E23*(1+Settings!$K$8),M23*(1+Settings!$K$6)),Settings!$K$10))))</f>
        <v/>
      </c>
      <c r="O23" s="95" t="str">
        <f t="shared" si="2"/>
        <v/>
      </c>
      <c r="P23" s="82"/>
      <c r="Q23" s="94" t="str">
        <f>IF(OR(D23="",P23=""),"",IF(D23="Buy",MROUND(P23*(1-Settings!$K$6),Settings!$K$10),MROUND(P23*(1+Settings!$K$6),Settings!$K$10)))</f>
        <v/>
      </c>
      <c r="R23" s="95" t="str">
        <f t="shared" si="3"/>
        <v/>
      </c>
      <c r="S23" s="82"/>
      <c r="T23" s="94" t="str">
        <f>IF(OR(D23="",S23=""),"",IF(D23="Buy",MROUND(S23*(1-Settings!$K$6),Settings!$K$10),MROUND(S23*(1+Settings!$K$6),Settings!$K$10)))</f>
        <v/>
      </c>
      <c r="U23" s="67"/>
      <c r="V23" s="211" t="str">
        <f t="shared" si="4"/>
        <v/>
      </c>
      <c r="W23" s="110"/>
      <c r="X23" s="211" t="str">
        <f t="shared" si="5"/>
        <v/>
      </c>
      <c r="Y23" s="211" t="str">
        <f t="shared" si="6"/>
        <v/>
      </c>
      <c r="Z23" s="82"/>
    </row>
    <row r="24" ht="20" customHeight="1" spans="1:26">
      <c r="A24" s="64">
        <v>11</v>
      </c>
      <c r="B24" s="65"/>
      <c r="C24" s="66"/>
      <c r="D24" s="67"/>
      <c r="E24" s="82"/>
      <c r="F24" s="82"/>
      <c r="G24" s="82"/>
      <c r="H24" s="82"/>
      <c r="I24" s="93" t="str">
        <f t="shared" si="0"/>
        <v/>
      </c>
      <c r="J24" s="82"/>
      <c r="K24" s="94" t="str">
        <f>IF(OR(D24="",E24=""),"",IF(J24="",G24,IF(D24="Buy",MROUND(MAX(E24*(1-Settings!$K$8),J24*(1-Settings!$K$6)),Settings!$K$10),MROUND(MIN(E24*(1+Settings!$K$8),J24*(1+Settings!$K$6)),Settings!$K$10))))</f>
        <v/>
      </c>
      <c r="L24" s="95" t="str">
        <f t="shared" si="1"/>
        <v/>
      </c>
      <c r="M24" s="82"/>
      <c r="N24" s="94" t="str">
        <f>IF(OR(D24="",E24=""),"",IF(M24="",H24,IF(D24="Buy",MROUND(MAX(E24*(1-Settings!$K$8),M24*(1-Settings!$K$6)),Settings!$K$10),MROUND(MIN(E24*(1+Settings!$K$8),M24*(1+Settings!$K$6)),Settings!$K$10))))</f>
        <v/>
      </c>
      <c r="O24" s="95" t="str">
        <f t="shared" si="2"/>
        <v/>
      </c>
      <c r="P24" s="82"/>
      <c r="Q24" s="94" t="str">
        <f>IF(OR(D24="",P24=""),"",IF(D24="Buy",MROUND(P24*(1-Settings!$K$6),Settings!$K$10),MROUND(P24*(1+Settings!$K$6),Settings!$K$10)))</f>
        <v/>
      </c>
      <c r="R24" s="95" t="str">
        <f t="shared" si="3"/>
        <v/>
      </c>
      <c r="S24" s="82"/>
      <c r="T24" s="94" t="str">
        <f>IF(OR(D24="",S24=""),"",IF(D24="Buy",MROUND(S24*(1-Settings!$K$6),Settings!$K$10),MROUND(S24*(1+Settings!$K$6),Settings!$K$10)))</f>
        <v/>
      </c>
      <c r="U24" s="67"/>
      <c r="V24" s="211" t="str">
        <f t="shared" si="4"/>
        <v/>
      </c>
      <c r="W24" s="110"/>
      <c r="X24" s="211" t="str">
        <f t="shared" si="5"/>
        <v/>
      </c>
      <c r="Y24" s="211" t="str">
        <f t="shared" si="6"/>
        <v/>
      </c>
      <c r="Z24" s="82"/>
    </row>
    <row r="25" ht="20" customHeight="1" spans="1:26">
      <c r="A25" s="64">
        <v>12</v>
      </c>
      <c r="B25" s="65"/>
      <c r="C25" s="66"/>
      <c r="D25" s="67"/>
      <c r="E25" s="82"/>
      <c r="F25" s="82"/>
      <c r="G25" s="82"/>
      <c r="H25" s="82"/>
      <c r="I25" s="93" t="str">
        <f t="shared" si="0"/>
        <v/>
      </c>
      <c r="J25" s="82"/>
      <c r="K25" s="94" t="str">
        <f>IF(OR(D25="",E25=""),"",IF(J25="",G25,IF(D25="Buy",MROUND(MAX(E25*(1-Settings!$K$8),J25*(1-Settings!$K$6)),Settings!$K$10),MROUND(MIN(E25*(1+Settings!$K$8),J25*(1+Settings!$K$6)),Settings!$K$10))))</f>
        <v/>
      </c>
      <c r="L25" s="95" t="str">
        <f t="shared" si="1"/>
        <v/>
      </c>
      <c r="M25" s="82"/>
      <c r="N25" s="94" t="str">
        <f>IF(OR(D25="",E25=""),"",IF(M25="",H25,IF(D25="Buy",MROUND(MAX(E25*(1-Settings!$K$8),M25*(1-Settings!$K$6)),Settings!$K$10),MROUND(MIN(E25*(1+Settings!$K$8),M25*(1+Settings!$K$6)),Settings!$K$10))))</f>
        <v/>
      </c>
      <c r="O25" s="95" t="str">
        <f t="shared" si="2"/>
        <v/>
      </c>
      <c r="P25" s="82"/>
      <c r="Q25" s="94" t="str">
        <f>IF(OR(D25="",P25=""),"",IF(D25="Buy",MROUND(P25*(1-Settings!$K$6),Settings!$K$10),MROUND(P25*(1+Settings!$K$6),Settings!$K$10)))</f>
        <v/>
      </c>
      <c r="R25" s="95" t="str">
        <f t="shared" si="3"/>
        <v/>
      </c>
      <c r="S25" s="82"/>
      <c r="T25" s="94" t="str">
        <f>IF(OR(D25="",S25=""),"",IF(D25="Buy",MROUND(S25*(1-Settings!$K$6),Settings!$K$10),MROUND(S25*(1+Settings!$K$6),Settings!$K$10)))</f>
        <v/>
      </c>
      <c r="U25" s="67"/>
      <c r="V25" s="211" t="str">
        <f t="shared" si="4"/>
        <v/>
      </c>
      <c r="W25" s="110"/>
      <c r="X25" s="211" t="str">
        <f t="shared" si="5"/>
        <v/>
      </c>
      <c r="Y25" s="211" t="str">
        <f t="shared" si="6"/>
        <v/>
      </c>
      <c r="Z25" s="82"/>
    </row>
    <row r="26" ht="20" customHeight="1" spans="1:26">
      <c r="A26" s="64">
        <v>13</v>
      </c>
      <c r="B26" s="65"/>
      <c r="C26" s="66"/>
      <c r="D26" s="67"/>
      <c r="E26" s="82"/>
      <c r="F26" s="82"/>
      <c r="G26" s="82"/>
      <c r="H26" s="82"/>
      <c r="I26" s="93" t="str">
        <f t="shared" si="0"/>
        <v/>
      </c>
      <c r="J26" s="82"/>
      <c r="K26" s="94" t="str">
        <f>IF(OR(D26="",E26=""),"",IF(J26="",G26,IF(D26="Buy",MROUND(MAX(E26*(1-Settings!$K$8),J26*(1-Settings!$K$6)),Settings!$K$10),MROUND(MIN(E26*(1+Settings!$K$8),J26*(1+Settings!$K$6)),Settings!$K$10))))</f>
        <v/>
      </c>
      <c r="L26" s="95" t="str">
        <f t="shared" si="1"/>
        <v/>
      </c>
      <c r="M26" s="82"/>
      <c r="N26" s="94" t="str">
        <f>IF(OR(D26="",E26=""),"",IF(M26="",H26,IF(D26="Buy",MROUND(MAX(E26*(1-Settings!$K$8),M26*(1-Settings!$K$6)),Settings!$K$10),MROUND(MIN(E26*(1+Settings!$K$8),M26*(1+Settings!$K$6)),Settings!$K$10))))</f>
        <v/>
      </c>
      <c r="O26" s="95" t="str">
        <f t="shared" si="2"/>
        <v/>
      </c>
      <c r="P26" s="82"/>
      <c r="Q26" s="94" t="str">
        <f>IF(OR(D26="",P26=""),"",IF(D26="Buy",MROUND(P26*(1-Settings!$K$6),Settings!$K$10),MROUND(P26*(1+Settings!$K$6),Settings!$K$10)))</f>
        <v/>
      </c>
      <c r="R26" s="95" t="str">
        <f t="shared" si="3"/>
        <v/>
      </c>
      <c r="S26" s="82"/>
      <c r="T26" s="94" t="str">
        <f>IF(OR(D26="",S26=""),"",IF(D26="Buy",MROUND(S26*(1-Settings!$K$6),Settings!$K$10),MROUND(S26*(1+Settings!$K$6),Settings!$K$10)))</f>
        <v/>
      </c>
      <c r="U26" s="67"/>
      <c r="V26" s="211" t="str">
        <f t="shared" si="4"/>
        <v/>
      </c>
      <c r="W26" s="110"/>
      <c r="X26" s="211" t="str">
        <f t="shared" si="5"/>
        <v/>
      </c>
      <c r="Y26" s="211" t="str">
        <f t="shared" si="6"/>
        <v/>
      </c>
      <c r="Z26" s="82"/>
    </row>
    <row r="27" ht="20" customHeight="1" spans="1:26">
      <c r="A27" s="64">
        <v>14</v>
      </c>
      <c r="B27" s="65"/>
      <c r="C27" s="66"/>
      <c r="D27" s="67"/>
      <c r="E27" s="82"/>
      <c r="F27" s="82"/>
      <c r="G27" s="82"/>
      <c r="H27" s="82"/>
      <c r="I27" s="93" t="str">
        <f t="shared" si="0"/>
        <v/>
      </c>
      <c r="J27" s="82"/>
      <c r="K27" s="94" t="str">
        <f>IF(OR(D27="",E27=""),"",IF(J27="",G27,IF(D27="Buy",MROUND(MAX(E27*(1-Settings!$K$8),J27*(1-Settings!$K$6)),Settings!$K$10),MROUND(MIN(E27*(1+Settings!$K$8),J27*(1+Settings!$K$6)),Settings!$K$10))))</f>
        <v/>
      </c>
      <c r="L27" s="95" t="str">
        <f t="shared" si="1"/>
        <v/>
      </c>
      <c r="M27" s="82"/>
      <c r="N27" s="94" t="str">
        <f>IF(OR(D27="",E27=""),"",IF(M27="",H27,IF(D27="Buy",MROUND(MAX(E27*(1-Settings!$K$8),M27*(1-Settings!$K$6)),Settings!$K$10),MROUND(MIN(E27*(1+Settings!$K$8),M27*(1+Settings!$K$6)),Settings!$K$10))))</f>
        <v/>
      </c>
      <c r="O27" s="95" t="str">
        <f t="shared" si="2"/>
        <v/>
      </c>
      <c r="P27" s="82"/>
      <c r="Q27" s="94" t="str">
        <f>IF(OR(D27="",P27=""),"",IF(D27="Buy",MROUND(P27*(1-Settings!$K$6),Settings!$K$10),MROUND(P27*(1+Settings!$K$6),Settings!$K$10)))</f>
        <v/>
      </c>
      <c r="R27" s="95" t="str">
        <f t="shared" si="3"/>
        <v/>
      </c>
      <c r="S27" s="82"/>
      <c r="T27" s="94" t="str">
        <f>IF(OR(D27="",S27=""),"",IF(D27="Buy",MROUND(S27*(1-Settings!$K$6),Settings!$K$10),MROUND(S27*(1+Settings!$K$6),Settings!$K$10)))</f>
        <v/>
      </c>
      <c r="U27" s="67"/>
      <c r="V27" s="211" t="str">
        <f t="shared" si="4"/>
        <v/>
      </c>
      <c r="W27" s="110"/>
      <c r="X27" s="211" t="str">
        <f t="shared" si="5"/>
        <v/>
      </c>
      <c r="Y27" s="211" t="str">
        <f t="shared" si="6"/>
        <v/>
      </c>
      <c r="Z27" s="82"/>
    </row>
    <row r="28" ht="20" customHeight="1" spans="1:26">
      <c r="A28" s="64">
        <v>15</v>
      </c>
      <c r="B28" s="65"/>
      <c r="C28" s="66"/>
      <c r="D28" s="67"/>
      <c r="E28" s="82"/>
      <c r="F28" s="82"/>
      <c r="G28" s="82"/>
      <c r="H28" s="82"/>
      <c r="I28" s="93" t="str">
        <f t="shared" si="0"/>
        <v/>
      </c>
      <c r="J28" s="82"/>
      <c r="K28" s="94" t="str">
        <f>IF(OR(D28="",E28=""),"",IF(J28="",G28,IF(D28="Buy",MROUND(MAX(E28*(1-Settings!$K$8),J28*(1-Settings!$K$6)),Settings!$K$10),MROUND(MIN(E28*(1+Settings!$K$8),J28*(1+Settings!$K$6)),Settings!$K$10))))</f>
        <v/>
      </c>
      <c r="L28" s="95" t="str">
        <f t="shared" si="1"/>
        <v/>
      </c>
      <c r="M28" s="82"/>
      <c r="N28" s="94" t="str">
        <f>IF(OR(D28="",E28=""),"",IF(M28="",H28,IF(D28="Buy",MROUND(MAX(E28*(1-Settings!$K$8),M28*(1-Settings!$K$6)),Settings!$K$10),MROUND(MIN(E28*(1+Settings!$K$8),M28*(1+Settings!$K$6)),Settings!$K$10))))</f>
        <v/>
      </c>
      <c r="O28" s="95" t="str">
        <f t="shared" si="2"/>
        <v/>
      </c>
      <c r="P28" s="82"/>
      <c r="Q28" s="94" t="str">
        <f>IF(OR(D28="",P28=""),"",IF(D28="Buy",MROUND(P28*(1-Settings!$K$6),Settings!$K$10),MROUND(P28*(1+Settings!$K$6),Settings!$K$10)))</f>
        <v/>
      </c>
      <c r="R28" s="95" t="str">
        <f t="shared" si="3"/>
        <v/>
      </c>
      <c r="S28" s="82"/>
      <c r="T28" s="94" t="str">
        <f>IF(OR(D28="",S28=""),"",IF(D28="Buy",MROUND(S28*(1-Settings!$K$6),Settings!$K$10),MROUND(S28*(1+Settings!$K$6),Settings!$K$10)))</f>
        <v/>
      </c>
      <c r="U28" s="67"/>
      <c r="V28" s="211" t="str">
        <f t="shared" si="4"/>
        <v/>
      </c>
      <c r="W28" s="110"/>
      <c r="X28" s="211" t="str">
        <f t="shared" si="5"/>
        <v/>
      </c>
      <c r="Y28" s="211" t="str">
        <f t="shared" si="6"/>
        <v/>
      </c>
      <c r="Z28" s="82"/>
    </row>
    <row r="29" ht="20" customHeight="1" spans="1:26">
      <c r="A29" s="64">
        <v>16</v>
      </c>
      <c r="B29" s="65"/>
      <c r="C29" s="66"/>
      <c r="D29" s="67"/>
      <c r="E29" s="82"/>
      <c r="F29" s="82"/>
      <c r="G29" s="82"/>
      <c r="H29" s="82"/>
      <c r="I29" s="93" t="str">
        <f t="shared" si="0"/>
        <v/>
      </c>
      <c r="J29" s="82"/>
      <c r="K29" s="94" t="str">
        <f>IF(OR(D29="",E29=""),"",IF(J29="",G29,IF(D29="Buy",MROUND(MAX(E29*(1-Settings!$K$8),J29*(1-Settings!$K$6)),Settings!$K$10),MROUND(MIN(E29*(1+Settings!$K$8),J29*(1+Settings!$K$6)),Settings!$K$10))))</f>
        <v/>
      </c>
      <c r="L29" s="95" t="str">
        <f t="shared" si="1"/>
        <v/>
      </c>
      <c r="M29" s="82"/>
      <c r="N29" s="94" t="str">
        <f>IF(OR(D29="",E29=""),"",IF(M29="",H29,IF(D29="Buy",MROUND(MAX(E29*(1-Settings!$K$8),M29*(1-Settings!$K$6)),Settings!$K$10),MROUND(MIN(E29*(1+Settings!$K$8),M29*(1+Settings!$K$6)),Settings!$K$10))))</f>
        <v/>
      </c>
      <c r="O29" s="95" t="str">
        <f t="shared" si="2"/>
        <v/>
      </c>
      <c r="P29" s="82"/>
      <c r="Q29" s="94" t="str">
        <f>IF(OR(D29="",P29=""),"",IF(D29="Buy",MROUND(P29*(1-Settings!$K$6),Settings!$K$10),MROUND(P29*(1+Settings!$K$6),Settings!$K$10)))</f>
        <v/>
      </c>
      <c r="R29" s="95" t="str">
        <f t="shared" si="3"/>
        <v/>
      </c>
      <c r="S29" s="82"/>
      <c r="T29" s="94" t="str">
        <f>IF(OR(D29="",S29=""),"",IF(D29="Buy",MROUND(S29*(1-Settings!$K$6),Settings!$K$10),MROUND(S29*(1+Settings!$K$6),Settings!$K$10)))</f>
        <v/>
      </c>
      <c r="U29" s="67"/>
      <c r="V29" s="211" t="str">
        <f t="shared" si="4"/>
        <v/>
      </c>
      <c r="W29" s="110"/>
      <c r="X29" s="211" t="str">
        <f t="shared" si="5"/>
        <v/>
      </c>
      <c r="Y29" s="211" t="str">
        <f t="shared" si="6"/>
        <v/>
      </c>
      <c r="Z29" s="82"/>
    </row>
    <row r="30" ht="20" customHeight="1" spans="1:26">
      <c r="A30" s="64">
        <v>17</v>
      </c>
      <c r="B30" s="65"/>
      <c r="C30" s="66"/>
      <c r="D30" s="67"/>
      <c r="E30" s="82"/>
      <c r="F30" s="82"/>
      <c r="G30" s="82"/>
      <c r="H30" s="82"/>
      <c r="I30" s="93" t="str">
        <f t="shared" si="0"/>
        <v/>
      </c>
      <c r="J30" s="82"/>
      <c r="K30" s="94" t="str">
        <f>IF(OR(D30="",E30=""),"",IF(J30="",G30,IF(D30="Buy",MROUND(MAX(E30*(1-Settings!$K$8),J30*(1-Settings!$K$6)),Settings!$K$10),MROUND(MIN(E30*(1+Settings!$K$8),J30*(1+Settings!$K$6)),Settings!$K$10))))</f>
        <v/>
      </c>
      <c r="L30" s="95" t="str">
        <f t="shared" si="1"/>
        <v/>
      </c>
      <c r="M30" s="82"/>
      <c r="N30" s="94" t="str">
        <f>IF(OR(D30="",E30=""),"",IF(M30="",H30,IF(D30="Buy",MROUND(MAX(E30*(1-Settings!$K$8),M30*(1-Settings!$K$6)),Settings!$K$10),MROUND(MIN(E30*(1+Settings!$K$8),M30*(1+Settings!$K$6)),Settings!$K$10))))</f>
        <v/>
      </c>
      <c r="O30" s="95" t="str">
        <f t="shared" si="2"/>
        <v/>
      </c>
      <c r="P30" s="82"/>
      <c r="Q30" s="94" t="str">
        <f>IF(OR(D30="",P30=""),"",IF(D30="Buy",MROUND(P30*(1-Settings!$K$6),Settings!$K$10),MROUND(P30*(1+Settings!$K$6),Settings!$K$10)))</f>
        <v/>
      </c>
      <c r="R30" s="95" t="str">
        <f t="shared" si="3"/>
        <v/>
      </c>
      <c r="S30" s="82"/>
      <c r="T30" s="94" t="str">
        <f>IF(OR(D30="",S30=""),"",IF(D30="Buy",MROUND(S30*(1-Settings!$K$6),Settings!$K$10),MROUND(S30*(1+Settings!$K$6),Settings!$K$10)))</f>
        <v/>
      </c>
      <c r="U30" s="67"/>
      <c r="V30" s="211" t="str">
        <f t="shared" si="4"/>
        <v/>
      </c>
      <c r="W30" s="110"/>
      <c r="X30" s="211" t="str">
        <f t="shared" si="5"/>
        <v/>
      </c>
      <c r="Y30" s="211" t="str">
        <f t="shared" si="6"/>
        <v/>
      </c>
      <c r="Z30" s="82"/>
    </row>
    <row r="31" ht="20" customHeight="1" spans="1:26">
      <c r="A31" s="64">
        <v>18</v>
      </c>
      <c r="B31" s="65"/>
      <c r="C31" s="66"/>
      <c r="D31" s="67"/>
      <c r="E31" s="82"/>
      <c r="F31" s="82"/>
      <c r="G31" s="82"/>
      <c r="H31" s="82"/>
      <c r="I31" s="93" t="str">
        <f t="shared" si="0"/>
        <v/>
      </c>
      <c r="J31" s="82"/>
      <c r="K31" s="94" t="str">
        <f>IF(OR(D31="",E31=""),"",IF(J31="",G31,IF(D31="Buy",MROUND(MAX(E31*(1-Settings!$K$8),J31*(1-Settings!$K$6)),Settings!$K$10),MROUND(MIN(E31*(1+Settings!$K$8),J31*(1+Settings!$K$6)),Settings!$K$10))))</f>
        <v/>
      </c>
      <c r="L31" s="95" t="str">
        <f t="shared" si="1"/>
        <v/>
      </c>
      <c r="M31" s="82"/>
      <c r="N31" s="94" t="str">
        <f>IF(OR(D31="",E31=""),"",IF(M31="",H31,IF(D31="Buy",MROUND(MAX(E31*(1-Settings!$K$8),M31*(1-Settings!$K$6)),Settings!$K$10),MROUND(MIN(E31*(1+Settings!$K$8),M31*(1+Settings!$K$6)),Settings!$K$10))))</f>
        <v/>
      </c>
      <c r="O31" s="95" t="str">
        <f t="shared" si="2"/>
        <v/>
      </c>
      <c r="P31" s="82"/>
      <c r="Q31" s="94" t="str">
        <f>IF(OR(D31="",P31=""),"",IF(D31="Buy",MROUND(P31*(1-Settings!$K$6),Settings!$K$10),MROUND(P31*(1+Settings!$K$6),Settings!$K$10)))</f>
        <v/>
      </c>
      <c r="R31" s="95" t="str">
        <f t="shared" si="3"/>
        <v/>
      </c>
      <c r="S31" s="82"/>
      <c r="T31" s="94" t="str">
        <f>IF(OR(D31="",S31=""),"",IF(D31="Buy",MROUND(S31*(1-Settings!$K$6),Settings!$K$10),MROUND(S31*(1+Settings!$K$6),Settings!$K$10)))</f>
        <v/>
      </c>
      <c r="U31" s="67"/>
      <c r="V31" s="211" t="str">
        <f t="shared" si="4"/>
        <v/>
      </c>
      <c r="W31" s="110"/>
      <c r="X31" s="211" t="str">
        <f t="shared" si="5"/>
        <v/>
      </c>
      <c r="Y31" s="211" t="str">
        <f t="shared" si="6"/>
        <v/>
      </c>
      <c r="Z31" s="82"/>
    </row>
    <row r="32" ht="20" customHeight="1" spans="1:26">
      <c r="A32" s="64">
        <v>19</v>
      </c>
      <c r="B32" s="65"/>
      <c r="C32" s="66"/>
      <c r="D32" s="67"/>
      <c r="E32" s="82"/>
      <c r="F32" s="82"/>
      <c r="G32" s="82"/>
      <c r="H32" s="82"/>
      <c r="I32" s="93" t="str">
        <f t="shared" si="0"/>
        <v/>
      </c>
      <c r="J32" s="82"/>
      <c r="K32" s="94" t="str">
        <f>IF(OR(D32="",E32=""),"",IF(J32="",G32,IF(D32="Buy",MROUND(MAX(E32*(1-Settings!$K$8),J32*(1-Settings!$K$6)),Settings!$K$10),MROUND(MIN(E32*(1+Settings!$K$8),J32*(1+Settings!$K$6)),Settings!$K$10))))</f>
        <v/>
      </c>
      <c r="L32" s="95" t="str">
        <f t="shared" si="1"/>
        <v/>
      </c>
      <c r="M32" s="82"/>
      <c r="N32" s="94" t="str">
        <f>IF(OR(D32="",E32=""),"",IF(M32="",H32,IF(D32="Buy",MROUND(MAX(E32*(1-Settings!$K$8),M32*(1-Settings!$K$6)),Settings!$K$10),MROUND(MIN(E32*(1+Settings!$K$8),M32*(1+Settings!$K$6)),Settings!$K$10))))</f>
        <v/>
      </c>
      <c r="O32" s="95" t="str">
        <f t="shared" si="2"/>
        <v/>
      </c>
      <c r="P32" s="82"/>
      <c r="Q32" s="94" t="str">
        <f>IF(OR(D32="",P32=""),"",IF(D32="Buy",MROUND(P32*(1-Settings!$K$6),Settings!$K$10),MROUND(P32*(1+Settings!$K$6),Settings!$K$10)))</f>
        <v/>
      </c>
      <c r="R32" s="95" t="str">
        <f t="shared" si="3"/>
        <v/>
      </c>
      <c r="S32" s="82"/>
      <c r="T32" s="94" t="str">
        <f>IF(OR(D32="",S32=""),"",IF(D32="Buy",MROUND(S32*(1-Settings!$K$6),Settings!$K$10),MROUND(S32*(1+Settings!$K$6),Settings!$K$10)))</f>
        <v/>
      </c>
      <c r="U32" s="67"/>
      <c r="V32" s="211" t="str">
        <f t="shared" si="4"/>
        <v/>
      </c>
      <c r="W32" s="110"/>
      <c r="X32" s="211" t="str">
        <f t="shared" si="5"/>
        <v/>
      </c>
      <c r="Y32" s="211" t="str">
        <f t="shared" si="6"/>
        <v/>
      </c>
      <c r="Z32" s="82"/>
    </row>
    <row r="33" ht="20" customHeight="1" spans="1:26">
      <c r="A33" s="64">
        <v>20</v>
      </c>
      <c r="B33" s="65"/>
      <c r="C33" s="66"/>
      <c r="D33" s="67"/>
      <c r="E33" s="82"/>
      <c r="F33" s="82"/>
      <c r="G33" s="82"/>
      <c r="H33" s="82"/>
      <c r="I33" s="93" t="str">
        <f t="shared" si="0"/>
        <v/>
      </c>
      <c r="J33" s="82"/>
      <c r="K33" s="94" t="str">
        <f>IF(OR(D33="",E33=""),"",IF(J33="",G33,IF(D33="Buy",MROUND(MAX(E33*(1-Settings!$K$8),J33*(1-Settings!$K$6)),Settings!$K$10),MROUND(MIN(E33*(1+Settings!$K$8),J33*(1+Settings!$K$6)),Settings!$K$10))))</f>
        <v/>
      </c>
      <c r="L33" s="95" t="str">
        <f t="shared" si="1"/>
        <v/>
      </c>
      <c r="M33" s="82"/>
      <c r="N33" s="94" t="str">
        <f>IF(OR(D33="",E33=""),"",IF(M33="",H33,IF(D33="Buy",MROUND(MAX(E33*(1-Settings!$K$8),M33*(1-Settings!$K$6)),Settings!$K$10),MROUND(MIN(E33*(1+Settings!$K$8),M33*(1+Settings!$K$6)),Settings!$K$10))))</f>
        <v/>
      </c>
      <c r="O33" s="95" t="str">
        <f t="shared" si="2"/>
        <v/>
      </c>
      <c r="P33" s="82"/>
      <c r="Q33" s="94" t="str">
        <f>IF(OR(D33="",P33=""),"",IF(D33="Buy",MROUND(P33*(1-Settings!$K$6),Settings!$K$10),MROUND(P33*(1+Settings!$K$6),Settings!$K$10)))</f>
        <v/>
      </c>
      <c r="R33" s="95" t="str">
        <f t="shared" si="3"/>
        <v/>
      </c>
      <c r="S33" s="82"/>
      <c r="T33" s="94" t="str">
        <f>IF(OR(D33="",S33=""),"",IF(D33="Buy",MROUND(S33*(1-Settings!$K$6),Settings!$K$10),MROUND(S33*(1+Settings!$K$6),Settings!$K$10)))</f>
        <v/>
      </c>
      <c r="U33" s="67"/>
      <c r="V33" s="211" t="str">
        <f t="shared" si="4"/>
        <v/>
      </c>
      <c r="W33" s="110"/>
      <c r="X33" s="211" t="str">
        <f t="shared" si="5"/>
        <v/>
      </c>
      <c r="Y33" s="211" t="str">
        <f t="shared" si="6"/>
        <v/>
      </c>
      <c r="Z33" s="82"/>
    </row>
    <row r="34" ht="20" customHeight="1" spans="1:26">
      <c r="A34" s="64">
        <v>21</v>
      </c>
      <c r="B34" s="65"/>
      <c r="C34" s="66"/>
      <c r="D34" s="67"/>
      <c r="E34" s="82"/>
      <c r="F34" s="82"/>
      <c r="G34" s="82"/>
      <c r="H34" s="82"/>
      <c r="I34" s="93" t="str">
        <f t="shared" si="0"/>
        <v/>
      </c>
      <c r="J34" s="82"/>
      <c r="K34" s="94" t="str">
        <f>IF(OR(D34="",E34=""),"",IF(J34="",G34,IF(D34="Buy",MROUND(MAX(E34*(1-Settings!$K$8),J34*(1-Settings!$K$6)),Settings!$K$10),MROUND(MIN(E34*(1+Settings!$K$8),J34*(1+Settings!$K$6)),Settings!$K$10))))</f>
        <v/>
      </c>
      <c r="L34" s="95" t="str">
        <f t="shared" si="1"/>
        <v/>
      </c>
      <c r="M34" s="82"/>
      <c r="N34" s="94" t="str">
        <f>IF(OR(D34="",E34=""),"",IF(M34="",H34,IF(D34="Buy",MROUND(MAX(E34*(1-Settings!$K$8),M34*(1-Settings!$K$6)),Settings!$K$10),MROUND(MIN(E34*(1+Settings!$K$8),M34*(1+Settings!$K$6)),Settings!$K$10))))</f>
        <v/>
      </c>
      <c r="O34" s="95" t="str">
        <f t="shared" si="2"/>
        <v/>
      </c>
      <c r="P34" s="82"/>
      <c r="Q34" s="94" t="str">
        <f>IF(OR(D34="",P34=""),"",IF(D34="Buy",MROUND(P34*(1-Settings!$K$6),Settings!$K$10),MROUND(P34*(1+Settings!$K$6),Settings!$K$10)))</f>
        <v/>
      </c>
      <c r="R34" s="95" t="str">
        <f t="shared" si="3"/>
        <v/>
      </c>
      <c r="S34" s="82"/>
      <c r="T34" s="94" t="str">
        <f>IF(OR(D34="",S34=""),"",IF(D34="Buy",MROUND(S34*(1-Settings!$K$6),Settings!$K$10),MROUND(S34*(1+Settings!$K$6),Settings!$K$10)))</f>
        <v/>
      </c>
      <c r="U34" s="67"/>
      <c r="V34" s="211" t="str">
        <f t="shared" si="4"/>
        <v/>
      </c>
      <c r="W34" s="110"/>
      <c r="X34" s="211" t="str">
        <f t="shared" si="5"/>
        <v/>
      </c>
      <c r="Y34" s="211" t="str">
        <f t="shared" si="6"/>
        <v/>
      </c>
      <c r="Z34" s="82"/>
    </row>
    <row r="35" ht="20" customHeight="1" spans="1:26">
      <c r="A35" s="64">
        <v>22</v>
      </c>
      <c r="B35" s="65"/>
      <c r="C35" s="66"/>
      <c r="D35" s="67"/>
      <c r="E35" s="82"/>
      <c r="F35" s="82"/>
      <c r="G35" s="82"/>
      <c r="H35" s="82"/>
      <c r="I35" s="93" t="str">
        <f t="shared" si="0"/>
        <v/>
      </c>
      <c r="J35" s="82"/>
      <c r="K35" s="94" t="str">
        <f>IF(OR(D35="",E35=""),"",IF(J35="",G35,IF(D35="Buy",MROUND(MAX(E35*(1-Settings!$K$8),J35*(1-Settings!$K$6)),Settings!$K$10),MROUND(MIN(E35*(1+Settings!$K$8),J35*(1+Settings!$K$6)),Settings!$K$10))))</f>
        <v/>
      </c>
      <c r="L35" s="95" t="str">
        <f t="shared" si="1"/>
        <v/>
      </c>
      <c r="M35" s="82"/>
      <c r="N35" s="94" t="str">
        <f>IF(OR(D35="",E35=""),"",IF(M35="",H35,IF(D35="Buy",MROUND(MAX(E35*(1-Settings!$K$8),M35*(1-Settings!$K$6)),Settings!$K$10),MROUND(MIN(E35*(1+Settings!$K$8),M35*(1+Settings!$K$6)),Settings!$K$10))))</f>
        <v/>
      </c>
      <c r="O35" s="95" t="str">
        <f t="shared" si="2"/>
        <v/>
      </c>
      <c r="P35" s="82"/>
      <c r="Q35" s="94" t="str">
        <f>IF(OR(D35="",P35=""),"",IF(D35="Buy",MROUND(P35*(1-Settings!$K$6),Settings!$K$10),MROUND(P35*(1+Settings!$K$6),Settings!$K$10)))</f>
        <v/>
      </c>
      <c r="R35" s="95" t="str">
        <f t="shared" si="3"/>
        <v/>
      </c>
      <c r="S35" s="82"/>
      <c r="T35" s="94" t="str">
        <f>IF(OR(D35="",S35=""),"",IF(D35="Buy",MROUND(S35*(1-Settings!$K$6),Settings!$K$10),MROUND(S35*(1+Settings!$K$6),Settings!$K$10)))</f>
        <v/>
      </c>
      <c r="U35" s="67"/>
      <c r="V35" s="211" t="str">
        <f t="shared" si="4"/>
        <v/>
      </c>
      <c r="W35" s="110"/>
      <c r="X35" s="211" t="str">
        <f t="shared" si="5"/>
        <v/>
      </c>
      <c r="Y35" s="211" t="str">
        <f t="shared" si="6"/>
        <v/>
      </c>
      <c r="Z35" s="82"/>
    </row>
    <row r="36" ht="20" customHeight="1" spans="1:26">
      <c r="A36" s="64">
        <v>23</v>
      </c>
      <c r="B36" s="65"/>
      <c r="C36" s="66"/>
      <c r="D36" s="67"/>
      <c r="E36" s="82"/>
      <c r="F36" s="82"/>
      <c r="G36" s="82"/>
      <c r="H36" s="82"/>
      <c r="I36" s="93" t="str">
        <f t="shared" si="0"/>
        <v/>
      </c>
      <c r="J36" s="82"/>
      <c r="K36" s="94" t="str">
        <f>IF(OR(D36="",E36=""),"",IF(J36="",G36,IF(D36="Buy",MROUND(MAX(E36*(1-Settings!$K$8),J36*(1-Settings!$K$6)),Settings!$K$10),MROUND(MIN(E36*(1+Settings!$K$8),J36*(1+Settings!$K$6)),Settings!$K$10))))</f>
        <v/>
      </c>
      <c r="L36" s="95" t="str">
        <f t="shared" si="1"/>
        <v/>
      </c>
      <c r="M36" s="82"/>
      <c r="N36" s="94" t="str">
        <f>IF(OR(D36="",E36=""),"",IF(M36="",H36,IF(D36="Buy",MROUND(MAX(E36*(1-Settings!$K$8),M36*(1-Settings!$K$6)),Settings!$K$10),MROUND(MIN(E36*(1+Settings!$K$8),M36*(1+Settings!$K$6)),Settings!$K$10))))</f>
        <v/>
      </c>
      <c r="O36" s="95" t="str">
        <f t="shared" si="2"/>
        <v/>
      </c>
      <c r="P36" s="82"/>
      <c r="Q36" s="94" t="str">
        <f>IF(OR(D36="",P36=""),"",IF(D36="Buy",MROUND(P36*(1-Settings!$K$6),Settings!$K$10),MROUND(P36*(1+Settings!$K$6),Settings!$K$10)))</f>
        <v/>
      </c>
      <c r="R36" s="95" t="str">
        <f t="shared" si="3"/>
        <v/>
      </c>
      <c r="S36" s="82"/>
      <c r="T36" s="94" t="str">
        <f>IF(OR(D36="",S36=""),"",IF(D36="Buy",MROUND(S36*(1-Settings!$K$6),Settings!$K$10),MROUND(S36*(1+Settings!$K$6),Settings!$K$10)))</f>
        <v/>
      </c>
      <c r="U36" s="67"/>
      <c r="V36" s="211" t="str">
        <f t="shared" si="4"/>
        <v/>
      </c>
      <c r="W36" s="110"/>
      <c r="X36" s="211" t="str">
        <f t="shared" si="5"/>
        <v/>
      </c>
      <c r="Y36" s="211" t="str">
        <f t="shared" si="6"/>
        <v/>
      </c>
      <c r="Z36" s="82"/>
    </row>
    <row r="37" ht="20" customHeight="1" spans="1:26">
      <c r="A37" s="64">
        <v>24</v>
      </c>
      <c r="B37" s="65"/>
      <c r="C37" s="66"/>
      <c r="D37" s="67"/>
      <c r="E37" s="82"/>
      <c r="F37" s="82"/>
      <c r="G37" s="82"/>
      <c r="H37" s="82"/>
      <c r="I37" s="93" t="str">
        <f t="shared" si="0"/>
        <v/>
      </c>
      <c r="J37" s="82"/>
      <c r="K37" s="94" t="str">
        <f>IF(OR(D37="",E37=""),"",IF(J37="",G37,IF(D37="Buy",MROUND(MAX(E37*(1-Settings!$K$8),J37*(1-Settings!$K$6)),Settings!$K$10),MROUND(MIN(E37*(1+Settings!$K$8),J37*(1+Settings!$K$6)),Settings!$K$10))))</f>
        <v/>
      </c>
      <c r="L37" s="95" t="str">
        <f t="shared" si="1"/>
        <v/>
      </c>
      <c r="M37" s="82"/>
      <c r="N37" s="94" t="str">
        <f>IF(OR(D37="",E37=""),"",IF(M37="",H37,IF(D37="Buy",MROUND(MAX(E37*(1-Settings!$K$8),M37*(1-Settings!$K$6)),Settings!$K$10),MROUND(MIN(E37*(1+Settings!$K$8),M37*(1+Settings!$K$6)),Settings!$K$10))))</f>
        <v/>
      </c>
      <c r="O37" s="95" t="str">
        <f t="shared" si="2"/>
        <v/>
      </c>
      <c r="P37" s="82"/>
      <c r="Q37" s="94" t="str">
        <f>IF(OR(D37="",P37=""),"",IF(D37="Buy",MROUND(P37*(1-Settings!$K$6),Settings!$K$10),MROUND(P37*(1+Settings!$K$6),Settings!$K$10)))</f>
        <v/>
      </c>
      <c r="R37" s="95" t="str">
        <f t="shared" si="3"/>
        <v/>
      </c>
      <c r="S37" s="82"/>
      <c r="T37" s="94" t="str">
        <f>IF(OR(D37="",S37=""),"",IF(D37="Buy",MROUND(S37*(1-Settings!$K$6),Settings!$K$10),MROUND(S37*(1+Settings!$K$6),Settings!$K$10)))</f>
        <v/>
      </c>
      <c r="U37" s="67"/>
      <c r="V37" s="211" t="str">
        <f t="shared" si="4"/>
        <v/>
      </c>
      <c r="W37" s="110"/>
      <c r="X37" s="211" t="str">
        <f t="shared" si="5"/>
        <v/>
      </c>
      <c r="Y37" s="211" t="str">
        <f t="shared" si="6"/>
        <v/>
      </c>
      <c r="Z37" s="82"/>
    </row>
    <row r="38" ht="20" customHeight="1" spans="1:26">
      <c r="A38" s="64">
        <v>25</v>
      </c>
      <c r="B38" s="65"/>
      <c r="C38" s="66"/>
      <c r="D38" s="67"/>
      <c r="E38" s="82"/>
      <c r="F38" s="82"/>
      <c r="G38" s="82"/>
      <c r="H38" s="82"/>
      <c r="I38" s="93" t="str">
        <f t="shared" si="0"/>
        <v/>
      </c>
      <c r="J38" s="82"/>
      <c r="K38" s="94" t="str">
        <f>IF(OR(D38="",E38=""),"",IF(J38="",G38,IF(D38="Buy",MROUND(MAX(E38*(1-Settings!$K$8),J38*(1-Settings!$K$6)),Settings!$K$10),MROUND(MIN(E38*(1+Settings!$K$8),J38*(1+Settings!$K$6)),Settings!$K$10))))</f>
        <v/>
      </c>
      <c r="L38" s="95" t="str">
        <f t="shared" si="1"/>
        <v/>
      </c>
      <c r="M38" s="82"/>
      <c r="N38" s="94" t="str">
        <f>IF(OR(D38="",E38=""),"",IF(M38="",H38,IF(D38="Buy",MROUND(MAX(E38*(1-Settings!$K$8),M38*(1-Settings!$K$6)),Settings!$K$10),MROUND(MIN(E38*(1+Settings!$K$8),M38*(1+Settings!$K$6)),Settings!$K$10))))</f>
        <v/>
      </c>
      <c r="O38" s="95" t="str">
        <f t="shared" si="2"/>
        <v/>
      </c>
      <c r="P38" s="82"/>
      <c r="Q38" s="94" t="str">
        <f>IF(OR(D38="",P38=""),"",IF(D38="Buy",MROUND(P38*(1-Settings!$K$6),Settings!$K$10),MROUND(P38*(1+Settings!$K$6),Settings!$K$10)))</f>
        <v/>
      </c>
      <c r="R38" s="95" t="str">
        <f t="shared" si="3"/>
        <v/>
      </c>
      <c r="S38" s="82"/>
      <c r="T38" s="94" t="str">
        <f>IF(OR(D38="",S38=""),"",IF(D38="Buy",MROUND(S38*(1-Settings!$K$6),Settings!$K$10),MROUND(S38*(1+Settings!$K$6),Settings!$K$10)))</f>
        <v/>
      </c>
      <c r="U38" s="67"/>
      <c r="V38" s="211" t="str">
        <f t="shared" si="4"/>
        <v/>
      </c>
      <c r="W38" s="110"/>
      <c r="X38" s="211" t="str">
        <f t="shared" si="5"/>
        <v/>
      </c>
      <c r="Y38" s="211" t="str">
        <f t="shared" si="6"/>
        <v/>
      </c>
      <c r="Z38" s="82"/>
    </row>
    <row r="39" ht="20" customHeight="1" spans="1:26">
      <c r="A39" s="64">
        <v>26</v>
      </c>
      <c r="B39" s="65"/>
      <c r="C39" s="66"/>
      <c r="D39" s="67"/>
      <c r="E39" s="82"/>
      <c r="F39" s="82"/>
      <c r="G39" s="82"/>
      <c r="H39" s="82"/>
      <c r="I39" s="93" t="str">
        <f t="shared" si="0"/>
        <v/>
      </c>
      <c r="J39" s="82"/>
      <c r="K39" s="94" t="str">
        <f>IF(OR(D39="",E39=""),"",IF(J39="",G39,IF(D39="Buy",MROUND(MAX(E39*(1-Settings!$K$8),J39*(1-Settings!$K$6)),Settings!$K$10),MROUND(MIN(E39*(1+Settings!$K$8),J39*(1+Settings!$K$6)),Settings!$K$10))))</f>
        <v/>
      </c>
      <c r="L39" s="95" t="str">
        <f t="shared" si="1"/>
        <v/>
      </c>
      <c r="M39" s="82"/>
      <c r="N39" s="94" t="str">
        <f>IF(OR(D39="",E39=""),"",IF(M39="",H39,IF(D39="Buy",MROUND(MAX(E39*(1-Settings!$K$8),M39*(1-Settings!$K$6)),Settings!$K$10),MROUND(MIN(E39*(1+Settings!$K$8),M39*(1+Settings!$K$6)),Settings!$K$10))))</f>
        <v/>
      </c>
      <c r="O39" s="95" t="str">
        <f t="shared" si="2"/>
        <v/>
      </c>
      <c r="P39" s="82"/>
      <c r="Q39" s="94" t="str">
        <f>IF(OR(D39="",P39=""),"",IF(D39="Buy",MROUND(P39*(1-Settings!$K$6),Settings!$K$10),MROUND(P39*(1+Settings!$K$6),Settings!$K$10)))</f>
        <v/>
      </c>
      <c r="R39" s="95" t="str">
        <f t="shared" si="3"/>
        <v/>
      </c>
      <c r="S39" s="82"/>
      <c r="T39" s="94" t="str">
        <f>IF(OR(D39="",S39=""),"",IF(D39="Buy",MROUND(S39*(1-Settings!$K$6),Settings!$K$10),MROUND(S39*(1+Settings!$K$6),Settings!$K$10)))</f>
        <v/>
      </c>
      <c r="U39" s="67"/>
      <c r="V39" s="211" t="str">
        <f t="shared" si="4"/>
        <v/>
      </c>
      <c r="W39" s="110"/>
      <c r="X39" s="211" t="str">
        <f t="shared" si="5"/>
        <v/>
      </c>
      <c r="Y39" s="211" t="str">
        <f t="shared" si="6"/>
        <v/>
      </c>
      <c r="Z39" s="82"/>
    </row>
    <row r="40" ht="20" customHeight="1" spans="1:26">
      <c r="A40" s="64">
        <v>27</v>
      </c>
      <c r="B40" s="65"/>
      <c r="C40" s="66"/>
      <c r="D40" s="67"/>
      <c r="E40" s="82"/>
      <c r="F40" s="82"/>
      <c r="G40" s="82"/>
      <c r="H40" s="82"/>
      <c r="I40" s="93" t="str">
        <f t="shared" si="0"/>
        <v/>
      </c>
      <c r="J40" s="82"/>
      <c r="K40" s="94" t="str">
        <f>IF(OR(D40="",E40=""),"",IF(J40="",G40,IF(D40="Buy",MROUND(MAX(E40*(1-Settings!$K$8),J40*(1-Settings!$K$6)),Settings!$K$10),MROUND(MIN(E40*(1+Settings!$K$8),J40*(1+Settings!$K$6)),Settings!$K$10))))</f>
        <v/>
      </c>
      <c r="L40" s="95" t="str">
        <f t="shared" si="1"/>
        <v/>
      </c>
      <c r="M40" s="82"/>
      <c r="N40" s="94" t="str">
        <f>IF(OR(D40="",E40=""),"",IF(M40="",H40,IF(D40="Buy",MROUND(MAX(E40*(1-Settings!$K$8),M40*(1-Settings!$K$6)),Settings!$K$10),MROUND(MIN(E40*(1+Settings!$K$8),M40*(1+Settings!$K$6)),Settings!$K$10))))</f>
        <v/>
      </c>
      <c r="O40" s="95" t="str">
        <f t="shared" si="2"/>
        <v/>
      </c>
      <c r="P40" s="82"/>
      <c r="Q40" s="94" t="str">
        <f>IF(OR(D40="",P40=""),"",IF(D40="Buy",MROUND(P40*(1-Settings!$K$6),Settings!$K$10),MROUND(P40*(1+Settings!$K$6),Settings!$K$10)))</f>
        <v/>
      </c>
      <c r="R40" s="95" t="str">
        <f t="shared" si="3"/>
        <v/>
      </c>
      <c r="S40" s="82"/>
      <c r="T40" s="94" t="str">
        <f>IF(OR(D40="",S40=""),"",IF(D40="Buy",MROUND(S40*(1-Settings!$K$6),Settings!$K$10),MROUND(S40*(1+Settings!$K$6),Settings!$K$10)))</f>
        <v/>
      </c>
      <c r="U40" s="67"/>
      <c r="V40" s="211" t="str">
        <f t="shared" si="4"/>
        <v/>
      </c>
      <c r="W40" s="110"/>
      <c r="X40" s="211" t="str">
        <f t="shared" si="5"/>
        <v/>
      </c>
      <c r="Y40" s="211" t="str">
        <f t="shared" si="6"/>
        <v/>
      </c>
      <c r="Z40" s="82"/>
    </row>
    <row r="41" ht="20" customHeight="1" spans="1:26">
      <c r="A41" s="64">
        <v>28</v>
      </c>
      <c r="B41" s="65"/>
      <c r="C41" s="66"/>
      <c r="D41" s="67"/>
      <c r="E41" s="82"/>
      <c r="F41" s="82"/>
      <c r="G41" s="82"/>
      <c r="H41" s="82"/>
      <c r="I41" s="93" t="str">
        <f t="shared" si="0"/>
        <v/>
      </c>
      <c r="J41" s="82"/>
      <c r="K41" s="94" t="str">
        <f>IF(OR(D41="",E41=""),"",IF(J41="",G41,IF(D41="Buy",MROUND(MAX(E41*(1-Settings!$K$8),J41*(1-Settings!$K$6)),Settings!$K$10),MROUND(MIN(E41*(1+Settings!$K$8),J41*(1+Settings!$K$6)),Settings!$K$10))))</f>
        <v/>
      </c>
      <c r="L41" s="95" t="str">
        <f t="shared" si="1"/>
        <v/>
      </c>
      <c r="M41" s="82"/>
      <c r="N41" s="94" t="str">
        <f>IF(OR(D41="",E41=""),"",IF(M41="",H41,IF(D41="Buy",MROUND(MAX(E41*(1-Settings!$K$8),M41*(1-Settings!$K$6)),Settings!$K$10),MROUND(MIN(E41*(1+Settings!$K$8),M41*(1+Settings!$K$6)),Settings!$K$10))))</f>
        <v/>
      </c>
      <c r="O41" s="95" t="str">
        <f t="shared" si="2"/>
        <v/>
      </c>
      <c r="P41" s="82"/>
      <c r="Q41" s="94" t="str">
        <f>IF(OR(D41="",P41=""),"",IF(D41="Buy",MROUND(P41*(1-Settings!$K$6),Settings!$K$10),MROUND(P41*(1+Settings!$K$6),Settings!$K$10)))</f>
        <v/>
      </c>
      <c r="R41" s="95" t="str">
        <f t="shared" si="3"/>
        <v/>
      </c>
      <c r="S41" s="82"/>
      <c r="T41" s="94" t="str">
        <f>IF(OR(D41="",S41=""),"",IF(D41="Buy",MROUND(S41*(1-Settings!$K$6),Settings!$K$10),MROUND(S41*(1+Settings!$K$6),Settings!$K$10)))</f>
        <v/>
      </c>
      <c r="U41" s="67"/>
      <c r="V41" s="211" t="str">
        <f t="shared" si="4"/>
        <v/>
      </c>
      <c r="W41" s="110"/>
      <c r="X41" s="211" t="str">
        <f t="shared" si="5"/>
        <v/>
      </c>
      <c r="Y41" s="211" t="str">
        <f t="shared" si="6"/>
        <v/>
      </c>
      <c r="Z41" s="82"/>
    </row>
    <row r="42" ht="20" customHeight="1" spans="1:26">
      <c r="A42" s="64">
        <v>29</v>
      </c>
      <c r="B42" s="65"/>
      <c r="C42" s="66"/>
      <c r="D42" s="67"/>
      <c r="E42" s="82"/>
      <c r="F42" s="82"/>
      <c r="G42" s="82"/>
      <c r="H42" s="82"/>
      <c r="I42" s="93" t="str">
        <f t="shared" si="0"/>
        <v/>
      </c>
      <c r="J42" s="82"/>
      <c r="K42" s="94" t="str">
        <f>IF(OR(D42="",E42=""),"",IF(J42="",G42,IF(D42="Buy",MROUND(MAX(E42*(1-Settings!$K$8),J42*(1-Settings!$K$6)),Settings!$K$10),MROUND(MIN(E42*(1+Settings!$K$8),J42*(1+Settings!$K$6)),Settings!$K$10))))</f>
        <v/>
      </c>
      <c r="L42" s="95" t="str">
        <f t="shared" si="1"/>
        <v/>
      </c>
      <c r="M42" s="82"/>
      <c r="N42" s="94" t="str">
        <f>IF(OR(D42="",E42=""),"",IF(M42="",H42,IF(D42="Buy",MROUND(MAX(E42*(1-Settings!$K$8),M42*(1-Settings!$K$6)),Settings!$K$10),MROUND(MIN(E42*(1+Settings!$K$8),M42*(1+Settings!$K$6)),Settings!$K$10))))</f>
        <v/>
      </c>
      <c r="O42" s="95" t="str">
        <f t="shared" si="2"/>
        <v/>
      </c>
      <c r="P42" s="82"/>
      <c r="Q42" s="94" t="str">
        <f>IF(OR(D42="",P42=""),"",IF(D42="Buy",MROUND(P42*(1-Settings!$K$6),Settings!$K$10),MROUND(P42*(1+Settings!$K$6),Settings!$K$10)))</f>
        <v/>
      </c>
      <c r="R42" s="95" t="str">
        <f t="shared" si="3"/>
        <v/>
      </c>
      <c r="S42" s="82"/>
      <c r="T42" s="94" t="str">
        <f>IF(OR(D42="",S42=""),"",IF(D42="Buy",MROUND(S42*(1-Settings!$K$6),Settings!$K$10),MROUND(S42*(1+Settings!$K$6),Settings!$K$10)))</f>
        <v/>
      </c>
      <c r="U42" s="67"/>
      <c r="V42" s="211" t="str">
        <f t="shared" si="4"/>
        <v/>
      </c>
      <c r="W42" s="110"/>
      <c r="X42" s="211" t="str">
        <f t="shared" si="5"/>
        <v/>
      </c>
      <c r="Y42" s="211" t="str">
        <f t="shared" si="6"/>
        <v/>
      </c>
      <c r="Z42" s="82"/>
    </row>
    <row r="43" ht="20" customHeight="1" spans="1:26">
      <c r="A43" s="64">
        <v>30</v>
      </c>
      <c r="B43" s="65"/>
      <c r="C43" s="66"/>
      <c r="D43" s="67"/>
      <c r="E43" s="82"/>
      <c r="F43" s="82"/>
      <c r="G43" s="82"/>
      <c r="H43" s="82"/>
      <c r="I43" s="93" t="str">
        <f t="shared" si="0"/>
        <v/>
      </c>
      <c r="J43" s="82"/>
      <c r="K43" s="94" t="str">
        <f>IF(OR(D43="",E43=""),"",IF(J43="",G43,IF(D43="Buy",MROUND(MAX(E43*(1-Settings!$K$8),J43*(1-Settings!$K$6)),Settings!$K$10),MROUND(MIN(E43*(1+Settings!$K$8),J43*(1+Settings!$K$6)),Settings!$K$10))))</f>
        <v/>
      </c>
      <c r="L43" s="95" t="str">
        <f t="shared" si="1"/>
        <v/>
      </c>
      <c r="M43" s="82"/>
      <c r="N43" s="94" t="str">
        <f>IF(OR(D43="",E43=""),"",IF(M43="",H43,IF(D43="Buy",MROUND(MAX(E43*(1-Settings!$K$8),M43*(1-Settings!$K$6)),Settings!$K$10),MROUND(MIN(E43*(1+Settings!$K$8),M43*(1+Settings!$K$6)),Settings!$K$10))))</f>
        <v/>
      </c>
      <c r="O43" s="95" t="str">
        <f t="shared" si="2"/>
        <v/>
      </c>
      <c r="P43" s="82"/>
      <c r="Q43" s="94" t="str">
        <f>IF(OR(D43="",P43=""),"",IF(D43="Buy",MROUND(P43*(1-Settings!$K$6),Settings!$K$10),MROUND(P43*(1+Settings!$K$6),Settings!$K$10)))</f>
        <v/>
      </c>
      <c r="R43" s="95" t="str">
        <f t="shared" si="3"/>
        <v/>
      </c>
      <c r="S43" s="82"/>
      <c r="T43" s="94" t="str">
        <f>IF(OR(D43="",S43=""),"",IF(D43="Buy",MROUND(S43*(1-Settings!$K$6),Settings!$K$10),MROUND(S43*(1+Settings!$K$6),Settings!$K$10)))</f>
        <v/>
      </c>
      <c r="U43" s="67"/>
      <c r="V43" s="211" t="str">
        <f t="shared" si="4"/>
        <v/>
      </c>
      <c r="W43" s="110"/>
      <c r="X43" s="211" t="str">
        <f t="shared" si="5"/>
        <v/>
      </c>
      <c r="Y43" s="211" t="str">
        <f t="shared" si="6"/>
        <v/>
      </c>
      <c r="Z43" s="82"/>
    </row>
    <row r="44" ht="20" customHeight="1" spans="1:26">
      <c r="A44" s="64">
        <v>31</v>
      </c>
      <c r="B44" s="65"/>
      <c r="C44" s="66"/>
      <c r="D44" s="67"/>
      <c r="E44" s="82"/>
      <c r="F44" s="82"/>
      <c r="G44" s="82"/>
      <c r="H44" s="82"/>
      <c r="I44" s="93" t="str">
        <f t="shared" si="0"/>
        <v/>
      </c>
      <c r="J44" s="82"/>
      <c r="K44" s="94" t="str">
        <f>IF(OR(D44="",E44=""),"",IF(J44="",G44,IF(D44="Buy",MROUND(MAX(E44*(1-Settings!$K$8),J44*(1-Settings!$K$6)),Settings!$K$10),MROUND(MIN(E44*(1+Settings!$K$8),J44*(1+Settings!$K$6)),Settings!$K$10))))</f>
        <v/>
      </c>
      <c r="L44" s="95" t="str">
        <f t="shared" si="1"/>
        <v/>
      </c>
      <c r="M44" s="82"/>
      <c r="N44" s="94" t="str">
        <f>IF(OR(D44="",E44=""),"",IF(M44="",H44,IF(D44="Buy",MROUND(MAX(E44*(1-Settings!$K$8),M44*(1-Settings!$K$6)),Settings!$K$10),MROUND(MIN(E44*(1+Settings!$K$8),M44*(1+Settings!$K$6)),Settings!$K$10))))</f>
        <v/>
      </c>
      <c r="O44" s="95" t="str">
        <f t="shared" si="2"/>
        <v/>
      </c>
      <c r="P44" s="82"/>
      <c r="Q44" s="94" t="str">
        <f>IF(OR(D44="",P44=""),"",IF(D44="Buy",MROUND(P44*(1-Settings!$K$6),Settings!$K$10),MROUND(P44*(1+Settings!$K$6),Settings!$K$10)))</f>
        <v/>
      </c>
      <c r="R44" s="95" t="str">
        <f t="shared" si="3"/>
        <v/>
      </c>
      <c r="S44" s="82"/>
      <c r="T44" s="94" t="str">
        <f>IF(OR(D44="",S44=""),"",IF(D44="Buy",MROUND(S44*(1-Settings!$K$6),Settings!$K$10),MROUND(S44*(1+Settings!$K$6),Settings!$K$10)))</f>
        <v/>
      </c>
      <c r="U44" s="67"/>
      <c r="V44" s="211" t="str">
        <f t="shared" si="4"/>
        <v/>
      </c>
      <c r="W44" s="110"/>
      <c r="X44" s="211" t="str">
        <f t="shared" si="5"/>
        <v/>
      </c>
      <c r="Y44" s="211" t="str">
        <f t="shared" si="6"/>
        <v/>
      </c>
      <c r="Z44" s="82"/>
    </row>
    <row r="45" ht="20" customHeight="1" spans="1:26">
      <c r="A45" s="64">
        <v>32</v>
      </c>
      <c r="B45" s="65"/>
      <c r="C45" s="66"/>
      <c r="D45" s="67"/>
      <c r="E45" s="82"/>
      <c r="F45" s="82"/>
      <c r="G45" s="82"/>
      <c r="H45" s="82"/>
      <c r="I45" s="93" t="str">
        <f t="shared" si="0"/>
        <v/>
      </c>
      <c r="J45" s="82"/>
      <c r="K45" s="94" t="str">
        <f>IF(OR(D45="",E45=""),"",IF(J45="",G45,IF(D45="Buy",MROUND(MAX(E45*(1-Settings!$K$8),J45*(1-Settings!$K$6)),Settings!$K$10),MROUND(MIN(E45*(1+Settings!$K$8),J45*(1+Settings!$K$6)),Settings!$K$10))))</f>
        <v/>
      </c>
      <c r="L45" s="95" t="str">
        <f t="shared" si="1"/>
        <v/>
      </c>
      <c r="M45" s="82"/>
      <c r="N45" s="94" t="str">
        <f>IF(OR(D45="",E45=""),"",IF(M45="",H45,IF(D45="Buy",MROUND(MAX(E45*(1-Settings!$K$8),M45*(1-Settings!$K$6)),Settings!$K$10),MROUND(MIN(E45*(1+Settings!$K$8),M45*(1+Settings!$K$6)),Settings!$K$10))))</f>
        <v/>
      </c>
      <c r="O45" s="95" t="str">
        <f t="shared" si="2"/>
        <v/>
      </c>
      <c r="P45" s="82"/>
      <c r="Q45" s="94" t="str">
        <f>IF(OR(D45="",P45=""),"",IF(D45="Buy",MROUND(P45*(1-Settings!$K$6),Settings!$K$10),MROUND(P45*(1+Settings!$K$6),Settings!$K$10)))</f>
        <v/>
      </c>
      <c r="R45" s="95" t="str">
        <f t="shared" si="3"/>
        <v/>
      </c>
      <c r="S45" s="82"/>
      <c r="T45" s="94" t="str">
        <f>IF(OR(D45="",S45=""),"",IF(D45="Buy",MROUND(S45*(1-Settings!$K$6),Settings!$K$10),MROUND(S45*(1+Settings!$K$6),Settings!$K$10)))</f>
        <v/>
      </c>
      <c r="U45" s="67"/>
      <c r="V45" s="211" t="str">
        <f t="shared" si="4"/>
        <v/>
      </c>
      <c r="W45" s="110"/>
      <c r="X45" s="211" t="str">
        <f t="shared" si="5"/>
        <v/>
      </c>
      <c r="Y45" s="211" t="str">
        <f t="shared" si="6"/>
        <v/>
      </c>
      <c r="Z45" s="82"/>
    </row>
    <row r="46" ht="20" customHeight="1" spans="1:26">
      <c r="A46" s="64">
        <v>33</v>
      </c>
      <c r="B46" s="65"/>
      <c r="C46" s="66"/>
      <c r="D46" s="67"/>
      <c r="E46" s="82"/>
      <c r="F46" s="82"/>
      <c r="G46" s="82"/>
      <c r="H46" s="82"/>
      <c r="I46" s="93" t="str">
        <f t="shared" si="0"/>
        <v/>
      </c>
      <c r="J46" s="82"/>
      <c r="K46" s="94" t="str">
        <f>IF(OR(D46="",E46=""),"",IF(J46="",G46,IF(D46="Buy",MROUND(MAX(E46*(1-Settings!$K$8),J46*(1-Settings!$K$6)),Settings!$K$10),MROUND(MIN(E46*(1+Settings!$K$8),J46*(1+Settings!$K$6)),Settings!$K$10))))</f>
        <v/>
      </c>
      <c r="L46" s="95" t="str">
        <f t="shared" si="1"/>
        <v/>
      </c>
      <c r="M46" s="82"/>
      <c r="N46" s="94" t="str">
        <f>IF(OR(D46="",E46=""),"",IF(M46="",H46,IF(D46="Buy",MROUND(MAX(E46*(1-Settings!$K$8),M46*(1-Settings!$K$6)),Settings!$K$10),MROUND(MIN(E46*(1+Settings!$K$8),M46*(1+Settings!$K$6)),Settings!$K$10))))</f>
        <v/>
      </c>
      <c r="O46" s="95" t="str">
        <f t="shared" si="2"/>
        <v/>
      </c>
      <c r="P46" s="82"/>
      <c r="Q46" s="94" t="str">
        <f>IF(OR(D46="",P46=""),"",IF(D46="Buy",MROUND(P46*(1-Settings!$K$6),Settings!$K$10),MROUND(P46*(1+Settings!$K$6),Settings!$K$10)))</f>
        <v/>
      </c>
      <c r="R46" s="95" t="str">
        <f t="shared" si="3"/>
        <v/>
      </c>
      <c r="S46" s="82"/>
      <c r="T46" s="94" t="str">
        <f>IF(OR(D46="",S46=""),"",IF(D46="Buy",MROUND(S46*(1-Settings!$K$6),Settings!$K$10),MROUND(S46*(1+Settings!$K$6),Settings!$K$10)))</f>
        <v/>
      </c>
      <c r="U46" s="67"/>
      <c r="V46" s="211" t="str">
        <f t="shared" si="4"/>
        <v/>
      </c>
      <c r="W46" s="110"/>
      <c r="X46" s="211" t="str">
        <f t="shared" si="5"/>
        <v/>
      </c>
      <c r="Y46" s="211" t="str">
        <f t="shared" si="6"/>
        <v/>
      </c>
      <c r="Z46" s="82"/>
    </row>
    <row r="47" ht="20" customHeight="1" spans="1:26">
      <c r="A47" s="64">
        <v>34</v>
      </c>
      <c r="B47" s="65"/>
      <c r="C47" s="66"/>
      <c r="D47" s="67"/>
      <c r="E47" s="82"/>
      <c r="F47" s="82"/>
      <c r="G47" s="82"/>
      <c r="H47" s="82"/>
      <c r="I47" s="93" t="str">
        <f t="shared" si="0"/>
        <v/>
      </c>
      <c r="J47" s="82"/>
      <c r="K47" s="94" t="str">
        <f>IF(OR(D47="",E47=""),"",IF(J47="",G47,IF(D47="Buy",MROUND(MAX(E47*(1-Settings!$K$8),J47*(1-Settings!$K$6)),Settings!$K$10),MROUND(MIN(E47*(1+Settings!$K$8),J47*(1+Settings!$K$6)),Settings!$K$10))))</f>
        <v/>
      </c>
      <c r="L47" s="95" t="str">
        <f t="shared" si="1"/>
        <v/>
      </c>
      <c r="M47" s="82"/>
      <c r="N47" s="94" t="str">
        <f>IF(OR(D47="",E47=""),"",IF(M47="",H47,IF(D47="Buy",MROUND(MAX(E47*(1-Settings!$K$8),M47*(1-Settings!$K$6)),Settings!$K$10),MROUND(MIN(E47*(1+Settings!$K$8),M47*(1+Settings!$K$6)),Settings!$K$10))))</f>
        <v/>
      </c>
      <c r="O47" s="95" t="str">
        <f t="shared" si="2"/>
        <v/>
      </c>
      <c r="P47" s="82"/>
      <c r="Q47" s="94" t="str">
        <f>IF(OR(D47="",P47=""),"",IF(D47="Buy",MROUND(P47*(1-Settings!$K$6),Settings!$K$10),MROUND(P47*(1+Settings!$K$6),Settings!$K$10)))</f>
        <v/>
      </c>
      <c r="R47" s="95" t="str">
        <f t="shared" si="3"/>
        <v/>
      </c>
      <c r="S47" s="82"/>
      <c r="T47" s="94" t="str">
        <f>IF(OR(D47="",S47=""),"",IF(D47="Buy",MROUND(S47*(1-Settings!$K$6),Settings!$K$10),MROUND(S47*(1+Settings!$K$6),Settings!$K$10)))</f>
        <v/>
      </c>
      <c r="U47" s="67"/>
      <c r="V47" s="211" t="str">
        <f t="shared" si="4"/>
        <v/>
      </c>
      <c r="W47" s="110"/>
      <c r="X47" s="211" t="str">
        <f t="shared" si="5"/>
        <v/>
      </c>
      <c r="Y47" s="211" t="str">
        <f t="shared" si="6"/>
        <v/>
      </c>
      <c r="Z47" s="82"/>
    </row>
    <row r="48" ht="20" customHeight="1" spans="1:26">
      <c r="A48" s="64">
        <v>35</v>
      </c>
      <c r="B48" s="65"/>
      <c r="C48" s="66"/>
      <c r="D48" s="67"/>
      <c r="E48" s="82"/>
      <c r="F48" s="82"/>
      <c r="G48" s="82"/>
      <c r="H48" s="82"/>
      <c r="I48" s="93" t="str">
        <f t="shared" si="0"/>
        <v/>
      </c>
      <c r="J48" s="82"/>
      <c r="K48" s="94" t="str">
        <f>IF(OR(D48="",E48=""),"",IF(J48="",G48,IF(D48="Buy",MROUND(MAX(E48*(1-Settings!$K$8),J48*(1-Settings!$K$6)),Settings!$K$10),MROUND(MIN(E48*(1+Settings!$K$8),J48*(1+Settings!$K$6)),Settings!$K$10))))</f>
        <v/>
      </c>
      <c r="L48" s="95" t="str">
        <f t="shared" si="1"/>
        <v/>
      </c>
      <c r="M48" s="82"/>
      <c r="N48" s="94" t="str">
        <f>IF(OR(D48="",E48=""),"",IF(M48="",H48,IF(D48="Buy",MROUND(MAX(E48*(1-Settings!$K$8),M48*(1-Settings!$K$6)),Settings!$K$10),MROUND(MIN(E48*(1+Settings!$K$8),M48*(1+Settings!$K$6)),Settings!$K$10))))</f>
        <v/>
      </c>
      <c r="O48" s="95" t="str">
        <f t="shared" si="2"/>
        <v/>
      </c>
      <c r="P48" s="82"/>
      <c r="Q48" s="94" t="str">
        <f>IF(OR(D48="",P48=""),"",IF(D48="Buy",MROUND(P48*(1-Settings!$K$6),Settings!$K$10),MROUND(P48*(1+Settings!$K$6),Settings!$K$10)))</f>
        <v/>
      </c>
      <c r="R48" s="95" t="str">
        <f t="shared" si="3"/>
        <v/>
      </c>
      <c r="S48" s="82"/>
      <c r="T48" s="94" t="str">
        <f>IF(OR(D48="",S48=""),"",IF(D48="Buy",MROUND(S48*(1-Settings!$K$6),Settings!$K$10),MROUND(S48*(1+Settings!$K$6),Settings!$K$10)))</f>
        <v/>
      </c>
      <c r="U48" s="67"/>
      <c r="V48" s="211" t="str">
        <f t="shared" si="4"/>
        <v/>
      </c>
      <c r="W48" s="110"/>
      <c r="X48" s="211" t="str">
        <f t="shared" si="5"/>
        <v/>
      </c>
      <c r="Y48" s="211" t="str">
        <f t="shared" si="6"/>
        <v/>
      </c>
      <c r="Z48" s="82"/>
    </row>
    <row r="49" ht="20" customHeight="1" spans="1:26">
      <c r="A49" s="64">
        <v>36</v>
      </c>
      <c r="B49" s="65"/>
      <c r="C49" s="66"/>
      <c r="D49" s="67"/>
      <c r="E49" s="82"/>
      <c r="F49" s="82"/>
      <c r="G49" s="82"/>
      <c r="H49" s="82"/>
      <c r="I49" s="93" t="str">
        <f t="shared" si="0"/>
        <v/>
      </c>
      <c r="J49" s="82"/>
      <c r="K49" s="94" t="str">
        <f>IF(OR(D49="",E49=""),"",IF(J49="",G49,IF(D49="Buy",MROUND(MAX(E49*(1-Settings!$K$8),J49*(1-Settings!$K$6)),Settings!$K$10),MROUND(MIN(E49*(1+Settings!$K$8),J49*(1+Settings!$K$6)),Settings!$K$10))))</f>
        <v/>
      </c>
      <c r="L49" s="95" t="str">
        <f t="shared" si="1"/>
        <v/>
      </c>
      <c r="M49" s="82"/>
      <c r="N49" s="94" t="str">
        <f>IF(OR(D49="",E49=""),"",IF(M49="",H49,IF(D49="Buy",MROUND(MAX(E49*(1-Settings!$K$8),M49*(1-Settings!$K$6)),Settings!$K$10),MROUND(MIN(E49*(1+Settings!$K$8),M49*(1+Settings!$K$6)),Settings!$K$10))))</f>
        <v/>
      </c>
      <c r="O49" s="95" t="str">
        <f t="shared" si="2"/>
        <v/>
      </c>
      <c r="P49" s="82"/>
      <c r="Q49" s="94" t="str">
        <f>IF(OR(D49="",P49=""),"",IF(D49="Buy",MROUND(P49*(1-Settings!$K$6),Settings!$K$10),MROUND(P49*(1+Settings!$K$6),Settings!$K$10)))</f>
        <v/>
      </c>
      <c r="R49" s="95" t="str">
        <f t="shared" si="3"/>
        <v/>
      </c>
      <c r="S49" s="82"/>
      <c r="T49" s="94" t="str">
        <f>IF(OR(D49="",S49=""),"",IF(D49="Buy",MROUND(S49*(1-Settings!$K$6),Settings!$K$10),MROUND(S49*(1+Settings!$K$6),Settings!$K$10)))</f>
        <v/>
      </c>
      <c r="U49" s="67"/>
      <c r="V49" s="211" t="str">
        <f t="shared" si="4"/>
        <v/>
      </c>
      <c r="W49" s="110"/>
      <c r="X49" s="211" t="str">
        <f t="shared" si="5"/>
        <v/>
      </c>
      <c r="Y49" s="211" t="str">
        <f t="shared" si="6"/>
        <v/>
      </c>
      <c r="Z49" s="82"/>
    </row>
    <row r="50" ht="20" customHeight="1" spans="1:26">
      <c r="A50" s="64">
        <v>37</v>
      </c>
      <c r="B50" s="65"/>
      <c r="C50" s="66"/>
      <c r="D50" s="67"/>
      <c r="E50" s="82"/>
      <c r="F50" s="82"/>
      <c r="G50" s="82"/>
      <c r="H50" s="82"/>
      <c r="I50" s="93" t="str">
        <f t="shared" si="0"/>
        <v/>
      </c>
      <c r="J50" s="82"/>
      <c r="K50" s="94" t="str">
        <f>IF(OR(D50="",E50=""),"",IF(J50="",G50,IF(D50="Buy",MROUND(MAX(E50*(1-Settings!$K$8),J50*(1-Settings!$K$6)),Settings!$K$10),MROUND(MIN(E50*(1+Settings!$K$8),J50*(1+Settings!$K$6)),Settings!$K$10))))</f>
        <v/>
      </c>
      <c r="L50" s="95" t="str">
        <f t="shared" si="1"/>
        <v/>
      </c>
      <c r="M50" s="82"/>
      <c r="N50" s="94" t="str">
        <f>IF(OR(D50="",E50=""),"",IF(M50="",H50,IF(D50="Buy",MROUND(MAX(E50*(1-Settings!$K$8),M50*(1-Settings!$K$6)),Settings!$K$10),MROUND(MIN(E50*(1+Settings!$K$8),M50*(1+Settings!$K$6)),Settings!$K$10))))</f>
        <v/>
      </c>
      <c r="O50" s="95" t="str">
        <f t="shared" si="2"/>
        <v/>
      </c>
      <c r="P50" s="82"/>
      <c r="Q50" s="94" t="str">
        <f>IF(OR(D50="",P50=""),"",IF(D50="Buy",MROUND(P50*(1-Settings!$K$6),Settings!$K$10),MROUND(P50*(1+Settings!$K$6),Settings!$K$10)))</f>
        <v/>
      </c>
      <c r="R50" s="95" t="str">
        <f t="shared" si="3"/>
        <v/>
      </c>
      <c r="S50" s="82"/>
      <c r="T50" s="94" t="str">
        <f>IF(OR(D50="",S50=""),"",IF(D50="Buy",MROUND(S50*(1-Settings!$K$6),Settings!$K$10),MROUND(S50*(1+Settings!$K$6),Settings!$K$10)))</f>
        <v/>
      </c>
      <c r="U50" s="67"/>
      <c r="V50" s="211" t="str">
        <f t="shared" si="4"/>
        <v/>
      </c>
      <c r="W50" s="110"/>
      <c r="X50" s="211" t="str">
        <f t="shared" si="5"/>
        <v/>
      </c>
      <c r="Y50" s="211" t="str">
        <f t="shared" si="6"/>
        <v/>
      </c>
      <c r="Z50" s="82"/>
    </row>
    <row r="51" ht="20" customHeight="1" spans="1:26">
      <c r="A51" s="64">
        <v>38</v>
      </c>
      <c r="B51" s="65"/>
      <c r="C51" s="66"/>
      <c r="D51" s="67"/>
      <c r="E51" s="82"/>
      <c r="F51" s="82"/>
      <c r="G51" s="82"/>
      <c r="H51" s="82"/>
      <c r="I51" s="93" t="str">
        <f t="shared" si="0"/>
        <v/>
      </c>
      <c r="J51" s="82"/>
      <c r="K51" s="94" t="str">
        <f>IF(OR(D51="",E51=""),"",IF(J51="",G51,IF(D51="Buy",MROUND(MAX(E51*(1-Settings!$K$8),J51*(1-Settings!$K$6)),Settings!$K$10),MROUND(MIN(E51*(1+Settings!$K$8),J51*(1+Settings!$K$6)),Settings!$K$10))))</f>
        <v/>
      </c>
      <c r="L51" s="95" t="str">
        <f t="shared" si="1"/>
        <v/>
      </c>
      <c r="M51" s="82"/>
      <c r="N51" s="94" t="str">
        <f>IF(OR(D51="",E51=""),"",IF(M51="",H51,IF(D51="Buy",MROUND(MAX(E51*(1-Settings!$K$8),M51*(1-Settings!$K$6)),Settings!$K$10),MROUND(MIN(E51*(1+Settings!$K$8),M51*(1+Settings!$K$6)),Settings!$K$10))))</f>
        <v/>
      </c>
      <c r="O51" s="95" t="str">
        <f t="shared" si="2"/>
        <v/>
      </c>
      <c r="P51" s="82"/>
      <c r="Q51" s="94" t="str">
        <f>IF(OR(D51="",P51=""),"",IF(D51="Buy",MROUND(P51*(1-Settings!$K$6),Settings!$K$10),MROUND(P51*(1+Settings!$K$6),Settings!$K$10)))</f>
        <v/>
      </c>
      <c r="R51" s="95" t="str">
        <f t="shared" si="3"/>
        <v/>
      </c>
      <c r="S51" s="82"/>
      <c r="T51" s="94" t="str">
        <f>IF(OR(D51="",S51=""),"",IF(D51="Buy",MROUND(S51*(1-Settings!$K$6),Settings!$K$10),MROUND(S51*(1+Settings!$K$6),Settings!$K$10)))</f>
        <v/>
      </c>
      <c r="U51" s="67"/>
      <c r="V51" s="211" t="str">
        <f t="shared" si="4"/>
        <v/>
      </c>
      <c r="W51" s="110"/>
      <c r="X51" s="211" t="str">
        <f t="shared" si="5"/>
        <v/>
      </c>
      <c r="Y51" s="211" t="str">
        <f t="shared" si="6"/>
        <v/>
      </c>
      <c r="Z51" s="82"/>
    </row>
    <row r="52" ht="20" customHeight="1" spans="1:26">
      <c r="A52" s="64">
        <v>39</v>
      </c>
      <c r="B52" s="65"/>
      <c r="C52" s="66"/>
      <c r="D52" s="67"/>
      <c r="E52" s="82"/>
      <c r="F52" s="82"/>
      <c r="G52" s="82"/>
      <c r="H52" s="82"/>
      <c r="I52" s="93" t="str">
        <f t="shared" si="0"/>
        <v/>
      </c>
      <c r="J52" s="82"/>
      <c r="K52" s="94" t="str">
        <f>IF(OR(D52="",E52=""),"",IF(J52="",G52,IF(D52="Buy",MROUND(MAX(E52*(1-Settings!$K$8),J52*(1-Settings!$K$6)),Settings!$K$10),MROUND(MIN(E52*(1+Settings!$K$8),J52*(1+Settings!$K$6)),Settings!$K$10))))</f>
        <v/>
      </c>
      <c r="L52" s="95" t="str">
        <f t="shared" si="1"/>
        <v/>
      </c>
      <c r="M52" s="82"/>
      <c r="N52" s="94" t="str">
        <f>IF(OR(D52="",E52=""),"",IF(M52="",H52,IF(D52="Buy",MROUND(MAX(E52*(1-Settings!$K$8),M52*(1-Settings!$K$6)),Settings!$K$10),MROUND(MIN(E52*(1+Settings!$K$8),M52*(1+Settings!$K$6)),Settings!$K$10))))</f>
        <v/>
      </c>
      <c r="O52" s="95" t="str">
        <f t="shared" si="2"/>
        <v/>
      </c>
      <c r="P52" s="82"/>
      <c r="Q52" s="94" t="str">
        <f>IF(OR(D52="",P52=""),"",IF(D52="Buy",MROUND(P52*(1-Settings!$K$6),Settings!$K$10),MROUND(P52*(1+Settings!$K$6),Settings!$K$10)))</f>
        <v/>
      </c>
      <c r="R52" s="95" t="str">
        <f t="shared" si="3"/>
        <v/>
      </c>
      <c r="S52" s="82"/>
      <c r="T52" s="94" t="str">
        <f>IF(OR(D52="",S52=""),"",IF(D52="Buy",MROUND(S52*(1-Settings!$K$6),Settings!$K$10),MROUND(S52*(1+Settings!$K$6),Settings!$K$10)))</f>
        <v/>
      </c>
      <c r="U52" s="67"/>
      <c r="V52" s="211" t="str">
        <f t="shared" si="4"/>
        <v/>
      </c>
      <c r="W52" s="110"/>
      <c r="X52" s="211" t="str">
        <f t="shared" si="5"/>
        <v/>
      </c>
      <c r="Y52" s="211" t="str">
        <f t="shared" si="6"/>
        <v/>
      </c>
      <c r="Z52" s="82"/>
    </row>
    <row r="53" ht="20" customHeight="1" spans="1:26">
      <c r="A53" s="64">
        <v>40</v>
      </c>
      <c r="B53" s="65"/>
      <c r="C53" s="66"/>
      <c r="D53" s="67"/>
      <c r="E53" s="82"/>
      <c r="F53" s="82"/>
      <c r="G53" s="82"/>
      <c r="H53" s="82"/>
      <c r="I53" s="93" t="str">
        <f t="shared" si="0"/>
        <v/>
      </c>
      <c r="J53" s="82"/>
      <c r="K53" s="94" t="str">
        <f>IF(OR(D53="",E53=""),"",IF(J53="",G53,IF(D53="Buy",MROUND(MAX(E53*(1-Settings!$K$8),J53*(1-Settings!$K$6)),Settings!$K$10),MROUND(MIN(E53*(1+Settings!$K$8),J53*(1+Settings!$K$6)),Settings!$K$10))))</f>
        <v/>
      </c>
      <c r="L53" s="95" t="str">
        <f t="shared" si="1"/>
        <v/>
      </c>
      <c r="M53" s="82"/>
      <c r="N53" s="94" t="str">
        <f>IF(OR(D53="",E53=""),"",IF(M53="",H53,IF(D53="Buy",MROUND(MAX(E53*(1-Settings!$K$8),M53*(1-Settings!$K$6)),Settings!$K$10),MROUND(MIN(E53*(1+Settings!$K$8),M53*(1+Settings!$K$6)),Settings!$K$10))))</f>
        <v/>
      </c>
      <c r="O53" s="95" t="str">
        <f t="shared" si="2"/>
        <v/>
      </c>
      <c r="P53" s="82"/>
      <c r="Q53" s="94" t="str">
        <f>IF(OR(D53="",P53=""),"",IF(D53="Buy",MROUND(P53*(1-Settings!$K$6),Settings!$K$10),MROUND(P53*(1+Settings!$K$6),Settings!$K$10)))</f>
        <v/>
      </c>
      <c r="R53" s="95" t="str">
        <f t="shared" si="3"/>
        <v/>
      </c>
      <c r="S53" s="82"/>
      <c r="T53" s="94" t="str">
        <f>IF(OR(D53="",S53=""),"",IF(D53="Buy",MROUND(S53*(1-Settings!$K$6),Settings!$K$10),MROUND(S53*(1+Settings!$K$6),Settings!$K$10)))</f>
        <v/>
      </c>
      <c r="U53" s="67"/>
      <c r="V53" s="211" t="str">
        <f t="shared" si="4"/>
        <v/>
      </c>
      <c r="W53" s="110"/>
      <c r="X53" s="211" t="str">
        <f t="shared" si="5"/>
        <v/>
      </c>
      <c r="Y53" s="211" t="str">
        <f t="shared" si="6"/>
        <v/>
      </c>
      <c r="Z53" s="82"/>
    </row>
    <row r="54" ht="20" customHeight="1" spans="1:26">
      <c r="A54" s="64">
        <v>41</v>
      </c>
      <c r="B54" s="65"/>
      <c r="C54" s="66"/>
      <c r="D54" s="67"/>
      <c r="E54" s="82"/>
      <c r="F54" s="82"/>
      <c r="G54" s="82"/>
      <c r="H54" s="82"/>
      <c r="I54" s="93" t="str">
        <f t="shared" si="0"/>
        <v/>
      </c>
      <c r="J54" s="82"/>
      <c r="K54" s="94" t="str">
        <f>IF(OR(D54="",E54=""),"",IF(J54="",G54,IF(D54="Buy",MROUND(MAX(E54*(1-Settings!$K$8),J54*(1-Settings!$K$6)),Settings!$K$10),MROUND(MIN(E54*(1+Settings!$K$8),J54*(1+Settings!$K$6)),Settings!$K$10))))</f>
        <v/>
      </c>
      <c r="L54" s="95" t="str">
        <f t="shared" si="1"/>
        <v/>
      </c>
      <c r="M54" s="82"/>
      <c r="N54" s="94" t="str">
        <f>IF(OR(D54="",E54=""),"",IF(M54="",H54,IF(D54="Buy",MROUND(MAX(E54*(1-Settings!$K$8),M54*(1-Settings!$K$6)),Settings!$K$10),MROUND(MIN(E54*(1+Settings!$K$8),M54*(1+Settings!$K$6)),Settings!$K$10))))</f>
        <v/>
      </c>
      <c r="O54" s="95" t="str">
        <f t="shared" si="2"/>
        <v/>
      </c>
      <c r="P54" s="82"/>
      <c r="Q54" s="94" t="str">
        <f>IF(OR(D54="",P54=""),"",IF(D54="Buy",MROUND(P54*(1-Settings!$K$6),Settings!$K$10),MROUND(P54*(1+Settings!$K$6),Settings!$K$10)))</f>
        <v/>
      </c>
      <c r="R54" s="95" t="str">
        <f t="shared" si="3"/>
        <v/>
      </c>
      <c r="S54" s="82"/>
      <c r="T54" s="94" t="str">
        <f>IF(OR(D54="",S54=""),"",IF(D54="Buy",MROUND(S54*(1-Settings!$K$6),Settings!$K$10),MROUND(S54*(1+Settings!$K$6),Settings!$K$10)))</f>
        <v/>
      </c>
      <c r="U54" s="67"/>
      <c r="V54" s="211" t="str">
        <f t="shared" si="4"/>
        <v/>
      </c>
      <c r="W54" s="110"/>
      <c r="X54" s="211" t="str">
        <f t="shared" si="5"/>
        <v/>
      </c>
      <c r="Y54" s="211" t="str">
        <f t="shared" si="6"/>
        <v/>
      </c>
      <c r="Z54" s="82"/>
    </row>
    <row r="55" ht="20" customHeight="1" spans="1:26">
      <c r="A55" s="64">
        <v>42</v>
      </c>
      <c r="B55" s="65"/>
      <c r="C55" s="66"/>
      <c r="D55" s="67"/>
      <c r="E55" s="82"/>
      <c r="F55" s="82"/>
      <c r="G55" s="82"/>
      <c r="H55" s="82"/>
      <c r="I55" s="93" t="str">
        <f t="shared" si="0"/>
        <v/>
      </c>
      <c r="J55" s="82"/>
      <c r="K55" s="94" t="str">
        <f>IF(OR(D55="",E55=""),"",IF(J55="",G55,IF(D55="Buy",MROUND(MAX(E55*(1-Settings!$K$8),J55*(1-Settings!$K$6)),Settings!$K$10),MROUND(MIN(E55*(1+Settings!$K$8),J55*(1+Settings!$K$6)),Settings!$K$10))))</f>
        <v/>
      </c>
      <c r="L55" s="95" t="str">
        <f t="shared" si="1"/>
        <v/>
      </c>
      <c r="M55" s="82"/>
      <c r="N55" s="94" t="str">
        <f>IF(OR(D55="",E55=""),"",IF(M55="",H55,IF(D55="Buy",MROUND(MAX(E55*(1-Settings!$K$8),M55*(1-Settings!$K$6)),Settings!$K$10),MROUND(MIN(E55*(1+Settings!$K$8),M55*(1+Settings!$K$6)),Settings!$K$10))))</f>
        <v/>
      </c>
      <c r="O55" s="95" t="str">
        <f t="shared" si="2"/>
        <v/>
      </c>
      <c r="P55" s="82"/>
      <c r="Q55" s="94" t="str">
        <f>IF(OR(D55="",P55=""),"",IF(D55="Buy",MROUND(P55*(1-Settings!$K$6),Settings!$K$10),MROUND(P55*(1+Settings!$K$6),Settings!$K$10)))</f>
        <v/>
      </c>
      <c r="R55" s="95" t="str">
        <f t="shared" si="3"/>
        <v/>
      </c>
      <c r="S55" s="82"/>
      <c r="T55" s="94" t="str">
        <f>IF(OR(D55="",S55=""),"",IF(D55="Buy",MROUND(S55*(1-Settings!$K$6),Settings!$K$10),MROUND(S55*(1+Settings!$K$6),Settings!$K$10)))</f>
        <v/>
      </c>
      <c r="U55" s="67"/>
      <c r="V55" s="211" t="str">
        <f t="shared" si="4"/>
        <v/>
      </c>
      <c r="W55" s="110"/>
      <c r="X55" s="211" t="str">
        <f t="shared" si="5"/>
        <v/>
      </c>
      <c r="Y55" s="211" t="str">
        <f t="shared" si="6"/>
        <v/>
      </c>
      <c r="Z55" s="82"/>
    </row>
    <row r="56" ht="20" customHeight="1" spans="1:26">
      <c r="A56" s="64">
        <v>43</v>
      </c>
      <c r="B56" s="65"/>
      <c r="C56" s="66"/>
      <c r="D56" s="67"/>
      <c r="E56" s="82"/>
      <c r="F56" s="82"/>
      <c r="G56" s="82"/>
      <c r="H56" s="82"/>
      <c r="I56" s="93" t="str">
        <f t="shared" si="0"/>
        <v/>
      </c>
      <c r="J56" s="82"/>
      <c r="K56" s="94" t="str">
        <f>IF(OR(D56="",E56=""),"",IF(J56="",G56,IF(D56="Buy",MROUND(MAX(E56*(1-Settings!$K$8),J56*(1-Settings!$K$6)),Settings!$K$10),MROUND(MIN(E56*(1+Settings!$K$8),J56*(1+Settings!$K$6)),Settings!$K$10))))</f>
        <v/>
      </c>
      <c r="L56" s="95" t="str">
        <f t="shared" si="1"/>
        <v/>
      </c>
      <c r="M56" s="82"/>
      <c r="N56" s="94" t="str">
        <f>IF(OR(D56="",E56=""),"",IF(M56="",H56,IF(D56="Buy",MROUND(MAX(E56*(1-Settings!$K$8),M56*(1-Settings!$K$6)),Settings!$K$10),MROUND(MIN(E56*(1+Settings!$K$8),M56*(1+Settings!$K$6)),Settings!$K$10))))</f>
        <v/>
      </c>
      <c r="O56" s="95" t="str">
        <f t="shared" si="2"/>
        <v/>
      </c>
      <c r="P56" s="82"/>
      <c r="Q56" s="94" t="str">
        <f>IF(OR(D56="",P56=""),"",IF(D56="Buy",MROUND(P56*(1-Settings!$K$6),Settings!$K$10),MROUND(P56*(1+Settings!$K$6),Settings!$K$10)))</f>
        <v/>
      </c>
      <c r="R56" s="95" t="str">
        <f t="shared" si="3"/>
        <v/>
      </c>
      <c r="S56" s="82"/>
      <c r="T56" s="94" t="str">
        <f>IF(OR(D56="",S56=""),"",IF(D56="Buy",MROUND(S56*(1-Settings!$K$6),Settings!$K$10),MROUND(S56*(1+Settings!$K$6),Settings!$K$10)))</f>
        <v/>
      </c>
      <c r="U56" s="67"/>
      <c r="V56" s="211" t="str">
        <f t="shared" si="4"/>
        <v/>
      </c>
      <c r="W56" s="110"/>
      <c r="X56" s="211" t="str">
        <f t="shared" si="5"/>
        <v/>
      </c>
      <c r="Y56" s="211" t="str">
        <f t="shared" si="6"/>
        <v/>
      </c>
      <c r="Z56" s="82"/>
    </row>
    <row r="57" ht="20" customHeight="1" spans="1:26">
      <c r="A57" s="64">
        <v>44</v>
      </c>
      <c r="B57" s="65"/>
      <c r="C57" s="66"/>
      <c r="D57" s="67"/>
      <c r="E57" s="82"/>
      <c r="F57" s="82"/>
      <c r="G57" s="82"/>
      <c r="H57" s="82"/>
      <c r="I57" s="93" t="str">
        <f t="shared" si="0"/>
        <v/>
      </c>
      <c r="J57" s="82"/>
      <c r="K57" s="94" t="str">
        <f>IF(OR(D57="",E57=""),"",IF(J57="",G57,IF(D57="Buy",MROUND(MAX(E57*(1-Settings!$K$8),J57*(1-Settings!$K$6)),Settings!$K$10),MROUND(MIN(E57*(1+Settings!$K$8),J57*(1+Settings!$K$6)),Settings!$K$10))))</f>
        <v/>
      </c>
      <c r="L57" s="95" t="str">
        <f t="shared" si="1"/>
        <v/>
      </c>
      <c r="M57" s="82"/>
      <c r="N57" s="94" t="str">
        <f>IF(OR(D57="",E57=""),"",IF(M57="",H57,IF(D57="Buy",MROUND(MAX(E57*(1-Settings!$K$8),M57*(1-Settings!$K$6)),Settings!$K$10),MROUND(MIN(E57*(1+Settings!$K$8),M57*(1+Settings!$K$6)),Settings!$K$10))))</f>
        <v/>
      </c>
      <c r="O57" s="95" t="str">
        <f t="shared" si="2"/>
        <v/>
      </c>
      <c r="P57" s="82"/>
      <c r="Q57" s="94" t="str">
        <f>IF(OR(D57="",P57=""),"",IF(D57="Buy",MROUND(P57*(1-Settings!$K$6),Settings!$K$10),MROUND(P57*(1+Settings!$K$6),Settings!$K$10)))</f>
        <v/>
      </c>
      <c r="R57" s="95" t="str">
        <f t="shared" si="3"/>
        <v/>
      </c>
      <c r="S57" s="82"/>
      <c r="T57" s="94" t="str">
        <f>IF(OR(D57="",S57=""),"",IF(D57="Buy",MROUND(S57*(1-Settings!$K$6),Settings!$K$10),MROUND(S57*(1+Settings!$K$6),Settings!$K$10)))</f>
        <v/>
      </c>
      <c r="U57" s="67"/>
      <c r="V57" s="211" t="str">
        <f t="shared" si="4"/>
        <v/>
      </c>
      <c r="W57" s="110"/>
      <c r="X57" s="211" t="str">
        <f t="shared" si="5"/>
        <v/>
      </c>
      <c r="Y57" s="211" t="str">
        <f t="shared" si="6"/>
        <v/>
      </c>
      <c r="Z57" s="82"/>
    </row>
    <row r="58" ht="20" customHeight="1" spans="1:26">
      <c r="A58" s="64">
        <v>45</v>
      </c>
      <c r="B58" s="65"/>
      <c r="C58" s="66"/>
      <c r="D58" s="67"/>
      <c r="E58" s="82"/>
      <c r="F58" s="82"/>
      <c r="G58" s="82"/>
      <c r="H58" s="82"/>
      <c r="I58" s="93" t="str">
        <f t="shared" si="0"/>
        <v/>
      </c>
      <c r="J58" s="82"/>
      <c r="K58" s="94" t="str">
        <f>IF(OR(D58="",E58=""),"",IF(J58="",G58,IF(D58="Buy",MROUND(MAX(E58*(1-Settings!$K$8),J58*(1-Settings!$K$6)),Settings!$K$10),MROUND(MIN(E58*(1+Settings!$K$8),J58*(1+Settings!$K$6)),Settings!$K$10))))</f>
        <v/>
      </c>
      <c r="L58" s="95" t="str">
        <f t="shared" si="1"/>
        <v/>
      </c>
      <c r="M58" s="82"/>
      <c r="N58" s="94" t="str">
        <f>IF(OR(D58="",E58=""),"",IF(M58="",H58,IF(D58="Buy",MROUND(MAX(E58*(1-Settings!$K$8),M58*(1-Settings!$K$6)),Settings!$K$10),MROUND(MIN(E58*(1+Settings!$K$8),M58*(1+Settings!$K$6)),Settings!$K$10))))</f>
        <v/>
      </c>
      <c r="O58" s="95" t="str">
        <f t="shared" si="2"/>
        <v/>
      </c>
      <c r="P58" s="82"/>
      <c r="Q58" s="94" t="str">
        <f>IF(OR(D58="",P58=""),"",IF(D58="Buy",MROUND(P58*(1-Settings!$K$6),Settings!$K$10),MROUND(P58*(1+Settings!$K$6),Settings!$K$10)))</f>
        <v/>
      </c>
      <c r="R58" s="95" t="str">
        <f t="shared" si="3"/>
        <v/>
      </c>
      <c r="S58" s="82"/>
      <c r="T58" s="94" t="str">
        <f>IF(OR(D58="",S58=""),"",IF(D58="Buy",MROUND(S58*(1-Settings!$K$6),Settings!$K$10),MROUND(S58*(1+Settings!$K$6),Settings!$K$10)))</f>
        <v/>
      </c>
      <c r="U58" s="67"/>
      <c r="V58" s="211" t="str">
        <f t="shared" si="4"/>
        <v/>
      </c>
      <c r="W58" s="110"/>
      <c r="X58" s="211" t="str">
        <f t="shared" si="5"/>
        <v/>
      </c>
      <c r="Y58" s="211" t="str">
        <f t="shared" si="6"/>
        <v/>
      </c>
      <c r="Z58" s="82"/>
    </row>
    <row r="59" ht="20" customHeight="1" spans="1:26">
      <c r="A59" s="64">
        <v>46</v>
      </c>
      <c r="B59" s="65"/>
      <c r="C59" s="66"/>
      <c r="D59" s="67"/>
      <c r="E59" s="82"/>
      <c r="F59" s="82"/>
      <c r="G59" s="82"/>
      <c r="H59" s="82"/>
      <c r="I59" s="93" t="str">
        <f t="shared" si="0"/>
        <v/>
      </c>
      <c r="J59" s="82"/>
      <c r="K59" s="94" t="str">
        <f>IF(OR(D59="",E59=""),"",IF(J59="",G59,IF(D59="Buy",MROUND(MAX(E59*(1-Settings!$K$8),J59*(1-Settings!$K$6)),Settings!$K$10),MROUND(MIN(E59*(1+Settings!$K$8),J59*(1+Settings!$K$6)),Settings!$K$10))))</f>
        <v/>
      </c>
      <c r="L59" s="95" t="str">
        <f t="shared" si="1"/>
        <v/>
      </c>
      <c r="M59" s="82"/>
      <c r="N59" s="94" t="str">
        <f>IF(OR(D59="",E59=""),"",IF(M59="",H59,IF(D59="Buy",MROUND(MAX(E59*(1-Settings!$K$8),M59*(1-Settings!$K$6)),Settings!$K$10),MROUND(MIN(E59*(1+Settings!$K$8),M59*(1+Settings!$K$6)),Settings!$K$10))))</f>
        <v/>
      </c>
      <c r="O59" s="95" t="str">
        <f t="shared" si="2"/>
        <v/>
      </c>
      <c r="P59" s="82"/>
      <c r="Q59" s="94" t="str">
        <f>IF(OR(D59="",P59=""),"",IF(D59="Buy",MROUND(P59*(1-Settings!$K$6),Settings!$K$10),MROUND(P59*(1+Settings!$K$6),Settings!$K$10)))</f>
        <v/>
      </c>
      <c r="R59" s="95" t="str">
        <f t="shared" si="3"/>
        <v/>
      </c>
      <c r="S59" s="82"/>
      <c r="T59" s="94" t="str">
        <f>IF(OR(D59="",S59=""),"",IF(D59="Buy",MROUND(S59*(1-Settings!$K$6),Settings!$K$10),MROUND(S59*(1+Settings!$K$6),Settings!$K$10)))</f>
        <v/>
      </c>
      <c r="U59" s="67"/>
      <c r="V59" s="211" t="str">
        <f t="shared" si="4"/>
        <v/>
      </c>
      <c r="W59" s="110"/>
      <c r="X59" s="211" t="str">
        <f t="shared" si="5"/>
        <v/>
      </c>
      <c r="Y59" s="211" t="str">
        <f t="shared" si="6"/>
        <v/>
      </c>
      <c r="Z59" s="82"/>
    </row>
    <row r="60" ht="20" customHeight="1" spans="1:26">
      <c r="A60" s="64">
        <v>47</v>
      </c>
      <c r="B60" s="65"/>
      <c r="C60" s="66"/>
      <c r="D60" s="67"/>
      <c r="E60" s="82"/>
      <c r="F60" s="82"/>
      <c r="G60" s="82"/>
      <c r="H60" s="82"/>
      <c r="I60" s="93" t="str">
        <f t="shared" si="0"/>
        <v/>
      </c>
      <c r="J60" s="82"/>
      <c r="K60" s="94" t="str">
        <f>IF(OR(D60="",E60=""),"",IF(J60="",G60,IF(D60="Buy",MROUND(MAX(E60*(1-Settings!$K$8),J60*(1-Settings!$K$6)),Settings!$K$10),MROUND(MIN(E60*(1+Settings!$K$8),J60*(1+Settings!$K$6)),Settings!$K$10))))</f>
        <v/>
      </c>
      <c r="L60" s="95" t="str">
        <f t="shared" si="1"/>
        <v/>
      </c>
      <c r="M60" s="82"/>
      <c r="N60" s="94" t="str">
        <f>IF(OR(D60="",E60=""),"",IF(M60="",H60,IF(D60="Buy",MROUND(MAX(E60*(1-Settings!$K$8),M60*(1-Settings!$K$6)),Settings!$K$10),MROUND(MIN(E60*(1+Settings!$K$8),M60*(1+Settings!$K$6)),Settings!$K$10))))</f>
        <v/>
      </c>
      <c r="O60" s="95" t="str">
        <f t="shared" si="2"/>
        <v/>
      </c>
      <c r="P60" s="82"/>
      <c r="Q60" s="94" t="str">
        <f>IF(OR(D60="",P60=""),"",IF(D60="Buy",MROUND(P60*(1-Settings!$K$6),Settings!$K$10),MROUND(P60*(1+Settings!$K$6),Settings!$K$10)))</f>
        <v/>
      </c>
      <c r="R60" s="95" t="str">
        <f t="shared" si="3"/>
        <v/>
      </c>
      <c r="S60" s="82"/>
      <c r="T60" s="94" t="str">
        <f>IF(OR(D60="",S60=""),"",IF(D60="Buy",MROUND(S60*(1-Settings!$K$6),Settings!$K$10),MROUND(S60*(1+Settings!$K$6),Settings!$K$10)))</f>
        <v/>
      </c>
      <c r="U60" s="67"/>
      <c r="V60" s="211" t="str">
        <f t="shared" si="4"/>
        <v/>
      </c>
      <c r="W60" s="110"/>
      <c r="X60" s="211" t="str">
        <f t="shared" si="5"/>
        <v/>
      </c>
      <c r="Y60" s="211" t="str">
        <f t="shared" si="6"/>
        <v/>
      </c>
      <c r="Z60" s="82"/>
    </row>
    <row r="61" ht="20" customHeight="1" spans="1:26">
      <c r="A61" s="64">
        <v>48</v>
      </c>
      <c r="B61" s="65"/>
      <c r="C61" s="66"/>
      <c r="D61" s="67"/>
      <c r="E61" s="82"/>
      <c r="F61" s="82"/>
      <c r="G61" s="82"/>
      <c r="H61" s="82"/>
      <c r="I61" s="93" t="str">
        <f t="shared" si="0"/>
        <v/>
      </c>
      <c r="J61" s="82"/>
      <c r="K61" s="94" t="str">
        <f>IF(OR(D61="",E61=""),"",IF(J61="",G61,IF(D61="Buy",MROUND(MAX(E61*(1-Settings!$K$8),J61*(1-Settings!$K$6)),Settings!$K$10),MROUND(MIN(E61*(1+Settings!$K$8),J61*(1+Settings!$K$6)),Settings!$K$10))))</f>
        <v/>
      </c>
      <c r="L61" s="95" t="str">
        <f t="shared" si="1"/>
        <v/>
      </c>
      <c r="M61" s="82"/>
      <c r="N61" s="94" t="str">
        <f>IF(OR(D61="",E61=""),"",IF(M61="",H61,IF(D61="Buy",MROUND(MAX(E61*(1-Settings!$K$8),M61*(1-Settings!$K$6)),Settings!$K$10),MROUND(MIN(E61*(1+Settings!$K$8),M61*(1+Settings!$K$6)),Settings!$K$10))))</f>
        <v/>
      </c>
      <c r="O61" s="95" t="str">
        <f t="shared" si="2"/>
        <v/>
      </c>
      <c r="P61" s="82"/>
      <c r="Q61" s="94" t="str">
        <f>IF(OR(D61="",P61=""),"",IF(D61="Buy",MROUND(P61*(1-Settings!$K$6),Settings!$K$10),MROUND(P61*(1+Settings!$K$6),Settings!$K$10)))</f>
        <v/>
      </c>
      <c r="R61" s="95" t="str">
        <f t="shared" si="3"/>
        <v/>
      </c>
      <c r="S61" s="82"/>
      <c r="T61" s="94" t="str">
        <f>IF(OR(D61="",S61=""),"",IF(D61="Buy",MROUND(S61*(1-Settings!$K$6),Settings!$K$10),MROUND(S61*(1+Settings!$K$6),Settings!$K$10)))</f>
        <v/>
      </c>
      <c r="U61" s="67"/>
      <c r="V61" s="211" t="str">
        <f t="shared" si="4"/>
        <v/>
      </c>
      <c r="W61" s="110"/>
      <c r="X61" s="211" t="str">
        <f t="shared" si="5"/>
        <v/>
      </c>
      <c r="Y61" s="211" t="str">
        <f t="shared" si="6"/>
        <v/>
      </c>
      <c r="Z61" s="82"/>
    </row>
    <row r="62" ht="20" customHeight="1" spans="1:26">
      <c r="A62" s="64">
        <v>49</v>
      </c>
      <c r="B62" s="65"/>
      <c r="C62" s="66"/>
      <c r="D62" s="67"/>
      <c r="E62" s="82"/>
      <c r="F62" s="82"/>
      <c r="G62" s="82"/>
      <c r="H62" s="82"/>
      <c r="I62" s="93" t="str">
        <f t="shared" si="0"/>
        <v/>
      </c>
      <c r="J62" s="82"/>
      <c r="K62" s="94" t="str">
        <f>IF(OR(D62="",E62=""),"",IF(J62="",G62,IF(D62="Buy",MROUND(MAX(E62*(1-Settings!$K$8),J62*(1-Settings!$K$6)),Settings!$K$10),MROUND(MIN(E62*(1+Settings!$K$8),J62*(1+Settings!$K$6)),Settings!$K$10))))</f>
        <v/>
      </c>
      <c r="L62" s="95" t="str">
        <f t="shared" si="1"/>
        <v/>
      </c>
      <c r="M62" s="82"/>
      <c r="N62" s="94" t="str">
        <f>IF(OR(D62="",E62=""),"",IF(M62="",H62,IF(D62="Buy",MROUND(MAX(E62*(1-Settings!$K$8),M62*(1-Settings!$K$6)),Settings!$K$10),MROUND(MIN(E62*(1+Settings!$K$8),M62*(1+Settings!$K$6)),Settings!$K$10))))</f>
        <v/>
      </c>
      <c r="O62" s="95" t="str">
        <f t="shared" si="2"/>
        <v/>
      </c>
      <c r="P62" s="82"/>
      <c r="Q62" s="94" t="str">
        <f>IF(OR(D62="",P62=""),"",IF(D62="Buy",MROUND(P62*(1-Settings!$K$6),Settings!$K$10),MROUND(P62*(1+Settings!$K$6),Settings!$K$10)))</f>
        <v/>
      </c>
      <c r="R62" s="95" t="str">
        <f t="shared" si="3"/>
        <v/>
      </c>
      <c r="S62" s="82"/>
      <c r="T62" s="94" t="str">
        <f>IF(OR(D62="",S62=""),"",IF(D62="Buy",MROUND(S62*(1-Settings!$K$6),Settings!$K$10),MROUND(S62*(1+Settings!$K$6),Settings!$K$10)))</f>
        <v/>
      </c>
      <c r="U62" s="67"/>
      <c r="V62" s="211" t="str">
        <f t="shared" si="4"/>
        <v/>
      </c>
      <c r="W62" s="110"/>
      <c r="X62" s="211" t="str">
        <f t="shared" si="5"/>
        <v/>
      </c>
      <c r="Y62" s="211" t="str">
        <f t="shared" si="6"/>
        <v/>
      </c>
      <c r="Z62" s="82"/>
    </row>
    <row r="63" ht="20" customHeight="1" spans="1:26">
      <c r="A63" s="64">
        <v>50</v>
      </c>
      <c r="B63" s="65"/>
      <c r="C63" s="66"/>
      <c r="D63" s="67"/>
      <c r="E63" s="82"/>
      <c r="F63" s="82"/>
      <c r="G63" s="82"/>
      <c r="H63" s="82"/>
      <c r="I63" s="93" t="str">
        <f t="shared" si="0"/>
        <v/>
      </c>
      <c r="J63" s="82"/>
      <c r="K63" s="94" t="str">
        <f>IF(OR(D63="",E63=""),"",IF(J63="",G63,IF(D63="Buy",MROUND(MAX(E63*(1-Settings!$K$8),J63*(1-Settings!$K$6)),Settings!$K$10),MROUND(MIN(E63*(1+Settings!$K$8),J63*(1+Settings!$K$6)),Settings!$K$10))))</f>
        <v/>
      </c>
      <c r="L63" s="95" t="str">
        <f t="shared" si="1"/>
        <v/>
      </c>
      <c r="M63" s="82"/>
      <c r="N63" s="94" t="str">
        <f>IF(OR(D63="",E63=""),"",IF(M63="",H63,IF(D63="Buy",MROUND(MAX(E63*(1-Settings!$K$8),M63*(1-Settings!$K$6)),Settings!$K$10),MROUND(MIN(E63*(1+Settings!$K$8),M63*(1+Settings!$K$6)),Settings!$K$10))))</f>
        <v/>
      </c>
      <c r="O63" s="95" t="str">
        <f t="shared" si="2"/>
        <v/>
      </c>
      <c r="P63" s="82"/>
      <c r="Q63" s="94" t="str">
        <f>IF(OR(D63="",P63=""),"",IF(D63="Buy",MROUND(P63*(1-Settings!$K$6),Settings!$K$10),MROUND(P63*(1+Settings!$K$6),Settings!$K$10)))</f>
        <v/>
      </c>
      <c r="R63" s="95" t="str">
        <f t="shared" si="3"/>
        <v/>
      </c>
      <c r="S63" s="82"/>
      <c r="T63" s="94" t="str">
        <f>IF(OR(D63="",S63=""),"",IF(D63="Buy",MROUND(S63*(1-Settings!$K$6),Settings!$K$10),MROUND(S63*(1+Settings!$K$6),Settings!$K$10)))</f>
        <v/>
      </c>
      <c r="U63" s="67"/>
      <c r="V63" s="211" t="str">
        <f t="shared" si="4"/>
        <v/>
      </c>
      <c r="W63" s="110"/>
      <c r="X63" s="211" t="str">
        <f t="shared" si="5"/>
        <v/>
      </c>
      <c r="Y63" s="211" t="str">
        <f t="shared" si="6"/>
        <v/>
      </c>
      <c r="Z63" s="82"/>
    </row>
    <row r="64" ht="20" customHeight="1" spans="1:26">
      <c r="A64" s="64">
        <v>51</v>
      </c>
      <c r="B64" s="65"/>
      <c r="C64" s="66"/>
      <c r="D64" s="67"/>
      <c r="E64" s="82"/>
      <c r="F64" s="82"/>
      <c r="G64" s="82"/>
      <c r="H64" s="82"/>
      <c r="I64" s="93" t="str">
        <f t="shared" si="0"/>
        <v/>
      </c>
      <c r="J64" s="82"/>
      <c r="K64" s="94" t="str">
        <f>IF(OR(D64="",E64=""),"",IF(J64="",G64,IF(D64="Buy",MROUND(MAX(E64*(1-Settings!$K$8),J64*(1-Settings!$K$6)),Settings!$K$10),MROUND(MIN(E64*(1+Settings!$K$8),J64*(1+Settings!$K$6)),Settings!$K$10))))</f>
        <v/>
      </c>
      <c r="L64" s="95" t="str">
        <f t="shared" si="1"/>
        <v/>
      </c>
      <c r="M64" s="82"/>
      <c r="N64" s="94" t="str">
        <f>IF(OR(D64="",E64=""),"",IF(M64="",H64,IF(D64="Buy",MROUND(MAX(E64*(1-Settings!$K$8),M64*(1-Settings!$K$6)),Settings!$K$10),MROUND(MIN(E64*(1+Settings!$K$8),M64*(1+Settings!$K$6)),Settings!$K$10))))</f>
        <v/>
      </c>
      <c r="O64" s="95" t="str">
        <f t="shared" si="2"/>
        <v/>
      </c>
      <c r="P64" s="82"/>
      <c r="Q64" s="94" t="str">
        <f>IF(OR(D64="",P64=""),"",IF(D64="Buy",MROUND(P64*(1-Settings!$K$6),Settings!$K$10),MROUND(P64*(1+Settings!$K$6),Settings!$K$10)))</f>
        <v/>
      </c>
      <c r="R64" s="95" t="str">
        <f t="shared" si="3"/>
        <v/>
      </c>
      <c r="S64" s="82"/>
      <c r="T64" s="94" t="str">
        <f>IF(OR(D64="",S64=""),"",IF(D64="Buy",MROUND(S64*(1-Settings!$K$6),Settings!$K$10),MROUND(S64*(1+Settings!$K$6),Settings!$K$10)))</f>
        <v/>
      </c>
      <c r="U64" s="67"/>
      <c r="V64" s="211" t="str">
        <f t="shared" si="4"/>
        <v/>
      </c>
      <c r="W64" s="110"/>
      <c r="X64" s="211" t="str">
        <f t="shared" si="5"/>
        <v/>
      </c>
      <c r="Y64" s="211" t="str">
        <f t="shared" si="6"/>
        <v/>
      </c>
      <c r="Z64" s="82"/>
    </row>
    <row r="65" ht="20" customHeight="1" spans="1:26">
      <c r="A65" s="64">
        <v>52</v>
      </c>
      <c r="B65" s="65"/>
      <c r="C65" s="66"/>
      <c r="D65" s="67"/>
      <c r="E65" s="82"/>
      <c r="F65" s="82"/>
      <c r="G65" s="82"/>
      <c r="H65" s="82"/>
      <c r="I65" s="93" t="str">
        <f t="shared" si="0"/>
        <v/>
      </c>
      <c r="J65" s="82"/>
      <c r="K65" s="94" t="str">
        <f>IF(OR(D65="",E65=""),"",IF(J65="",G65,IF(D65="Buy",MROUND(MAX(E65*(1-Settings!$K$8),J65*(1-Settings!$K$6)),Settings!$K$10),MROUND(MIN(E65*(1+Settings!$K$8),J65*(1+Settings!$K$6)),Settings!$K$10))))</f>
        <v/>
      </c>
      <c r="L65" s="95" t="str">
        <f t="shared" si="1"/>
        <v/>
      </c>
      <c r="M65" s="82"/>
      <c r="N65" s="94" t="str">
        <f>IF(OR(D65="",E65=""),"",IF(M65="",H65,IF(D65="Buy",MROUND(MAX(E65*(1-Settings!$K$8),M65*(1-Settings!$K$6)),Settings!$K$10),MROUND(MIN(E65*(1+Settings!$K$8),M65*(1+Settings!$K$6)),Settings!$K$10))))</f>
        <v/>
      </c>
      <c r="O65" s="95" t="str">
        <f t="shared" si="2"/>
        <v/>
      </c>
      <c r="P65" s="82"/>
      <c r="Q65" s="94" t="str">
        <f>IF(OR(D65="",P65=""),"",IF(D65="Buy",MROUND(P65*(1-Settings!$K$6),Settings!$K$10),MROUND(P65*(1+Settings!$K$6),Settings!$K$10)))</f>
        <v/>
      </c>
      <c r="R65" s="95" t="str">
        <f t="shared" si="3"/>
        <v/>
      </c>
      <c r="S65" s="82"/>
      <c r="T65" s="94" t="str">
        <f>IF(OR(D65="",S65=""),"",IF(D65="Buy",MROUND(S65*(1-Settings!$K$6),Settings!$K$10),MROUND(S65*(1+Settings!$K$6),Settings!$K$10)))</f>
        <v/>
      </c>
      <c r="U65" s="67"/>
      <c r="V65" s="211" t="str">
        <f t="shared" si="4"/>
        <v/>
      </c>
      <c r="W65" s="110"/>
      <c r="X65" s="211" t="str">
        <f t="shared" si="5"/>
        <v/>
      </c>
      <c r="Y65" s="211" t="str">
        <f t="shared" si="6"/>
        <v/>
      </c>
      <c r="Z65" s="82"/>
    </row>
    <row r="66" ht="20" customHeight="1" spans="1:26">
      <c r="A66" s="64">
        <v>53</v>
      </c>
      <c r="B66" s="65"/>
      <c r="C66" s="66"/>
      <c r="D66" s="67"/>
      <c r="E66" s="82"/>
      <c r="F66" s="82"/>
      <c r="G66" s="82"/>
      <c r="H66" s="82"/>
      <c r="I66" s="93" t="str">
        <f t="shared" si="0"/>
        <v/>
      </c>
      <c r="J66" s="82"/>
      <c r="K66" s="94" t="str">
        <f>IF(OR(D66="",E66=""),"",IF(J66="",G66,IF(D66="Buy",MROUND(MAX(E66*(1-Settings!$K$8),J66*(1-Settings!$K$6)),Settings!$K$10),MROUND(MIN(E66*(1+Settings!$K$8),J66*(1+Settings!$K$6)),Settings!$K$10))))</f>
        <v/>
      </c>
      <c r="L66" s="95" t="str">
        <f t="shared" si="1"/>
        <v/>
      </c>
      <c r="M66" s="82"/>
      <c r="N66" s="94" t="str">
        <f>IF(OR(D66="",E66=""),"",IF(M66="",H66,IF(D66="Buy",MROUND(MAX(E66*(1-Settings!$K$8),M66*(1-Settings!$K$6)),Settings!$K$10),MROUND(MIN(E66*(1+Settings!$K$8),M66*(1+Settings!$K$6)),Settings!$K$10))))</f>
        <v/>
      </c>
      <c r="O66" s="95" t="str">
        <f t="shared" si="2"/>
        <v/>
      </c>
      <c r="P66" s="82"/>
      <c r="Q66" s="94" t="str">
        <f>IF(OR(D66="",P66=""),"",IF(D66="Buy",MROUND(P66*(1-Settings!$K$6),Settings!$K$10),MROUND(P66*(1+Settings!$K$6),Settings!$K$10)))</f>
        <v/>
      </c>
      <c r="R66" s="95" t="str">
        <f t="shared" si="3"/>
        <v/>
      </c>
      <c r="S66" s="82"/>
      <c r="T66" s="94" t="str">
        <f>IF(OR(D66="",S66=""),"",IF(D66="Buy",MROUND(S66*(1-Settings!$K$6),Settings!$K$10),MROUND(S66*(1+Settings!$K$6),Settings!$K$10)))</f>
        <v/>
      </c>
      <c r="U66" s="67"/>
      <c r="V66" s="211" t="str">
        <f t="shared" si="4"/>
        <v/>
      </c>
      <c r="W66" s="110"/>
      <c r="X66" s="211" t="str">
        <f t="shared" si="5"/>
        <v/>
      </c>
      <c r="Y66" s="211" t="str">
        <f t="shared" si="6"/>
        <v/>
      </c>
      <c r="Z66" s="82"/>
    </row>
    <row r="67" ht="20" customHeight="1" spans="1:26">
      <c r="A67" s="64">
        <v>54</v>
      </c>
      <c r="B67" s="65"/>
      <c r="C67" s="66"/>
      <c r="D67" s="67"/>
      <c r="E67" s="82"/>
      <c r="F67" s="82"/>
      <c r="G67" s="82"/>
      <c r="H67" s="82"/>
      <c r="I67" s="93" t="str">
        <f t="shared" si="0"/>
        <v/>
      </c>
      <c r="J67" s="82"/>
      <c r="K67" s="94" t="str">
        <f>IF(OR(D67="",E67=""),"",IF(J67="",G67,IF(D67="Buy",MROUND(MAX(E67*(1-Settings!$K$8),J67*(1-Settings!$K$6)),Settings!$K$10),MROUND(MIN(E67*(1+Settings!$K$8),J67*(1+Settings!$K$6)),Settings!$K$10))))</f>
        <v/>
      </c>
      <c r="L67" s="95" t="str">
        <f t="shared" si="1"/>
        <v/>
      </c>
      <c r="M67" s="82"/>
      <c r="N67" s="94" t="str">
        <f>IF(OR(D67="",E67=""),"",IF(M67="",H67,IF(D67="Buy",MROUND(MAX(E67*(1-Settings!$K$8),M67*(1-Settings!$K$6)),Settings!$K$10),MROUND(MIN(E67*(1+Settings!$K$8),M67*(1+Settings!$K$6)),Settings!$K$10))))</f>
        <v/>
      </c>
      <c r="O67" s="95" t="str">
        <f t="shared" si="2"/>
        <v/>
      </c>
      <c r="P67" s="82"/>
      <c r="Q67" s="94" t="str">
        <f>IF(OR(D67="",P67=""),"",IF(D67="Buy",MROUND(P67*(1-Settings!$K$6),Settings!$K$10),MROUND(P67*(1+Settings!$K$6),Settings!$K$10)))</f>
        <v/>
      </c>
      <c r="R67" s="95" t="str">
        <f t="shared" si="3"/>
        <v/>
      </c>
      <c r="S67" s="82"/>
      <c r="T67" s="94" t="str">
        <f>IF(OR(D67="",S67=""),"",IF(D67="Buy",MROUND(S67*(1-Settings!$K$6),Settings!$K$10),MROUND(S67*(1+Settings!$K$6),Settings!$K$10)))</f>
        <v/>
      </c>
      <c r="U67" s="67"/>
      <c r="V67" s="211" t="str">
        <f t="shared" si="4"/>
        <v/>
      </c>
      <c r="W67" s="110"/>
      <c r="X67" s="211" t="str">
        <f t="shared" si="5"/>
        <v/>
      </c>
      <c r="Y67" s="211" t="str">
        <f t="shared" si="6"/>
        <v/>
      </c>
      <c r="Z67" s="82"/>
    </row>
    <row r="68" ht="20" customHeight="1" spans="1:26">
      <c r="A68" s="64">
        <v>55</v>
      </c>
      <c r="B68" s="65"/>
      <c r="C68" s="66"/>
      <c r="D68" s="67"/>
      <c r="E68" s="82"/>
      <c r="F68" s="82"/>
      <c r="G68" s="82"/>
      <c r="H68" s="82"/>
      <c r="I68" s="93" t="str">
        <f t="shared" si="0"/>
        <v/>
      </c>
      <c r="J68" s="82"/>
      <c r="K68" s="94" t="str">
        <f>IF(OR(D68="",E68=""),"",IF(J68="",G68,IF(D68="Buy",MROUND(MAX(E68*(1-Settings!$K$8),J68*(1-Settings!$K$6)),Settings!$K$10),MROUND(MIN(E68*(1+Settings!$K$8),J68*(1+Settings!$K$6)),Settings!$K$10))))</f>
        <v/>
      </c>
      <c r="L68" s="95" t="str">
        <f t="shared" si="1"/>
        <v/>
      </c>
      <c r="M68" s="82"/>
      <c r="N68" s="94" t="str">
        <f>IF(OR(D68="",E68=""),"",IF(M68="",H68,IF(D68="Buy",MROUND(MAX(E68*(1-Settings!$K$8),M68*(1-Settings!$K$6)),Settings!$K$10),MROUND(MIN(E68*(1+Settings!$K$8),M68*(1+Settings!$K$6)),Settings!$K$10))))</f>
        <v/>
      </c>
      <c r="O68" s="95" t="str">
        <f t="shared" si="2"/>
        <v/>
      </c>
      <c r="P68" s="82"/>
      <c r="Q68" s="94" t="str">
        <f>IF(OR(D68="",P68=""),"",IF(D68="Buy",MROUND(P68*(1-Settings!$K$6),Settings!$K$10),MROUND(P68*(1+Settings!$K$6),Settings!$K$10)))</f>
        <v/>
      </c>
      <c r="R68" s="95" t="str">
        <f t="shared" si="3"/>
        <v/>
      </c>
      <c r="S68" s="82"/>
      <c r="T68" s="94" t="str">
        <f>IF(OR(D68="",S68=""),"",IF(D68="Buy",MROUND(S68*(1-Settings!$K$6),Settings!$K$10),MROUND(S68*(1+Settings!$K$6),Settings!$K$10)))</f>
        <v/>
      </c>
      <c r="U68" s="67"/>
      <c r="V68" s="211" t="str">
        <f t="shared" si="4"/>
        <v/>
      </c>
      <c r="W68" s="110"/>
      <c r="X68" s="211" t="str">
        <f t="shared" si="5"/>
        <v/>
      </c>
      <c r="Y68" s="211" t="str">
        <f t="shared" si="6"/>
        <v/>
      </c>
      <c r="Z68" s="82"/>
    </row>
    <row r="69" ht="20" customHeight="1" spans="1:26">
      <c r="A69" s="64">
        <v>56</v>
      </c>
      <c r="B69" s="65"/>
      <c r="C69" s="66"/>
      <c r="D69" s="67"/>
      <c r="E69" s="82"/>
      <c r="F69" s="82"/>
      <c r="G69" s="82"/>
      <c r="H69" s="82"/>
      <c r="I69" s="93" t="str">
        <f t="shared" si="0"/>
        <v/>
      </c>
      <c r="J69" s="82"/>
      <c r="K69" s="94" t="str">
        <f>IF(OR(D69="",E69=""),"",IF(J69="",G69,IF(D69="Buy",MROUND(MAX(E69*(1-Settings!$K$8),J69*(1-Settings!$K$6)),Settings!$K$10),MROUND(MIN(E69*(1+Settings!$K$8),J69*(1+Settings!$K$6)),Settings!$K$10))))</f>
        <v/>
      </c>
      <c r="L69" s="95" t="str">
        <f t="shared" si="1"/>
        <v/>
      </c>
      <c r="M69" s="82"/>
      <c r="N69" s="94" t="str">
        <f>IF(OR(D69="",E69=""),"",IF(M69="",H69,IF(D69="Buy",MROUND(MAX(E69*(1-Settings!$K$8),M69*(1-Settings!$K$6)),Settings!$K$10),MROUND(MIN(E69*(1+Settings!$K$8),M69*(1+Settings!$K$6)),Settings!$K$10))))</f>
        <v/>
      </c>
      <c r="O69" s="95" t="str">
        <f t="shared" si="2"/>
        <v/>
      </c>
      <c r="P69" s="82"/>
      <c r="Q69" s="94" t="str">
        <f>IF(OR(D69="",P69=""),"",IF(D69="Buy",MROUND(P69*(1-Settings!$K$6),Settings!$K$10),MROUND(P69*(1+Settings!$K$6),Settings!$K$10)))</f>
        <v/>
      </c>
      <c r="R69" s="95" t="str">
        <f t="shared" si="3"/>
        <v/>
      </c>
      <c r="S69" s="82"/>
      <c r="T69" s="94" t="str">
        <f>IF(OR(D69="",S69=""),"",IF(D69="Buy",MROUND(S69*(1-Settings!$K$6),Settings!$K$10),MROUND(S69*(1+Settings!$K$6),Settings!$K$10)))</f>
        <v/>
      </c>
      <c r="U69" s="67"/>
      <c r="V69" s="211" t="str">
        <f t="shared" si="4"/>
        <v/>
      </c>
      <c r="W69" s="110"/>
      <c r="X69" s="211" t="str">
        <f t="shared" si="5"/>
        <v/>
      </c>
      <c r="Y69" s="211" t="str">
        <f t="shared" si="6"/>
        <v/>
      </c>
      <c r="Z69" s="82"/>
    </row>
    <row r="70" ht="20" customHeight="1" spans="1:26">
      <c r="A70" s="64">
        <v>57</v>
      </c>
      <c r="B70" s="65"/>
      <c r="C70" s="66"/>
      <c r="D70" s="67"/>
      <c r="E70" s="82"/>
      <c r="F70" s="82"/>
      <c r="G70" s="82"/>
      <c r="H70" s="82"/>
      <c r="I70" s="93" t="str">
        <f t="shared" si="0"/>
        <v/>
      </c>
      <c r="J70" s="82"/>
      <c r="K70" s="94" t="str">
        <f>IF(OR(D70="",E70=""),"",IF(J70="",G70,IF(D70="Buy",MROUND(MAX(E70*(1-Settings!$K$8),J70*(1-Settings!$K$6)),Settings!$K$10),MROUND(MIN(E70*(1+Settings!$K$8),J70*(1+Settings!$K$6)),Settings!$K$10))))</f>
        <v/>
      </c>
      <c r="L70" s="95" t="str">
        <f t="shared" si="1"/>
        <v/>
      </c>
      <c r="M70" s="82"/>
      <c r="N70" s="94" t="str">
        <f>IF(OR(D70="",E70=""),"",IF(M70="",H70,IF(D70="Buy",MROUND(MAX(E70*(1-Settings!$K$8),M70*(1-Settings!$K$6)),Settings!$K$10),MROUND(MIN(E70*(1+Settings!$K$8),M70*(1+Settings!$K$6)),Settings!$K$10))))</f>
        <v/>
      </c>
      <c r="O70" s="95" t="str">
        <f t="shared" si="2"/>
        <v/>
      </c>
      <c r="P70" s="82"/>
      <c r="Q70" s="94" t="str">
        <f>IF(OR(D70="",P70=""),"",IF(D70="Buy",MROUND(P70*(1-Settings!$K$6),Settings!$K$10),MROUND(P70*(1+Settings!$K$6),Settings!$K$10)))</f>
        <v/>
      </c>
      <c r="R70" s="95" t="str">
        <f t="shared" si="3"/>
        <v/>
      </c>
      <c r="S70" s="82"/>
      <c r="T70" s="94" t="str">
        <f>IF(OR(D70="",S70=""),"",IF(D70="Buy",MROUND(S70*(1-Settings!$K$6),Settings!$K$10),MROUND(S70*(1+Settings!$K$6),Settings!$K$10)))</f>
        <v/>
      </c>
      <c r="U70" s="67"/>
      <c r="V70" s="211" t="str">
        <f t="shared" si="4"/>
        <v/>
      </c>
      <c r="W70" s="110"/>
      <c r="X70" s="211" t="str">
        <f t="shared" si="5"/>
        <v/>
      </c>
      <c r="Y70" s="211" t="str">
        <f t="shared" si="6"/>
        <v/>
      </c>
      <c r="Z70" s="82"/>
    </row>
    <row r="71" ht="20" customHeight="1" spans="1:26">
      <c r="A71" s="64">
        <v>58</v>
      </c>
      <c r="B71" s="65"/>
      <c r="C71" s="66"/>
      <c r="D71" s="67"/>
      <c r="E71" s="82"/>
      <c r="F71" s="82"/>
      <c r="G71" s="82"/>
      <c r="H71" s="82"/>
      <c r="I71" s="93" t="str">
        <f t="shared" si="0"/>
        <v/>
      </c>
      <c r="J71" s="82"/>
      <c r="K71" s="94" t="str">
        <f>IF(OR(D71="",E71=""),"",IF(J71="",G71,IF(D71="Buy",MROUND(MAX(E71*(1-Settings!$K$8),J71*(1-Settings!$K$6)),Settings!$K$10),MROUND(MIN(E71*(1+Settings!$K$8),J71*(1+Settings!$K$6)),Settings!$K$10))))</f>
        <v/>
      </c>
      <c r="L71" s="95" t="str">
        <f t="shared" si="1"/>
        <v/>
      </c>
      <c r="M71" s="82"/>
      <c r="N71" s="94" t="str">
        <f>IF(OR(D71="",E71=""),"",IF(M71="",H71,IF(D71="Buy",MROUND(MAX(E71*(1-Settings!$K$8),M71*(1-Settings!$K$6)),Settings!$K$10),MROUND(MIN(E71*(1+Settings!$K$8),M71*(1+Settings!$K$6)),Settings!$K$10))))</f>
        <v/>
      </c>
      <c r="O71" s="95" t="str">
        <f t="shared" si="2"/>
        <v/>
      </c>
      <c r="P71" s="82"/>
      <c r="Q71" s="94" t="str">
        <f>IF(OR(D71="",P71=""),"",IF(D71="Buy",MROUND(P71*(1-Settings!$K$6),Settings!$K$10),MROUND(P71*(1+Settings!$K$6),Settings!$K$10)))</f>
        <v/>
      </c>
      <c r="R71" s="95" t="str">
        <f t="shared" si="3"/>
        <v/>
      </c>
      <c r="S71" s="82"/>
      <c r="T71" s="94" t="str">
        <f>IF(OR(D71="",S71=""),"",IF(D71="Buy",MROUND(S71*(1-Settings!$K$6),Settings!$K$10),MROUND(S71*(1+Settings!$K$6),Settings!$K$10)))</f>
        <v/>
      </c>
      <c r="U71" s="67"/>
      <c r="V71" s="211" t="str">
        <f t="shared" si="4"/>
        <v/>
      </c>
      <c r="W71" s="110"/>
      <c r="X71" s="211" t="str">
        <f t="shared" si="5"/>
        <v/>
      </c>
      <c r="Y71" s="211" t="str">
        <f t="shared" si="6"/>
        <v/>
      </c>
      <c r="Z71" s="82"/>
    </row>
    <row r="72" ht="20" customHeight="1" spans="1:26">
      <c r="A72" s="64">
        <v>59</v>
      </c>
      <c r="B72" s="65"/>
      <c r="C72" s="66"/>
      <c r="D72" s="67"/>
      <c r="E72" s="82"/>
      <c r="F72" s="82"/>
      <c r="G72" s="82"/>
      <c r="H72" s="82"/>
      <c r="I72" s="93" t="str">
        <f t="shared" si="0"/>
        <v/>
      </c>
      <c r="J72" s="82"/>
      <c r="K72" s="94" t="str">
        <f>IF(OR(D72="",E72=""),"",IF(J72="",G72,IF(D72="Buy",MROUND(MAX(E72*(1-Settings!$K$8),J72*(1-Settings!$K$6)),Settings!$K$10),MROUND(MIN(E72*(1+Settings!$K$8),J72*(1+Settings!$K$6)),Settings!$K$10))))</f>
        <v/>
      </c>
      <c r="L72" s="95" t="str">
        <f t="shared" si="1"/>
        <v/>
      </c>
      <c r="M72" s="82"/>
      <c r="N72" s="94" t="str">
        <f>IF(OR(D72="",E72=""),"",IF(M72="",H72,IF(D72="Buy",MROUND(MAX(E72*(1-Settings!$K$8),M72*(1-Settings!$K$6)),Settings!$K$10),MROUND(MIN(E72*(1+Settings!$K$8),M72*(1+Settings!$K$6)),Settings!$K$10))))</f>
        <v/>
      </c>
      <c r="O72" s="95" t="str">
        <f t="shared" si="2"/>
        <v/>
      </c>
      <c r="P72" s="82"/>
      <c r="Q72" s="94" t="str">
        <f>IF(OR(D72="",P72=""),"",IF(D72="Buy",MROUND(P72*(1-Settings!$K$6),Settings!$K$10),MROUND(P72*(1+Settings!$K$6),Settings!$K$10)))</f>
        <v/>
      </c>
      <c r="R72" s="95" t="str">
        <f t="shared" si="3"/>
        <v/>
      </c>
      <c r="S72" s="82"/>
      <c r="T72" s="94" t="str">
        <f>IF(OR(D72="",S72=""),"",IF(D72="Buy",MROUND(S72*(1-Settings!$K$6),Settings!$K$10),MROUND(S72*(1+Settings!$K$6),Settings!$K$10)))</f>
        <v/>
      </c>
      <c r="U72" s="67"/>
      <c r="V72" s="211" t="str">
        <f t="shared" si="4"/>
        <v/>
      </c>
      <c r="W72" s="110"/>
      <c r="X72" s="211" t="str">
        <f t="shared" si="5"/>
        <v/>
      </c>
      <c r="Y72" s="211" t="str">
        <f t="shared" si="6"/>
        <v/>
      </c>
      <c r="Z72" s="82"/>
    </row>
    <row r="73" ht="20" customHeight="1" spans="1:26">
      <c r="A73" s="64">
        <v>60</v>
      </c>
      <c r="B73" s="65"/>
      <c r="C73" s="66"/>
      <c r="D73" s="67"/>
      <c r="E73" s="82"/>
      <c r="F73" s="82"/>
      <c r="G73" s="82"/>
      <c r="H73" s="82"/>
      <c r="I73" s="93" t="str">
        <f t="shared" si="0"/>
        <v/>
      </c>
      <c r="J73" s="82"/>
      <c r="K73" s="94" t="str">
        <f>IF(OR(D73="",E73=""),"",IF(J73="",G73,IF(D73="Buy",MROUND(MAX(E73*(1-Settings!$K$8),J73*(1-Settings!$K$6)),Settings!$K$10),MROUND(MIN(E73*(1+Settings!$K$8),J73*(1+Settings!$K$6)),Settings!$K$10))))</f>
        <v/>
      </c>
      <c r="L73" s="95" t="str">
        <f t="shared" si="1"/>
        <v/>
      </c>
      <c r="M73" s="82"/>
      <c r="N73" s="94" t="str">
        <f>IF(OR(D73="",E73=""),"",IF(M73="",H73,IF(D73="Buy",MROUND(MAX(E73*(1-Settings!$K$8),M73*(1-Settings!$K$6)),Settings!$K$10),MROUND(MIN(E73*(1+Settings!$K$8),M73*(1+Settings!$K$6)),Settings!$K$10))))</f>
        <v/>
      </c>
      <c r="O73" s="95" t="str">
        <f t="shared" si="2"/>
        <v/>
      </c>
      <c r="P73" s="82"/>
      <c r="Q73" s="94" t="str">
        <f>IF(OR(D73="",P73=""),"",IF(D73="Buy",MROUND(P73*(1-Settings!$K$6),Settings!$K$10),MROUND(P73*(1+Settings!$K$6),Settings!$K$10)))</f>
        <v/>
      </c>
      <c r="R73" s="95" t="str">
        <f t="shared" si="3"/>
        <v/>
      </c>
      <c r="S73" s="82"/>
      <c r="T73" s="94" t="str">
        <f>IF(OR(D73="",S73=""),"",IF(D73="Buy",MROUND(S73*(1-Settings!$K$6),Settings!$K$10),MROUND(S73*(1+Settings!$K$6),Settings!$K$10)))</f>
        <v/>
      </c>
      <c r="U73" s="67"/>
      <c r="V73" s="211" t="str">
        <f t="shared" si="4"/>
        <v/>
      </c>
      <c r="W73" s="110"/>
      <c r="X73" s="211" t="str">
        <f t="shared" si="5"/>
        <v/>
      </c>
      <c r="Y73" s="211" t="str">
        <f t="shared" si="6"/>
        <v/>
      </c>
      <c r="Z73" s="82"/>
    </row>
    <row r="74" ht="20" customHeight="1" spans="1:26">
      <c r="A74" s="64">
        <v>61</v>
      </c>
      <c r="B74" s="65"/>
      <c r="C74" s="66"/>
      <c r="D74" s="67"/>
      <c r="E74" s="82"/>
      <c r="F74" s="82"/>
      <c r="G74" s="82"/>
      <c r="H74" s="82"/>
      <c r="I74" s="93" t="str">
        <f t="shared" si="0"/>
        <v/>
      </c>
      <c r="J74" s="82"/>
      <c r="K74" s="94" t="str">
        <f>IF(OR(D74="",E74=""),"",IF(J74="",G74,IF(D74="Buy",MROUND(MAX(E74*(1-Settings!$K$8),J74*(1-Settings!$K$6)),Settings!$K$10),MROUND(MIN(E74*(1+Settings!$K$8),J74*(1+Settings!$K$6)),Settings!$K$10))))</f>
        <v/>
      </c>
      <c r="L74" s="95" t="str">
        <f t="shared" si="1"/>
        <v/>
      </c>
      <c r="M74" s="82"/>
      <c r="N74" s="94" t="str">
        <f>IF(OR(D74="",E74=""),"",IF(M74="",H74,IF(D74="Buy",MROUND(MAX(E74*(1-Settings!$K$8),M74*(1-Settings!$K$6)),Settings!$K$10),MROUND(MIN(E74*(1+Settings!$K$8),M74*(1+Settings!$K$6)),Settings!$K$10))))</f>
        <v/>
      </c>
      <c r="O74" s="95" t="str">
        <f t="shared" si="2"/>
        <v/>
      </c>
      <c r="P74" s="82"/>
      <c r="Q74" s="94" t="str">
        <f>IF(OR(D74="",P74=""),"",IF(D74="Buy",MROUND(P74*(1-Settings!$K$6),Settings!$K$10),MROUND(P74*(1+Settings!$K$6),Settings!$K$10)))</f>
        <v/>
      </c>
      <c r="R74" s="95" t="str">
        <f t="shared" si="3"/>
        <v/>
      </c>
      <c r="S74" s="82"/>
      <c r="T74" s="94" t="str">
        <f>IF(OR(D74="",S74=""),"",IF(D74="Buy",MROUND(S74*(1-Settings!$K$6),Settings!$K$10),MROUND(S74*(1+Settings!$K$6),Settings!$K$10)))</f>
        <v/>
      </c>
      <c r="U74" s="67"/>
      <c r="V74" s="211" t="str">
        <f t="shared" si="4"/>
        <v/>
      </c>
      <c r="W74" s="110"/>
      <c r="X74" s="211" t="str">
        <f t="shared" si="5"/>
        <v/>
      </c>
      <c r="Y74" s="211" t="str">
        <f t="shared" si="6"/>
        <v/>
      </c>
      <c r="Z74" s="82"/>
    </row>
    <row r="75" ht="20" customHeight="1" spans="1:26">
      <c r="A75" s="64">
        <v>62</v>
      </c>
      <c r="B75" s="65"/>
      <c r="C75" s="66"/>
      <c r="D75" s="67"/>
      <c r="E75" s="82"/>
      <c r="F75" s="82"/>
      <c r="G75" s="82"/>
      <c r="H75" s="82"/>
      <c r="I75" s="93" t="str">
        <f t="shared" si="0"/>
        <v/>
      </c>
      <c r="J75" s="82"/>
      <c r="K75" s="94" t="str">
        <f>IF(OR(D75="",E75=""),"",IF(J75="",G75,IF(D75="Buy",MROUND(MAX(E75*(1-Settings!$K$8),J75*(1-Settings!$K$6)),Settings!$K$10),MROUND(MIN(E75*(1+Settings!$K$8),J75*(1+Settings!$K$6)),Settings!$K$10))))</f>
        <v/>
      </c>
      <c r="L75" s="95" t="str">
        <f t="shared" si="1"/>
        <v/>
      </c>
      <c r="M75" s="82"/>
      <c r="N75" s="94" t="str">
        <f>IF(OR(D75="",E75=""),"",IF(M75="",H75,IF(D75="Buy",MROUND(MAX(E75*(1-Settings!$K$8),M75*(1-Settings!$K$6)),Settings!$K$10),MROUND(MIN(E75*(1+Settings!$K$8),M75*(1+Settings!$K$6)),Settings!$K$10))))</f>
        <v/>
      </c>
      <c r="O75" s="95" t="str">
        <f t="shared" si="2"/>
        <v/>
      </c>
      <c r="P75" s="82"/>
      <c r="Q75" s="94" t="str">
        <f>IF(OR(D75="",P75=""),"",IF(D75="Buy",MROUND(P75*(1-Settings!$K$6),Settings!$K$10),MROUND(P75*(1+Settings!$K$6),Settings!$K$10)))</f>
        <v/>
      </c>
      <c r="R75" s="95" t="str">
        <f t="shared" si="3"/>
        <v/>
      </c>
      <c r="S75" s="82"/>
      <c r="T75" s="94" t="str">
        <f>IF(OR(D75="",S75=""),"",IF(D75="Buy",MROUND(S75*(1-Settings!$K$6),Settings!$K$10),MROUND(S75*(1+Settings!$K$6),Settings!$K$10)))</f>
        <v/>
      </c>
      <c r="U75" s="67"/>
      <c r="V75" s="211" t="str">
        <f t="shared" si="4"/>
        <v/>
      </c>
      <c r="W75" s="110"/>
      <c r="X75" s="211" t="str">
        <f t="shared" si="5"/>
        <v/>
      </c>
      <c r="Y75" s="211" t="str">
        <f t="shared" si="6"/>
        <v/>
      </c>
      <c r="Z75" s="82"/>
    </row>
    <row r="76" ht="20" customHeight="1" spans="1:26">
      <c r="A76" s="64">
        <v>63</v>
      </c>
      <c r="B76" s="65"/>
      <c r="C76" s="66"/>
      <c r="D76" s="67"/>
      <c r="E76" s="82"/>
      <c r="F76" s="82"/>
      <c r="G76" s="82"/>
      <c r="H76" s="82"/>
      <c r="I76" s="93" t="str">
        <f t="shared" si="0"/>
        <v/>
      </c>
      <c r="J76" s="82"/>
      <c r="K76" s="94" t="str">
        <f>IF(OR(D76="",E76=""),"",IF(J76="",G76,IF(D76="Buy",MROUND(MAX(E76*(1-Settings!$K$8),J76*(1-Settings!$K$6)),Settings!$K$10),MROUND(MIN(E76*(1+Settings!$K$8),J76*(1+Settings!$K$6)),Settings!$K$10))))</f>
        <v/>
      </c>
      <c r="L76" s="95" t="str">
        <f t="shared" si="1"/>
        <v/>
      </c>
      <c r="M76" s="82"/>
      <c r="N76" s="94" t="str">
        <f>IF(OR(D76="",E76=""),"",IF(M76="",H76,IF(D76="Buy",MROUND(MAX(E76*(1-Settings!$K$8),M76*(1-Settings!$K$6)),Settings!$K$10),MROUND(MIN(E76*(1+Settings!$K$8),M76*(1+Settings!$K$6)),Settings!$K$10))))</f>
        <v/>
      </c>
      <c r="O76" s="95" t="str">
        <f t="shared" si="2"/>
        <v/>
      </c>
      <c r="P76" s="82"/>
      <c r="Q76" s="94" t="str">
        <f>IF(OR(D76="",P76=""),"",IF(D76="Buy",MROUND(P76*(1-Settings!$K$6),Settings!$K$10),MROUND(P76*(1+Settings!$K$6),Settings!$K$10)))</f>
        <v/>
      </c>
      <c r="R76" s="95" t="str">
        <f t="shared" si="3"/>
        <v/>
      </c>
      <c r="S76" s="82"/>
      <c r="T76" s="94" t="str">
        <f>IF(OR(D76="",S76=""),"",IF(D76="Buy",MROUND(S76*(1-Settings!$K$6),Settings!$K$10),MROUND(S76*(1+Settings!$K$6),Settings!$K$10)))</f>
        <v/>
      </c>
      <c r="U76" s="67"/>
      <c r="V76" s="211" t="str">
        <f t="shared" si="4"/>
        <v/>
      </c>
      <c r="W76" s="110"/>
      <c r="X76" s="211" t="str">
        <f t="shared" si="5"/>
        <v/>
      </c>
      <c r="Y76" s="211" t="str">
        <f t="shared" si="6"/>
        <v/>
      </c>
      <c r="Z76" s="82"/>
    </row>
    <row r="77" ht="20" customHeight="1" spans="1:26">
      <c r="A77" s="64">
        <v>64</v>
      </c>
      <c r="B77" s="65"/>
      <c r="C77" s="66"/>
      <c r="D77" s="67"/>
      <c r="E77" s="82"/>
      <c r="F77" s="82"/>
      <c r="G77" s="82"/>
      <c r="H77" s="82"/>
      <c r="I77" s="93" t="str">
        <f t="shared" si="0"/>
        <v/>
      </c>
      <c r="J77" s="82"/>
      <c r="K77" s="94" t="str">
        <f>IF(OR(D77="",E77=""),"",IF(J77="",G77,IF(D77="Buy",MROUND(MAX(E77*(1-Settings!$K$8),J77*(1-Settings!$K$6)),Settings!$K$10),MROUND(MIN(E77*(1+Settings!$K$8),J77*(1+Settings!$K$6)),Settings!$K$10))))</f>
        <v/>
      </c>
      <c r="L77" s="95" t="str">
        <f t="shared" si="1"/>
        <v/>
      </c>
      <c r="M77" s="82"/>
      <c r="N77" s="94" t="str">
        <f>IF(OR(D77="",E77=""),"",IF(M77="",H77,IF(D77="Buy",MROUND(MAX(E77*(1-Settings!$K$8),M77*(1-Settings!$K$6)),Settings!$K$10),MROUND(MIN(E77*(1+Settings!$K$8),M77*(1+Settings!$K$6)),Settings!$K$10))))</f>
        <v/>
      </c>
      <c r="O77" s="95" t="str">
        <f t="shared" si="2"/>
        <v/>
      </c>
      <c r="P77" s="82"/>
      <c r="Q77" s="94" t="str">
        <f>IF(OR(D77="",P77=""),"",IF(D77="Buy",MROUND(P77*(1-Settings!$K$6),Settings!$K$10),MROUND(P77*(1+Settings!$K$6),Settings!$K$10)))</f>
        <v/>
      </c>
      <c r="R77" s="95" t="str">
        <f t="shared" si="3"/>
        <v/>
      </c>
      <c r="S77" s="82"/>
      <c r="T77" s="94" t="str">
        <f>IF(OR(D77="",S77=""),"",IF(D77="Buy",MROUND(S77*(1-Settings!$K$6),Settings!$K$10),MROUND(S77*(1+Settings!$K$6),Settings!$K$10)))</f>
        <v/>
      </c>
      <c r="U77" s="67"/>
      <c r="V77" s="211" t="str">
        <f t="shared" si="4"/>
        <v/>
      </c>
      <c r="W77" s="110"/>
      <c r="X77" s="211" t="str">
        <f t="shared" si="5"/>
        <v/>
      </c>
      <c r="Y77" s="211" t="str">
        <f t="shared" si="6"/>
        <v/>
      </c>
      <c r="Z77" s="82"/>
    </row>
    <row r="78" ht="20" customHeight="1" spans="1:26">
      <c r="A78" s="64">
        <v>65</v>
      </c>
      <c r="B78" s="65"/>
      <c r="C78" s="66"/>
      <c r="D78" s="67"/>
      <c r="E78" s="82"/>
      <c r="F78" s="82"/>
      <c r="G78" s="82"/>
      <c r="H78" s="82"/>
      <c r="I78" s="93" t="str">
        <f t="shared" ref="I78:I141" si="7">IF(D78="Buy","Enter New 2DLL",IF(D78="Sell","Enter New 2DHH",""))</f>
        <v/>
      </c>
      <c r="J78" s="82"/>
      <c r="K78" s="94" t="str">
        <f>IF(OR(D78="",E78=""),"",IF(J78="",G78,IF(D78="Buy",MROUND(MAX(E78*(1-Settings!$K$8),J78*(1-Settings!$K$6)),Settings!$K$10),MROUND(MIN(E78*(1+Settings!$K$8),J78*(1+Settings!$K$6)),Settings!$K$10))))</f>
        <v/>
      </c>
      <c r="L78" s="95" t="str">
        <f t="shared" ref="L78:L141" si="8">IF(D78="Buy","Enter New 4DLL",IF(D78="Sell","Enter New 4DHH",""))</f>
        <v/>
      </c>
      <c r="M78" s="82"/>
      <c r="N78" s="94" t="str">
        <f>IF(OR(D78="",E78=""),"",IF(M78="",H78,IF(D78="Buy",MROUND(MAX(E78*(1-Settings!$K$8),M78*(1-Settings!$K$6)),Settings!$K$10),MROUND(MIN(E78*(1+Settings!$K$8),M78*(1+Settings!$K$6)),Settings!$K$10))))</f>
        <v/>
      </c>
      <c r="O78" s="95" t="str">
        <f t="shared" ref="O78:O141" si="9">IF(D78="Buy","Enter First 15-Minute Low",IF(D78="Sell","Enter First 15-Minute High",""))</f>
        <v/>
      </c>
      <c r="P78" s="82"/>
      <c r="Q78" s="94" t="str">
        <f>IF(OR(D78="",P78=""),"",IF(D78="Buy",MROUND(P78*(1-Settings!$K$6),Settings!$K$10),MROUND(P78*(1+Settings!$K$6),Settings!$K$10)))</f>
        <v/>
      </c>
      <c r="R78" s="95" t="str">
        <f t="shared" ref="R78:R141" si="10">IF(D78="Buy","Enter First 15-Minute Low",IF(D78="Sell","Enter First 15-Minute High",""))</f>
        <v/>
      </c>
      <c r="S78" s="82"/>
      <c r="T78" s="94" t="str">
        <f>IF(OR(D78="",S78=""),"",IF(D78="Buy",MROUND(S78*(1-Settings!$K$6),Settings!$K$10),MROUND(S78*(1+Settings!$K$6),Settings!$K$10)))</f>
        <v/>
      </c>
      <c r="U78" s="67"/>
      <c r="V78" s="211" t="str">
        <f t="shared" ref="V78:V141" si="11">IF(OR(D78="",E78="",U78="",$C$8="",$C$9=""),"",IF(U78="Target Hit",IF(F78="","",IF(D78="Buy",(F78-E78)*($C$8/2)*$C$9,(E78-F78)*($C$8/2)*$C$9)),IF(U78="Rollover",IF(Z78="","",IF(D78="Buy",(Z78-E78)*$C$8*$C$9,(E78-Z78)*$C$8*$C$9)),IF(U78="Stoploss 1 Hit",IF(K78="","",IF(D78="Buy",(K78-E78)*$C$8*$C$9,(E78-K78)*$C$8*$C$9)),IF(OR(AND(D78="Buy",U78="Gap Down Stoploss 1 Hit"),AND(D78="Sell",U78="Gap Up Stoploss 1 Hit")),IF(Q78="","",IF(D78="Buy",(Q78-E78)*$C$8*$C$9,(E78-Q78)*$C$8*$C$9)),"")))))</f>
        <v/>
      </c>
      <c r="W78" s="110"/>
      <c r="X78" s="211" t="str">
        <f t="shared" ref="X78:X141" si="12">IF(OR(D78="",E78="",U78&lt;&gt;"Target Hit",W78="",$C$8="",$C$9=""),"",IF(W78="Stoploss 2 Hit",IF(N78="","",IF(D78="Buy",(N78-E78)*($C$8/2)*$C$9,(E78-N78)*($C$8/2)*$C$9)),IF(W78="Rollover",IF(Z78="","",IF(D78="Buy",(Z78-E78)*($C$8/2)*$C$9,(E78-Z78)*($C$8/2)*$C$9)),IF(OR(AND(D78="Buy",W78="Gap Down Stoploss 2 Hit"),AND(D78="Sell",W78="Gap Up Stoploss 2 Hit")),IF(T78="","",IF(D78="Buy",(T78-E78)*($C$8/2)*$C$9,(E78-T78)*($C$8/2)*$C$9)),""))))</f>
        <v/>
      </c>
      <c r="Y78" s="211" t="str">
        <f t="shared" ref="Y78:Y141" si="13">IF(AND(V78="",X78=""),"",SUM(V78,X78))</f>
        <v/>
      </c>
      <c r="Z78" s="82"/>
    </row>
    <row r="79" ht="20" customHeight="1" spans="1:26">
      <c r="A79" s="64">
        <v>66</v>
      </c>
      <c r="B79" s="65"/>
      <c r="C79" s="66"/>
      <c r="D79" s="67"/>
      <c r="E79" s="82"/>
      <c r="F79" s="82"/>
      <c r="G79" s="82"/>
      <c r="H79" s="82"/>
      <c r="I79" s="93" t="str">
        <f t="shared" si="7"/>
        <v/>
      </c>
      <c r="J79" s="82"/>
      <c r="K79" s="94" t="str">
        <f>IF(OR(D79="",E79=""),"",IF(J79="",G79,IF(D79="Buy",MROUND(MAX(E79*(1-Settings!$K$8),J79*(1-Settings!$K$6)),Settings!$K$10),MROUND(MIN(E79*(1+Settings!$K$8),J79*(1+Settings!$K$6)),Settings!$K$10))))</f>
        <v/>
      </c>
      <c r="L79" s="95" t="str">
        <f t="shared" si="8"/>
        <v/>
      </c>
      <c r="M79" s="82"/>
      <c r="N79" s="94" t="str">
        <f>IF(OR(D79="",E79=""),"",IF(M79="",H79,IF(D79="Buy",MROUND(MAX(E79*(1-Settings!$K$8),M79*(1-Settings!$K$6)),Settings!$K$10),MROUND(MIN(E79*(1+Settings!$K$8),M79*(1+Settings!$K$6)),Settings!$K$10))))</f>
        <v/>
      </c>
      <c r="O79" s="95" t="str">
        <f t="shared" si="9"/>
        <v/>
      </c>
      <c r="P79" s="82"/>
      <c r="Q79" s="94" t="str">
        <f>IF(OR(D79="",P79=""),"",IF(D79="Buy",MROUND(P79*(1-Settings!$K$6),Settings!$K$10),MROUND(P79*(1+Settings!$K$6),Settings!$K$10)))</f>
        <v/>
      </c>
      <c r="R79" s="95" t="str">
        <f t="shared" si="10"/>
        <v/>
      </c>
      <c r="S79" s="82"/>
      <c r="T79" s="94" t="str">
        <f>IF(OR(D79="",S79=""),"",IF(D79="Buy",MROUND(S79*(1-Settings!$K$6),Settings!$K$10),MROUND(S79*(1+Settings!$K$6),Settings!$K$10)))</f>
        <v/>
      </c>
      <c r="U79" s="67"/>
      <c r="V79" s="211" t="str">
        <f t="shared" si="11"/>
        <v/>
      </c>
      <c r="W79" s="110"/>
      <c r="X79" s="211" t="str">
        <f t="shared" si="12"/>
        <v/>
      </c>
      <c r="Y79" s="211" t="str">
        <f t="shared" si="13"/>
        <v/>
      </c>
      <c r="Z79" s="82"/>
    </row>
    <row r="80" ht="20" customHeight="1" spans="1:26">
      <c r="A80" s="64">
        <v>67</v>
      </c>
      <c r="B80" s="65"/>
      <c r="C80" s="66"/>
      <c r="D80" s="67"/>
      <c r="E80" s="82"/>
      <c r="F80" s="82"/>
      <c r="G80" s="82"/>
      <c r="H80" s="82"/>
      <c r="I80" s="93" t="str">
        <f t="shared" si="7"/>
        <v/>
      </c>
      <c r="J80" s="82"/>
      <c r="K80" s="94" t="str">
        <f>IF(OR(D80="",E80=""),"",IF(J80="",G80,IF(D80="Buy",MROUND(MAX(E80*(1-Settings!$K$8),J80*(1-Settings!$K$6)),Settings!$K$10),MROUND(MIN(E80*(1+Settings!$K$8),J80*(1+Settings!$K$6)),Settings!$K$10))))</f>
        <v/>
      </c>
      <c r="L80" s="95" t="str">
        <f t="shared" si="8"/>
        <v/>
      </c>
      <c r="M80" s="82"/>
      <c r="N80" s="94" t="str">
        <f>IF(OR(D80="",E80=""),"",IF(M80="",H80,IF(D80="Buy",MROUND(MAX(E80*(1-Settings!$K$8),M80*(1-Settings!$K$6)),Settings!$K$10),MROUND(MIN(E80*(1+Settings!$K$8),M80*(1+Settings!$K$6)),Settings!$K$10))))</f>
        <v/>
      </c>
      <c r="O80" s="95" t="str">
        <f t="shared" si="9"/>
        <v/>
      </c>
      <c r="P80" s="82"/>
      <c r="Q80" s="94" t="str">
        <f>IF(OR(D80="",P80=""),"",IF(D80="Buy",MROUND(P80*(1-Settings!$K$6),Settings!$K$10),MROUND(P80*(1+Settings!$K$6),Settings!$K$10)))</f>
        <v/>
      </c>
      <c r="R80" s="95" t="str">
        <f t="shared" si="10"/>
        <v/>
      </c>
      <c r="S80" s="82"/>
      <c r="T80" s="94" t="str">
        <f>IF(OR(D80="",S80=""),"",IF(D80="Buy",MROUND(S80*(1-Settings!$K$6),Settings!$K$10),MROUND(S80*(1+Settings!$K$6),Settings!$K$10)))</f>
        <v/>
      </c>
      <c r="U80" s="67"/>
      <c r="V80" s="211" t="str">
        <f t="shared" si="11"/>
        <v/>
      </c>
      <c r="W80" s="110"/>
      <c r="X80" s="211" t="str">
        <f t="shared" si="12"/>
        <v/>
      </c>
      <c r="Y80" s="211" t="str">
        <f t="shared" si="13"/>
        <v/>
      </c>
      <c r="Z80" s="82"/>
    </row>
    <row r="81" ht="20" customHeight="1" spans="1:26">
      <c r="A81" s="64">
        <v>68</v>
      </c>
      <c r="B81" s="65"/>
      <c r="C81" s="66"/>
      <c r="D81" s="67"/>
      <c r="E81" s="82"/>
      <c r="F81" s="82"/>
      <c r="G81" s="82"/>
      <c r="H81" s="82"/>
      <c r="I81" s="93" t="str">
        <f t="shared" si="7"/>
        <v/>
      </c>
      <c r="J81" s="82"/>
      <c r="K81" s="94" t="str">
        <f>IF(OR(D81="",E81=""),"",IF(J81="",G81,IF(D81="Buy",MROUND(MAX(E81*(1-Settings!$K$8),J81*(1-Settings!$K$6)),Settings!$K$10),MROUND(MIN(E81*(1+Settings!$K$8),J81*(1+Settings!$K$6)),Settings!$K$10))))</f>
        <v/>
      </c>
      <c r="L81" s="95" t="str">
        <f t="shared" si="8"/>
        <v/>
      </c>
      <c r="M81" s="82"/>
      <c r="N81" s="94" t="str">
        <f>IF(OR(D81="",E81=""),"",IF(M81="",H81,IF(D81="Buy",MROUND(MAX(E81*(1-Settings!$K$8),M81*(1-Settings!$K$6)),Settings!$K$10),MROUND(MIN(E81*(1+Settings!$K$8),M81*(1+Settings!$K$6)),Settings!$K$10))))</f>
        <v/>
      </c>
      <c r="O81" s="95" t="str">
        <f t="shared" si="9"/>
        <v/>
      </c>
      <c r="P81" s="82"/>
      <c r="Q81" s="94" t="str">
        <f>IF(OR(D81="",P81=""),"",IF(D81="Buy",MROUND(P81*(1-Settings!$K$6),Settings!$K$10),MROUND(P81*(1+Settings!$K$6),Settings!$K$10)))</f>
        <v/>
      </c>
      <c r="R81" s="95" t="str">
        <f t="shared" si="10"/>
        <v/>
      </c>
      <c r="S81" s="82"/>
      <c r="T81" s="94" t="str">
        <f>IF(OR(D81="",S81=""),"",IF(D81="Buy",MROUND(S81*(1-Settings!$K$6),Settings!$K$10),MROUND(S81*(1+Settings!$K$6),Settings!$K$10)))</f>
        <v/>
      </c>
      <c r="U81" s="67"/>
      <c r="V81" s="211" t="str">
        <f t="shared" si="11"/>
        <v/>
      </c>
      <c r="W81" s="110"/>
      <c r="X81" s="211" t="str">
        <f t="shared" si="12"/>
        <v/>
      </c>
      <c r="Y81" s="211" t="str">
        <f t="shared" si="13"/>
        <v/>
      </c>
      <c r="Z81" s="82"/>
    </row>
    <row r="82" ht="20" customHeight="1" spans="1:26">
      <c r="A82" s="64">
        <v>69</v>
      </c>
      <c r="B82" s="65"/>
      <c r="C82" s="66"/>
      <c r="D82" s="67"/>
      <c r="E82" s="82"/>
      <c r="F82" s="82"/>
      <c r="G82" s="82"/>
      <c r="H82" s="82"/>
      <c r="I82" s="93" t="str">
        <f t="shared" si="7"/>
        <v/>
      </c>
      <c r="J82" s="82"/>
      <c r="K82" s="94" t="str">
        <f>IF(OR(D82="",E82=""),"",IF(J82="",G82,IF(D82="Buy",MROUND(MAX(E82*(1-Settings!$K$8),J82*(1-Settings!$K$6)),Settings!$K$10),MROUND(MIN(E82*(1+Settings!$K$8),J82*(1+Settings!$K$6)),Settings!$K$10))))</f>
        <v/>
      </c>
      <c r="L82" s="95" t="str">
        <f t="shared" si="8"/>
        <v/>
      </c>
      <c r="M82" s="82"/>
      <c r="N82" s="94" t="str">
        <f>IF(OR(D82="",E82=""),"",IF(M82="",H82,IF(D82="Buy",MROUND(MAX(E82*(1-Settings!$K$8),M82*(1-Settings!$K$6)),Settings!$K$10),MROUND(MIN(E82*(1+Settings!$K$8),M82*(1+Settings!$K$6)),Settings!$K$10))))</f>
        <v/>
      </c>
      <c r="O82" s="95" t="str">
        <f t="shared" si="9"/>
        <v/>
      </c>
      <c r="P82" s="82"/>
      <c r="Q82" s="94" t="str">
        <f>IF(OR(D82="",P82=""),"",IF(D82="Buy",MROUND(P82*(1-Settings!$K$6),Settings!$K$10),MROUND(P82*(1+Settings!$K$6),Settings!$K$10)))</f>
        <v/>
      </c>
      <c r="R82" s="95" t="str">
        <f t="shared" si="10"/>
        <v/>
      </c>
      <c r="S82" s="82"/>
      <c r="T82" s="94" t="str">
        <f>IF(OR(D82="",S82=""),"",IF(D82="Buy",MROUND(S82*(1-Settings!$K$6),Settings!$K$10),MROUND(S82*(1+Settings!$K$6),Settings!$K$10)))</f>
        <v/>
      </c>
      <c r="U82" s="67"/>
      <c r="V82" s="211" t="str">
        <f t="shared" si="11"/>
        <v/>
      </c>
      <c r="W82" s="110"/>
      <c r="X82" s="211" t="str">
        <f t="shared" si="12"/>
        <v/>
      </c>
      <c r="Y82" s="211" t="str">
        <f t="shared" si="13"/>
        <v/>
      </c>
      <c r="Z82" s="82"/>
    </row>
    <row r="83" ht="20" customHeight="1" spans="1:26">
      <c r="A83" s="64">
        <v>70</v>
      </c>
      <c r="B83" s="65"/>
      <c r="C83" s="66"/>
      <c r="D83" s="67"/>
      <c r="E83" s="82"/>
      <c r="F83" s="82"/>
      <c r="G83" s="82"/>
      <c r="H83" s="82"/>
      <c r="I83" s="93" t="str">
        <f t="shared" si="7"/>
        <v/>
      </c>
      <c r="J83" s="82"/>
      <c r="K83" s="94" t="str">
        <f>IF(OR(D83="",E83=""),"",IF(J83="",G83,IF(D83="Buy",MROUND(MAX(E83*(1-Settings!$K$8),J83*(1-Settings!$K$6)),Settings!$K$10),MROUND(MIN(E83*(1+Settings!$K$8),J83*(1+Settings!$K$6)),Settings!$K$10))))</f>
        <v/>
      </c>
      <c r="L83" s="95" t="str">
        <f t="shared" si="8"/>
        <v/>
      </c>
      <c r="M83" s="82"/>
      <c r="N83" s="94" t="str">
        <f>IF(OR(D83="",E83=""),"",IF(M83="",H83,IF(D83="Buy",MROUND(MAX(E83*(1-Settings!$K$8),M83*(1-Settings!$K$6)),Settings!$K$10),MROUND(MIN(E83*(1+Settings!$K$8),M83*(1+Settings!$K$6)),Settings!$K$10))))</f>
        <v/>
      </c>
      <c r="O83" s="95" t="str">
        <f t="shared" si="9"/>
        <v/>
      </c>
      <c r="P83" s="82"/>
      <c r="Q83" s="94" t="str">
        <f>IF(OR(D83="",P83=""),"",IF(D83="Buy",MROUND(P83*(1-Settings!$K$6),Settings!$K$10),MROUND(P83*(1+Settings!$K$6),Settings!$K$10)))</f>
        <v/>
      </c>
      <c r="R83" s="95" t="str">
        <f t="shared" si="10"/>
        <v/>
      </c>
      <c r="S83" s="82"/>
      <c r="T83" s="94" t="str">
        <f>IF(OR(D83="",S83=""),"",IF(D83="Buy",MROUND(S83*(1-Settings!$K$6),Settings!$K$10),MROUND(S83*(1+Settings!$K$6),Settings!$K$10)))</f>
        <v/>
      </c>
      <c r="U83" s="67"/>
      <c r="V83" s="211" t="str">
        <f t="shared" si="11"/>
        <v/>
      </c>
      <c r="W83" s="110"/>
      <c r="X83" s="211" t="str">
        <f t="shared" si="12"/>
        <v/>
      </c>
      <c r="Y83" s="211" t="str">
        <f t="shared" si="13"/>
        <v/>
      </c>
      <c r="Z83" s="82"/>
    </row>
    <row r="84" ht="20" customHeight="1" spans="1:26">
      <c r="A84" s="64">
        <v>71</v>
      </c>
      <c r="B84" s="65"/>
      <c r="C84" s="66"/>
      <c r="D84" s="67"/>
      <c r="E84" s="82"/>
      <c r="F84" s="82"/>
      <c r="G84" s="82"/>
      <c r="H84" s="82"/>
      <c r="I84" s="93" t="str">
        <f t="shared" si="7"/>
        <v/>
      </c>
      <c r="J84" s="82"/>
      <c r="K84" s="94" t="str">
        <f>IF(OR(D84="",E84=""),"",IF(J84="",G84,IF(D84="Buy",MROUND(MAX(E84*(1-Settings!$K$8),J84*(1-Settings!$K$6)),Settings!$K$10),MROUND(MIN(E84*(1+Settings!$K$8),J84*(1+Settings!$K$6)),Settings!$K$10))))</f>
        <v/>
      </c>
      <c r="L84" s="95" t="str">
        <f t="shared" si="8"/>
        <v/>
      </c>
      <c r="M84" s="82"/>
      <c r="N84" s="94" t="str">
        <f>IF(OR(D84="",E84=""),"",IF(M84="",H84,IF(D84="Buy",MROUND(MAX(E84*(1-Settings!$K$8),M84*(1-Settings!$K$6)),Settings!$K$10),MROUND(MIN(E84*(1+Settings!$K$8),M84*(1+Settings!$K$6)),Settings!$K$10))))</f>
        <v/>
      </c>
      <c r="O84" s="95" t="str">
        <f t="shared" si="9"/>
        <v/>
      </c>
      <c r="P84" s="82"/>
      <c r="Q84" s="94" t="str">
        <f>IF(OR(D84="",P84=""),"",IF(D84="Buy",MROUND(P84*(1-Settings!$K$6),Settings!$K$10),MROUND(P84*(1+Settings!$K$6),Settings!$K$10)))</f>
        <v/>
      </c>
      <c r="R84" s="95" t="str">
        <f t="shared" si="10"/>
        <v/>
      </c>
      <c r="S84" s="82"/>
      <c r="T84" s="94" t="str">
        <f>IF(OR(D84="",S84=""),"",IF(D84="Buy",MROUND(S84*(1-Settings!$K$6),Settings!$K$10),MROUND(S84*(1+Settings!$K$6),Settings!$K$10)))</f>
        <v/>
      </c>
      <c r="U84" s="67"/>
      <c r="V84" s="211" t="str">
        <f t="shared" si="11"/>
        <v/>
      </c>
      <c r="W84" s="110"/>
      <c r="X84" s="211" t="str">
        <f t="shared" si="12"/>
        <v/>
      </c>
      <c r="Y84" s="211" t="str">
        <f t="shared" si="13"/>
        <v/>
      </c>
      <c r="Z84" s="82"/>
    </row>
    <row r="85" ht="20" customHeight="1" spans="1:26">
      <c r="A85" s="64">
        <v>72</v>
      </c>
      <c r="B85" s="65"/>
      <c r="C85" s="66"/>
      <c r="D85" s="67"/>
      <c r="E85" s="82"/>
      <c r="F85" s="82"/>
      <c r="G85" s="82"/>
      <c r="H85" s="82"/>
      <c r="I85" s="93" t="str">
        <f t="shared" si="7"/>
        <v/>
      </c>
      <c r="J85" s="82"/>
      <c r="K85" s="94" t="str">
        <f>IF(OR(D85="",E85=""),"",IF(J85="",G85,IF(D85="Buy",MROUND(MAX(E85*(1-Settings!$K$8),J85*(1-Settings!$K$6)),Settings!$K$10),MROUND(MIN(E85*(1+Settings!$K$8),J85*(1+Settings!$K$6)),Settings!$K$10))))</f>
        <v/>
      </c>
      <c r="L85" s="95" t="str">
        <f t="shared" si="8"/>
        <v/>
      </c>
      <c r="M85" s="82"/>
      <c r="N85" s="94" t="str">
        <f>IF(OR(D85="",E85=""),"",IF(M85="",H85,IF(D85="Buy",MROUND(MAX(E85*(1-Settings!$K$8),M85*(1-Settings!$K$6)),Settings!$K$10),MROUND(MIN(E85*(1+Settings!$K$8),M85*(1+Settings!$K$6)),Settings!$K$10))))</f>
        <v/>
      </c>
      <c r="O85" s="95" t="str">
        <f t="shared" si="9"/>
        <v/>
      </c>
      <c r="P85" s="82"/>
      <c r="Q85" s="94" t="str">
        <f>IF(OR(D85="",P85=""),"",IF(D85="Buy",MROUND(P85*(1-Settings!$K$6),Settings!$K$10),MROUND(P85*(1+Settings!$K$6),Settings!$K$10)))</f>
        <v/>
      </c>
      <c r="R85" s="95" t="str">
        <f t="shared" si="10"/>
        <v/>
      </c>
      <c r="S85" s="82"/>
      <c r="T85" s="94" t="str">
        <f>IF(OR(D85="",S85=""),"",IF(D85="Buy",MROUND(S85*(1-Settings!$K$6),Settings!$K$10),MROUND(S85*(1+Settings!$K$6),Settings!$K$10)))</f>
        <v/>
      </c>
      <c r="U85" s="67"/>
      <c r="V85" s="211" t="str">
        <f t="shared" si="11"/>
        <v/>
      </c>
      <c r="W85" s="110"/>
      <c r="X85" s="211" t="str">
        <f t="shared" si="12"/>
        <v/>
      </c>
      <c r="Y85" s="211" t="str">
        <f t="shared" si="13"/>
        <v/>
      </c>
      <c r="Z85" s="82"/>
    </row>
    <row r="86" ht="20" customHeight="1" spans="1:26">
      <c r="A86" s="64">
        <v>73</v>
      </c>
      <c r="B86" s="65"/>
      <c r="C86" s="66"/>
      <c r="D86" s="67"/>
      <c r="E86" s="82"/>
      <c r="F86" s="82"/>
      <c r="G86" s="82"/>
      <c r="H86" s="82"/>
      <c r="I86" s="93" t="str">
        <f t="shared" si="7"/>
        <v/>
      </c>
      <c r="J86" s="82"/>
      <c r="K86" s="94" t="str">
        <f>IF(OR(D86="",E86=""),"",IF(J86="",G86,IF(D86="Buy",MROUND(MAX(E86*(1-Settings!$K$8),J86*(1-Settings!$K$6)),Settings!$K$10),MROUND(MIN(E86*(1+Settings!$K$8),J86*(1+Settings!$K$6)),Settings!$K$10))))</f>
        <v/>
      </c>
      <c r="L86" s="95" t="str">
        <f t="shared" si="8"/>
        <v/>
      </c>
      <c r="M86" s="82"/>
      <c r="N86" s="94" t="str">
        <f>IF(OR(D86="",E86=""),"",IF(M86="",H86,IF(D86="Buy",MROUND(MAX(E86*(1-Settings!$K$8),M86*(1-Settings!$K$6)),Settings!$K$10),MROUND(MIN(E86*(1+Settings!$K$8),M86*(1+Settings!$K$6)),Settings!$K$10))))</f>
        <v/>
      </c>
      <c r="O86" s="95" t="str">
        <f t="shared" si="9"/>
        <v/>
      </c>
      <c r="P86" s="82"/>
      <c r="Q86" s="94" t="str">
        <f>IF(OR(D86="",P86=""),"",IF(D86="Buy",MROUND(P86*(1-Settings!$K$6),Settings!$K$10),MROUND(P86*(1+Settings!$K$6),Settings!$K$10)))</f>
        <v/>
      </c>
      <c r="R86" s="95" t="str">
        <f t="shared" si="10"/>
        <v/>
      </c>
      <c r="S86" s="82"/>
      <c r="T86" s="94" t="str">
        <f>IF(OR(D86="",S86=""),"",IF(D86="Buy",MROUND(S86*(1-Settings!$K$6),Settings!$K$10),MROUND(S86*(1+Settings!$K$6),Settings!$K$10)))</f>
        <v/>
      </c>
      <c r="U86" s="67"/>
      <c r="V86" s="211" t="str">
        <f t="shared" si="11"/>
        <v/>
      </c>
      <c r="W86" s="110"/>
      <c r="X86" s="211" t="str">
        <f t="shared" si="12"/>
        <v/>
      </c>
      <c r="Y86" s="211" t="str">
        <f t="shared" si="13"/>
        <v/>
      </c>
      <c r="Z86" s="82"/>
    </row>
    <row r="87" ht="20" customHeight="1" spans="1:26">
      <c r="A87" s="64">
        <v>74</v>
      </c>
      <c r="B87" s="65"/>
      <c r="C87" s="66"/>
      <c r="D87" s="67"/>
      <c r="E87" s="82"/>
      <c r="F87" s="82"/>
      <c r="G87" s="82"/>
      <c r="H87" s="82"/>
      <c r="I87" s="93" t="str">
        <f t="shared" si="7"/>
        <v/>
      </c>
      <c r="J87" s="82"/>
      <c r="K87" s="94" t="str">
        <f>IF(OR(D87="",E87=""),"",IF(J87="",G87,IF(D87="Buy",MROUND(MAX(E87*(1-Settings!$K$8),J87*(1-Settings!$K$6)),Settings!$K$10),MROUND(MIN(E87*(1+Settings!$K$8),J87*(1+Settings!$K$6)),Settings!$K$10))))</f>
        <v/>
      </c>
      <c r="L87" s="95" t="str">
        <f t="shared" si="8"/>
        <v/>
      </c>
      <c r="M87" s="82"/>
      <c r="N87" s="94" t="str">
        <f>IF(OR(D87="",E87=""),"",IF(M87="",H87,IF(D87="Buy",MROUND(MAX(E87*(1-Settings!$K$8),M87*(1-Settings!$K$6)),Settings!$K$10),MROUND(MIN(E87*(1+Settings!$K$8),M87*(1+Settings!$K$6)),Settings!$K$10))))</f>
        <v/>
      </c>
      <c r="O87" s="95" t="str">
        <f t="shared" si="9"/>
        <v/>
      </c>
      <c r="P87" s="82"/>
      <c r="Q87" s="94" t="str">
        <f>IF(OR(D87="",P87=""),"",IF(D87="Buy",MROUND(P87*(1-Settings!$K$6),Settings!$K$10),MROUND(P87*(1+Settings!$K$6),Settings!$K$10)))</f>
        <v/>
      </c>
      <c r="R87" s="95" t="str">
        <f t="shared" si="10"/>
        <v/>
      </c>
      <c r="S87" s="82"/>
      <c r="T87" s="94" t="str">
        <f>IF(OR(D87="",S87=""),"",IF(D87="Buy",MROUND(S87*(1-Settings!$K$6),Settings!$K$10),MROUND(S87*(1+Settings!$K$6),Settings!$K$10)))</f>
        <v/>
      </c>
      <c r="U87" s="67"/>
      <c r="V87" s="211" t="str">
        <f t="shared" si="11"/>
        <v/>
      </c>
      <c r="W87" s="110"/>
      <c r="X87" s="211" t="str">
        <f t="shared" si="12"/>
        <v/>
      </c>
      <c r="Y87" s="211" t="str">
        <f t="shared" si="13"/>
        <v/>
      </c>
      <c r="Z87" s="82"/>
    </row>
    <row r="88" ht="20" customHeight="1" spans="1:26">
      <c r="A88" s="64">
        <v>75</v>
      </c>
      <c r="B88" s="65"/>
      <c r="C88" s="66"/>
      <c r="D88" s="67"/>
      <c r="E88" s="82"/>
      <c r="F88" s="82"/>
      <c r="G88" s="82"/>
      <c r="H88" s="82"/>
      <c r="I88" s="93" t="str">
        <f t="shared" si="7"/>
        <v/>
      </c>
      <c r="J88" s="82"/>
      <c r="K88" s="94" t="str">
        <f>IF(OR(D88="",E88=""),"",IF(J88="",G88,IF(D88="Buy",MROUND(MAX(E88*(1-Settings!$K$8),J88*(1-Settings!$K$6)),Settings!$K$10),MROUND(MIN(E88*(1+Settings!$K$8),J88*(1+Settings!$K$6)),Settings!$K$10))))</f>
        <v/>
      </c>
      <c r="L88" s="95" t="str">
        <f t="shared" si="8"/>
        <v/>
      </c>
      <c r="M88" s="82"/>
      <c r="N88" s="94" t="str">
        <f>IF(OR(D88="",E88=""),"",IF(M88="",H88,IF(D88="Buy",MROUND(MAX(E88*(1-Settings!$K$8),M88*(1-Settings!$K$6)),Settings!$K$10),MROUND(MIN(E88*(1+Settings!$K$8),M88*(1+Settings!$K$6)),Settings!$K$10))))</f>
        <v/>
      </c>
      <c r="O88" s="95" t="str">
        <f t="shared" si="9"/>
        <v/>
      </c>
      <c r="P88" s="82"/>
      <c r="Q88" s="94" t="str">
        <f>IF(OR(D88="",P88=""),"",IF(D88="Buy",MROUND(P88*(1-Settings!$K$6),Settings!$K$10),MROUND(P88*(1+Settings!$K$6),Settings!$K$10)))</f>
        <v/>
      </c>
      <c r="R88" s="95" t="str">
        <f t="shared" si="10"/>
        <v/>
      </c>
      <c r="S88" s="82"/>
      <c r="T88" s="94" t="str">
        <f>IF(OR(D88="",S88=""),"",IF(D88="Buy",MROUND(S88*(1-Settings!$K$6),Settings!$K$10),MROUND(S88*(1+Settings!$K$6),Settings!$K$10)))</f>
        <v/>
      </c>
      <c r="U88" s="67"/>
      <c r="V88" s="211" t="str">
        <f t="shared" si="11"/>
        <v/>
      </c>
      <c r="W88" s="110"/>
      <c r="X88" s="211" t="str">
        <f t="shared" si="12"/>
        <v/>
      </c>
      <c r="Y88" s="211" t="str">
        <f t="shared" si="13"/>
        <v/>
      </c>
      <c r="Z88" s="82"/>
    </row>
    <row r="89" ht="20" customHeight="1" spans="1:26">
      <c r="A89" s="64">
        <v>76</v>
      </c>
      <c r="B89" s="65"/>
      <c r="C89" s="66"/>
      <c r="D89" s="67"/>
      <c r="E89" s="82"/>
      <c r="F89" s="82"/>
      <c r="G89" s="82"/>
      <c r="H89" s="82"/>
      <c r="I89" s="93" t="str">
        <f t="shared" si="7"/>
        <v/>
      </c>
      <c r="J89" s="82"/>
      <c r="K89" s="94" t="str">
        <f>IF(OR(D89="",E89=""),"",IF(J89="",G89,IF(D89="Buy",MROUND(MAX(E89*(1-Settings!$K$8),J89*(1-Settings!$K$6)),Settings!$K$10),MROUND(MIN(E89*(1+Settings!$K$8),J89*(1+Settings!$K$6)),Settings!$K$10))))</f>
        <v/>
      </c>
      <c r="L89" s="95" t="str">
        <f t="shared" si="8"/>
        <v/>
      </c>
      <c r="M89" s="82"/>
      <c r="N89" s="94" t="str">
        <f>IF(OR(D89="",E89=""),"",IF(M89="",H89,IF(D89="Buy",MROUND(MAX(E89*(1-Settings!$K$8),M89*(1-Settings!$K$6)),Settings!$K$10),MROUND(MIN(E89*(1+Settings!$K$8),M89*(1+Settings!$K$6)),Settings!$K$10))))</f>
        <v/>
      </c>
      <c r="O89" s="95" t="str">
        <f t="shared" si="9"/>
        <v/>
      </c>
      <c r="P89" s="82"/>
      <c r="Q89" s="94" t="str">
        <f>IF(OR(D89="",P89=""),"",IF(D89="Buy",MROUND(P89*(1-Settings!$K$6),Settings!$K$10),MROUND(P89*(1+Settings!$K$6),Settings!$K$10)))</f>
        <v/>
      </c>
      <c r="R89" s="95" t="str">
        <f t="shared" si="10"/>
        <v/>
      </c>
      <c r="S89" s="82"/>
      <c r="T89" s="94" t="str">
        <f>IF(OR(D89="",S89=""),"",IF(D89="Buy",MROUND(S89*(1-Settings!$K$6),Settings!$K$10),MROUND(S89*(1+Settings!$K$6),Settings!$K$10)))</f>
        <v/>
      </c>
      <c r="U89" s="67"/>
      <c r="V89" s="211" t="str">
        <f t="shared" si="11"/>
        <v/>
      </c>
      <c r="W89" s="110"/>
      <c r="X89" s="211" t="str">
        <f t="shared" si="12"/>
        <v/>
      </c>
      <c r="Y89" s="211" t="str">
        <f t="shared" si="13"/>
        <v/>
      </c>
      <c r="Z89" s="82"/>
    </row>
    <row r="90" ht="20" customHeight="1" spans="1:26">
      <c r="A90" s="64">
        <v>77</v>
      </c>
      <c r="B90" s="65"/>
      <c r="C90" s="66"/>
      <c r="D90" s="67"/>
      <c r="E90" s="82"/>
      <c r="F90" s="82"/>
      <c r="G90" s="82"/>
      <c r="H90" s="82"/>
      <c r="I90" s="93" t="str">
        <f t="shared" si="7"/>
        <v/>
      </c>
      <c r="J90" s="82"/>
      <c r="K90" s="94" t="str">
        <f>IF(OR(D90="",E90=""),"",IF(J90="",G90,IF(D90="Buy",MROUND(MAX(E90*(1-Settings!$K$8),J90*(1-Settings!$K$6)),Settings!$K$10),MROUND(MIN(E90*(1+Settings!$K$8),J90*(1+Settings!$K$6)),Settings!$K$10))))</f>
        <v/>
      </c>
      <c r="L90" s="95" t="str">
        <f t="shared" si="8"/>
        <v/>
      </c>
      <c r="M90" s="82"/>
      <c r="N90" s="94" t="str">
        <f>IF(OR(D90="",E90=""),"",IF(M90="",H90,IF(D90="Buy",MROUND(MAX(E90*(1-Settings!$K$8),M90*(1-Settings!$K$6)),Settings!$K$10),MROUND(MIN(E90*(1+Settings!$K$8),M90*(1+Settings!$K$6)),Settings!$K$10))))</f>
        <v/>
      </c>
      <c r="O90" s="95" t="str">
        <f t="shared" si="9"/>
        <v/>
      </c>
      <c r="P90" s="82"/>
      <c r="Q90" s="94" t="str">
        <f>IF(OR(D90="",P90=""),"",IF(D90="Buy",MROUND(P90*(1-Settings!$K$6),Settings!$K$10),MROUND(P90*(1+Settings!$K$6),Settings!$K$10)))</f>
        <v/>
      </c>
      <c r="R90" s="95" t="str">
        <f t="shared" si="10"/>
        <v/>
      </c>
      <c r="S90" s="82"/>
      <c r="T90" s="94" t="str">
        <f>IF(OR(D90="",S90=""),"",IF(D90="Buy",MROUND(S90*(1-Settings!$K$6),Settings!$K$10),MROUND(S90*(1+Settings!$K$6),Settings!$K$10)))</f>
        <v/>
      </c>
      <c r="U90" s="67"/>
      <c r="V90" s="211" t="str">
        <f t="shared" si="11"/>
        <v/>
      </c>
      <c r="W90" s="110"/>
      <c r="X90" s="211" t="str">
        <f t="shared" si="12"/>
        <v/>
      </c>
      <c r="Y90" s="211" t="str">
        <f t="shared" si="13"/>
        <v/>
      </c>
      <c r="Z90" s="82"/>
    </row>
    <row r="91" ht="20" customHeight="1" spans="1:26">
      <c r="A91" s="64">
        <v>78</v>
      </c>
      <c r="B91" s="65"/>
      <c r="C91" s="66"/>
      <c r="D91" s="67"/>
      <c r="E91" s="82"/>
      <c r="F91" s="82"/>
      <c r="G91" s="82"/>
      <c r="H91" s="82"/>
      <c r="I91" s="93" t="str">
        <f t="shared" si="7"/>
        <v/>
      </c>
      <c r="J91" s="82"/>
      <c r="K91" s="94" t="str">
        <f>IF(OR(D91="",E91=""),"",IF(J91="",G91,IF(D91="Buy",MROUND(MAX(E91*(1-Settings!$K$8),J91*(1-Settings!$K$6)),Settings!$K$10),MROUND(MIN(E91*(1+Settings!$K$8),J91*(1+Settings!$K$6)),Settings!$K$10))))</f>
        <v/>
      </c>
      <c r="L91" s="95" t="str">
        <f t="shared" si="8"/>
        <v/>
      </c>
      <c r="M91" s="82"/>
      <c r="N91" s="94" t="str">
        <f>IF(OR(D91="",E91=""),"",IF(M91="",H91,IF(D91="Buy",MROUND(MAX(E91*(1-Settings!$K$8),M91*(1-Settings!$K$6)),Settings!$K$10),MROUND(MIN(E91*(1+Settings!$K$8),M91*(1+Settings!$K$6)),Settings!$K$10))))</f>
        <v/>
      </c>
      <c r="O91" s="95" t="str">
        <f t="shared" si="9"/>
        <v/>
      </c>
      <c r="P91" s="82"/>
      <c r="Q91" s="94" t="str">
        <f>IF(OR(D91="",P91=""),"",IF(D91="Buy",MROUND(P91*(1-Settings!$K$6),Settings!$K$10),MROUND(P91*(1+Settings!$K$6),Settings!$K$10)))</f>
        <v/>
      </c>
      <c r="R91" s="95" t="str">
        <f t="shared" si="10"/>
        <v/>
      </c>
      <c r="S91" s="82"/>
      <c r="T91" s="94" t="str">
        <f>IF(OR(D91="",S91=""),"",IF(D91="Buy",MROUND(S91*(1-Settings!$K$6),Settings!$K$10),MROUND(S91*(1+Settings!$K$6),Settings!$K$10)))</f>
        <v/>
      </c>
      <c r="U91" s="67"/>
      <c r="V91" s="211" t="str">
        <f t="shared" si="11"/>
        <v/>
      </c>
      <c r="W91" s="110"/>
      <c r="X91" s="211" t="str">
        <f t="shared" si="12"/>
        <v/>
      </c>
      <c r="Y91" s="211" t="str">
        <f t="shared" si="13"/>
        <v/>
      </c>
      <c r="Z91" s="82"/>
    </row>
    <row r="92" ht="20" customHeight="1" spans="1:26">
      <c r="A92" s="64">
        <v>79</v>
      </c>
      <c r="B92" s="65"/>
      <c r="C92" s="66"/>
      <c r="D92" s="67"/>
      <c r="E92" s="82"/>
      <c r="F92" s="82"/>
      <c r="G92" s="82"/>
      <c r="H92" s="82"/>
      <c r="I92" s="93" t="str">
        <f t="shared" si="7"/>
        <v/>
      </c>
      <c r="J92" s="82"/>
      <c r="K92" s="94" t="str">
        <f>IF(OR(D92="",E92=""),"",IF(J92="",G92,IF(D92="Buy",MROUND(MAX(E92*(1-Settings!$K$8),J92*(1-Settings!$K$6)),Settings!$K$10),MROUND(MIN(E92*(1+Settings!$K$8),J92*(1+Settings!$K$6)),Settings!$K$10))))</f>
        <v/>
      </c>
      <c r="L92" s="95" t="str">
        <f t="shared" si="8"/>
        <v/>
      </c>
      <c r="M92" s="82"/>
      <c r="N92" s="94" t="str">
        <f>IF(OR(D92="",E92=""),"",IF(M92="",H92,IF(D92="Buy",MROUND(MAX(E92*(1-Settings!$K$8),M92*(1-Settings!$K$6)),Settings!$K$10),MROUND(MIN(E92*(1+Settings!$K$8),M92*(1+Settings!$K$6)),Settings!$K$10))))</f>
        <v/>
      </c>
      <c r="O92" s="95" t="str">
        <f t="shared" si="9"/>
        <v/>
      </c>
      <c r="P92" s="82"/>
      <c r="Q92" s="94" t="str">
        <f>IF(OR(D92="",P92=""),"",IF(D92="Buy",MROUND(P92*(1-Settings!$K$6),Settings!$K$10),MROUND(P92*(1+Settings!$K$6),Settings!$K$10)))</f>
        <v/>
      </c>
      <c r="R92" s="95" t="str">
        <f t="shared" si="10"/>
        <v/>
      </c>
      <c r="S92" s="82"/>
      <c r="T92" s="94" t="str">
        <f>IF(OR(D92="",S92=""),"",IF(D92="Buy",MROUND(S92*(1-Settings!$K$6),Settings!$K$10),MROUND(S92*(1+Settings!$K$6),Settings!$K$10)))</f>
        <v/>
      </c>
      <c r="U92" s="67"/>
      <c r="V92" s="211" t="str">
        <f t="shared" si="11"/>
        <v/>
      </c>
      <c r="W92" s="110"/>
      <c r="X92" s="211" t="str">
        <f t="shared" si="12"/>
        <v/>
      </c>
      <c r="Y92" s="211" t="str">
        <f t="shared" si="13"/>
        <v/>
      </c>
      <c r="Z92" s="82"/>
    </row>
    <row r="93" ht="20" customHeight="1" spans="1:26">
      <c r="A93" s="64">
        <v>80</v>
      </c>
      <c r="B93" s="65"/>
      <c r="C93" s="66"/>
      <c r="D93" s="67"/>
      <c r="E93" s="82"/>
      <c r="F93" s="82"/>
      <c r="G93" s="82"/>
      <c r="H93" s="82"/>
      <c r="I93" s="93" t="str">
        <f t="shared" si="7"/>
        <v/>
      </c>
      <c r="J93" s="82"/>
      <c r="K93" s="94" t="str">
        <f>IF(OR(D93="",E93=""),"",IF(J93="",G93,IF(D93="Buy",MROUND(MAX(E93*(1-Settings!$K$8),J93*(1-Settings!$K$6)),Settings!$K$10),MROUND(MIN(E93*(1+Settings!$K$8),J93*(1+Settings!$K$6)),Settings!$K$10))))</f>
        <v/>
      </c>
      <c r="L93" s="95" t="str">
        <f t="shared" si="8"/>
        <v/>
      </c>
      <c r="M93" s="82"/>
      <c r="N93" s="94" t="str">
        <f>IF(OR(D93="",E93=""),"",IF(M93="",H93,IF(D93="Buy",MROUND(MAX(E93*(1-Settings!$K$8),M93*(1-Settings!$K$6)),Settings!$K$10),MROUND(MIN(E93*(1+Settings!$K$8),M93*(1+Settings!$K$6)),Settings!$K$10))))</f>
        <v/>
      </c>
      <c r="O93" s="95" t="str">
        <f t="shared" si="9"/>
        <v/>
      </c>
      <c r="P93" s="82"/>
      <c r="Q93" s="94" t="str">
        <f>IF(OR(D93="",P93=""),"",IF(D93="Buy",MROUND(P93*(1-Settings!$K$6),Settings!$K$10),MROUND(P93*(1+Settings!$K$6),Settings!$K$10)))</f>
        <v/>
      </c>
      <c r="R93" s="95" t="str">
        <f t="shared" si="10"/>
        <v/>
      </c>
      <c r="S93" s="82"/>
      <c r="T93" s="94" t="str">
        <f>IF(OR(D93="",S93=""),"",IF(D93="Buy",MROUND(S93*(1-Settings!$K$6),Settings!$K$10),MROUND(S93*(1+Settings!$K$6),Settings!$K$10)))</f>
        <v/>
      </c>
      <c r="U93" s="67"/>
      <c r="V93" s="211" t="str">
        <f t="shared" si="11"/>
        <v/>
      </c>
      <c r="W93" s="110"/>
      <c r="X93" s="211" t="str">
        <f t="shared" si="12"/>
        <v/>
      </c>
      <c r="Y93" s="211" t="str">
        <f t="shared" si="13"/>
        <v/>
      </c>
      <c r="Z93" s="82"/>
    </row>
    <row r="94" ht="20" customHeight="1" spans="1:26">
      <c r="A94" s="64">
        <v>81</v>
      </c>
      <c r="B94" s="65"/>
      <c r="C94" s="66"/>
      <c r="D94" s="67"/>
      <c r="E94" s="82"/>
      <c r="F94" s="82"/>
      <c r="G94" s="82"/>
      <c r="H94" s="82"/>
      <c r="I94" s="93" t="str">
        <f t="shared" si="7"/>
        <v/>
      </c>
      <c r="J94" s="82"/>
      <c r="K94" s="94" t="str">
        <f>IF(OR(D94="",E94=""),"",IF(J94="",G94,IF(D94="Buy",MROUND(MAX(E94*(1-Settings!$K$8),J94*(1-Settings!$K$6)),Settings!$K$10),MROUND(MIN(E94*(1+Settings!$K$8),J94*(1+Settings!$K$6)),Settings!$K$10))))</f>
        <v/>
      </c>
      <c r="L94" s="95" t="str">
        <f t="shared" si="8"/>
        <v/>
      </c>
      <c r="M94" s="82"/>
      <c r="N94" s="94" t="str">
        <f>IF(OR(D94="",E94=""),"",IF(M94="",H94,IF(D94="Buy",MROUND(MAX(E94*(1-Settings!$K$8),M94*(1-Settings!$K$6)),Settings!$K$10),MROUND(MIN(E94*(1+Settings!$K$8),M94*(1+Settings!$K$6)),Settings!$K$10))))</f>
        <v/>
      </c>
      <c r="O94" s="95" t="str">
        <f t="shared" si="9"/>
        <v/>
      </c>
      <c r="P94" s="82"/>
      <c r="Q94" s="94" t="str">
        <f>IF(OR(D94="",P94=""),"",IF(D94="Buy",MROUND(P94*(1-Settings!$K$6),Settings!$K$10),MROUND(P94*(1+Settings!$K$6),Settings!$K$10)))</f>
        <v/>
      </c>
      <c r="R94" s="95" t="str">
        <f t="shared" si="10"/>
        <v/>
      </c>
      <c r="S94" s="82"/>
      <c r="T94" s="94" t="str">
        <f>IF(OR(D94="",S94=""),"",IF(D94="Buy",MROUND(S94*(1-Settings!$K$6),Settings!$K$10),MROUND(S94*(1+Settings!$K$6),Settings!$K$10)))</f>
        <v/>
      </c>
      <c r="U94" s="67"/>
      <c r="V94" s="211" t="str">
        <f t="shared" si="11"/>
        <v/>
      </c>
      <c r="W94" s="110"/>
      <c r="X94" s="211" t="str">
        <f t="shared" si="12"/>
        <v/>
      </c>
      <c r="Y94" s="211" t="str">
        <f t="shared" si="13"/>
        <v/>
      </c>
      <c r="Z94" s="82"/>
    </row>
    <row r="95" ht="20" customHeight="1" spans="1:26">
      <c r="A95" s="64">
        <v>82</v>
      </c>
      <c r="B95" s="65"/>
      <c r="C95" s="66"/>
      <c r="D95" s="67"/>
      <c r="E95" s="82"/>
      <c r="F95" s="82"/>
      <c r="G95" s="82"/>
      <c r="H95" s="82"/>
      <c r="I95" s="93" t="str">
        <f t="shared" si="7"/>
        <v/>
      </c>
      <c r="J95" s="82"/>
      <c r="K95" s="94" t="str">
        <f>IF(OR(D95="",E95=""),"",IF(J95="",G95,IF(D95="Buy",MROUND(MAX(E95*(1-Settings!$K$8),J95*(1-Settings!$K$6)),Settings!$K$10),MROUND(MIN(E95*(1+Settings!$K$8),J95*(1+Settings!$K$6)),Settings!$K$10))))</f>
        <v/>
      </c>
      <c r="L95" s="95" t="str">
        <f t="shared" si="8"/>
        <v/>
      </c>
      <c r="M95" s="82"/>
      <c r="N95" s="94" t="str">
        <f>IF(OR(D95="",E95=""),"",IF(M95="",H95,IF(D95="Buy",MROUND(MAX(E95*(1-Settings!$K$8),M95*(1-Settings!$K$6)),Settings!$K$10),MROUND(MIN(E95*(1+Settings!$K$8),M95*(1+Settings!$K$6)),Settings!$K$10))))</f>
        <v/>
      </c>
      <c r="O95" s="95" t="str">
        <f t="shared" si="9"/>
        <v/>
      </c>
      <c r="P95" s="82"/>
      <c r="Q95" s="94" t="str">
        <f>IF(OR(D95="",P95=""),"",IF(D95="Buy",MROUND(P95*(1-Settings!$K$6),Settings!$K$10),MROUND(P95*(1+Settings!$K$6),Settings!$K$10)))</f>
        <v/>
      </c>
      <c r="R95" s="95" t="str">
        <f t="shared" si="10"/>
        <v/>
      </c>
      <c r="S95" s="82"/>
      <c r="T95" s="94" t="str">
        <f>IF(OR(D95="",S95=""),"",IF(D95="Buy",MROUND(S95*(1-Settings!$K$6),Settings!$K$10),MROUND(S95*(1+Settings!$K$6),Settings!$K$10)))</f>
        <v/>
      </c>
      <c r="U95" s="67"/>
      <c r="V95" s="211" t="str">
        <f t="shared" si="11"/>
        <v/>
      </c>
      <c r="W95" s="110"/>
      <c r="X95" s="211" t="str">
        <f t="shared" si="12"/>
        <v/>
      </c>
      <c r="Y95" s="211" t="str">
        <f t="shared" si="13"/>
        <v/>
      </c>
      <c r="Z95" s="82"/>
    </row>
    <row r="96" ht="20" customHeight="1" spans="1:26">
      <c r="A96" s="64">
        <v>83</v>
      </c>
      <c r="B96" s="65"/>
      <c r="C96" s="66"/>
      <c r="D96" s="67"/>
      <c r="E96" s="82"/>
      <c r="F96" s="82"/>
      <c r="G96" s="82"/>
      <c r="H96" s="82"/>
      <c r="I96" s="93" t="str">
        <f t="shared" si="7"/>
        <v/>
      </c>
      <c r="J96" s="82"/>
      <c r="K96" s="94" t="str">
        <f>IF(OR(D96="",E96=""),"",IF(J96="",G96,IF(D96="Buy",MROUND(MAX(E96*(1-Settings!$K$8),J96*(1-Settings!$K$6)),Settings!$K$10),MROUND(MIN(E96*(1+Settings!$K$8),J96*(1+Settings!$K$6)),Settings!$K$10))))</f>
        <v/>
      </c>
      <c r="L96" s="95" t="str">
        <f t="shared" si="8"/>
        <v/>
      </c>
      <c r="M96" s="82"/>
      <c r="N96" s="94" t="str">
        <f>IF(OR(D96="",E96=""),"",IF(M96="",H96,IF(D96="Buy",MROUND(MAX(E96*(1-Settings!$K$8),M96*(1-Settings!$K$6)),Settings!$K$10),MROUND(MIN(E96*(1+Settings!$K$8),M96*(1+Settings!$K$6)),Settings!$K$10))))</f>
        <v/>
      </c>
      <c r="O96" s="95" t="str">
        <f t="shared" si="9"/>
        <v/>
      </c>
      <c r="P96" s="82"/>
      <c r="Q96" s="94" t="str">
        <f>IF(OR(D96="",P96=""),"",IF(D96="Buy",MROUND(P96*(1-Settings!$K$6),Settings!$K$10),MROUND(P96*(1+Settings!$K$6),Settings!$K$10)))</f>
        <v/>
      </c>
      <c r="R96" s="95" t="str">
        <f t="shared" si="10"/>
        <v/>
      </c>
      <c r="S96" s="82"/>
      <c r="T96" s="94" t="str">
        <f>IF(OR(D96="",S96=""),"",IF(D96="Buy",MROUND(S96*(1-Settings!$K$6),Settings!$K$10),MROUND(S96*(1+Settings!$K$6),Settings!$K$10)))</f>
        <v/>
      </c>
      <c r="U96" s="67"/>
      <c r="V96" s="211" t="str">
        <f t="shared" si="11"/>
        <v/>
      </c>
      <c r="W96" s="110"/>
      <c r="X96" s="211" t="str">
        <f t="shared" si="12"/>
        <v/>
      </c>
      <c r="Y96" s="211" t="str">
        <f t="shared" si="13"/>
        <v/>
      </c>
      <c r="Z96" s="82"/>
    </row>
    <row r="97" ht="20" customHeight="1" spans="1:26">
      <c r="A97" s="64">
        <v>84</v>
      </c>
      <c r="B97" s="65"/>
      <c r="C97" s="66"/>
      <c r="D97" s="67"/>
      <c r="E97" s="82"/>
      <c r="F97" s="82"/>
      <c r="G97" s="82"/>
      <c r="H97" s="82"/>
      <c r="I97" s="93" t="str">
        <f t="shared" si="7"/>
        <v/>
      </c>
      <c r="J97" s="82"/>
      <c r="K97" s="94" t="str">
        <f>IF(OR(D97="",E97=""),"",IF(J97="",G97,IF(D97="Buy",MROUND(MAX(E97*(1-Settings!$K$8),J97*(1-Settings!$K$6)),Settings!$K$10),MROUND(MIN(E97*(1+Settings!$K$8),J97*(1+Settings!$K$6)),Settings!$K$10))))</f>
        <v/>
      </c>
      <c r="L97" s="95" t="str">
        <f t="shared" si="8"/>
        <v/>
      </c>
      <c r="M97" s="82"/>
      <c r="N97" s="94" t="str">
        <f>IF(OR(D97="",E97=""),"",IF(M97="",H97,IF(D97="Buy",MROUND(MAX(E97*(1-Settings!$K$8),M97*(1-Settings!$K$6)),Settings!$K$10),MROUND(MIN(E97*(1+Settings!$K$8),M97*(1+Settings!$K$6)),Settings!$K$10))))</f>
        <v/>
      </c>
      <c r="O97" s="95" t="str">
        <f t="shared" si="9"/>
        <v/>
      </c>
      <c r="P97" s="82"/>
      <c r="Q97" s="94" t="str">
        <f>IF(OR(D97="",P97=""),"",IF(D97="Buy",MROUND(P97*(1-Settings!$K$6),Settings!$K$10),MROUND(P97*(1+Settings!$K$6),Settings!$K$10)))</f>
        <v/>
      </c>
      <c r="R97" s="95" t="str">
        <f t="shared" si="10"/>
        <v/>
      </c>
      <c r="S97" s="82"/>
      <c r="T97" s="94" t="str">
        <f>IF(OR(D97="",S97=""),"",IF(D97="Buy",MROUND(S97*(1-Settings!$K$6),Settings!$K$10),MROUND(S97*(1+Settings!$K$6),Settings!$K$10)))</f>
        <v/>
      </c>
      <c r="U97" s="67"/>
      <c r="V97" s="211" t="str">
        <f t="shared" si="11"/>
        <v/>
      </c>
      <c r="W97" s="110"/>
      <c r="X97" s="211" t="str">
        <f t="shared" si="12"/>
        <v/>
      </c>
      <c r="Y97" s="211" t="str">
        <f t="shared" si="13"/>
        <v/>
      </c>
      <c r="Z97" s="82"/>
    </row>
    <row r="98" ht="20" customHeight="1" spans="1:26">
      <c r="A98" s="64">
        <v>85</v>
      </c>
      <c r="B98" s="65"/>
      <c r="C98" s="66"/>
      <c r="D98" s="67"/>
      <c r="E98" s="82"/>
      <c r="F98" s="82"/>
      <c r="G98" s="82"/>
      <c r="H98" s="82"/>
      <c r="I98" s="93" t="str">
        <f t="shared" si="7"/>
        <v/>
      </c>
      <c r="J98" s="82"/>
      <c r="K98" s="94" t="str">
        <f>IF(OR(D98="",E98=""),"",IF(J98="",G98,IF(D98="Buy",MROUND(MAX(E98*(1-Settings!$K$8),J98*(1-Settings!$K$6)),Settings!$K$10),MROUND(MIN(E98*(1+Settings!$K$8),J98*(1+Settings!$K$6)),Settings!$K$10))))</f>
        <v/>
      </c>
      <c r="L98" s="95" t="str">
        <f t="shared" si="8"/>
        <v/>
      </c>
      <c r="M98" s="82"/>
      <c r="N98" s="94" t="str">
        <f>IF(OR(D98="",E98=""),"",IF(M98="",H98,IF(D98="Buy",MROUND(MAX(E98*(1-Settings!$K$8),M98*(1-Settings!$K$6)),Settings!$K$10),MROUND(MIN(E98*(1+Settings!$K$8),M98*(1+Settings!$K$6)),Settings!$K$10))))</f>
        <v/>
      </c>
      <c r="O98" s="95" t="str">
        <f t="shared" si="9"/>
        <v/>
      </c>
      <c r="P98" s="82"/>
      <c r="Q98" s="94" t="str">
        <f>IF(OR(D98="",P98=""),"",IF(D98="Buy",MROUND(P98*(1-Settings!$K$6),Settings!$K$10),MROUND(P98*(1+Settings!$K$6),Settings!$K$10)))</f>
        <v/>
      </c>
      <c r="R98" s="95" t="str">
        <f t="shared" si="10"/>
        <v/>
      </c>
      <c r="S98" s="82"/>
      <c r="T98" s="94" t="str">
        <f>IF(OR(D98="",S98=""),"",IF(D98="Buy",MROUND(S98*(1-Settings!$K$6),Settings!$K$10),MROUND(S98*(1+Settings!$K$6),Settings!$K$10)))</f>
        <v/>
      </c>
      <c r="U98" s="67"/>
      <c r="V98" s="211" t="str">
        <f t="shared" si="11"/>
        <v/>
      </c>
      <c r="W98" s="110"/>
      <c r="X98" s="211" t="str">
        <f t="shared" si="12"/>
        <v/>
      </c>
      <c r="Y98" s="211" t="str">
        <f t="shared" si="13"/>
        <v/>
      </c>
      <c r="Z98" s="82"/>
    </row>
    <row r="99" ht="20" customHeight="1" spans="1:26">
      <c r="A99" s="64">
        <v>86</v>
      </c>
      <c r="B99" s="65"/>
      <c r="C99" s="66"/>
      <c r="D99" s="67"/>
      <c r="E99" s="82"/>
      <c r="F99" s="82"/>
      <c r="G99" s="82"/>
      <c r="H99" s="82"/>
      <c r="I99" s="93" t="str">
        <f t="shared" si="7"/>
        <v/>
      </c>
      <c r="J99" s="82"/>
      <c r="K99" s="94" t="str">
        <f>IF(OR(D99="",E99=""),"",IF(J99="",G99,IF(D99="Buy",MROUND(MAX(E99*(1-Settings!$K$8),J99*(1-Settings!$K$6)),Settings!$K$10),MROUND(MIN(E99*(1+Settings!$K$8),J99*(1+Settings!$K$6)),Settings!$K$10))))</f>
        <v/>
      </c>
      <c r="L99" s="95" t="str">
        <f t="shared" si="8"/>
        <v/>
      </c>
      <c r="M99" s="82"/>
      <c r="N99" s="94" t="str">
        <f>IF(OR(D99="",E99=""),"",IF(M99="",H99,IF(D99="Buy",MROUND(MAX(E99*(1-Settings!$K$8),M99*(1-Settings!$K$6)),Settings!$K$10),MROUND(MIN(E99*(1+Settings!$K$8),M99*(1+Settings!$K$6)),Settings!$K$10))))</f>
        <v/>
      </c>
      <c r="O99" s="95" t="str">
        <f t="shared" si="9"/>
        <v/>
      </c>
      <c r="P99" s="82"/>
      <c r="Q99" s="94" t="str">
        <f>IF(OR(D99="",P99=""),"",IF(D99="Buy",MROUND(P99*(1-Settings!$K$6),Settings!$K$10),MROUND(P99*(1+Settings!$K$6),Settings!$K$10)))</f>
        <v/>
      </c>
      <c r="R99" s="95" t="str">
        <f t="shared" si="10"/>
        <v/>
      </c>
      <c r="S99" s="82"/>
      <c r="T99" s="94" t="str">
        <f>IF(OR(D99="",S99=""),"",IF(D99="Buy",MROUND(S99*(1-Settings!$K$6),Settings!$K$10),MROUND(S99*(1+Settings!$K$6),Settings!$K$10)))</f>
        <v/>
      </c>
      <c r="U99" s="67"/>
      <c r="V99" s="211" t="str">
        <f t="shared" si="11"/>
        <v/>
      </c>
      <c r="W99" s="110"/>
      <c r="X99" s="211" t="str">
        <f t="shared" si="12"/>
        <v/>
      </c>
      <c r="Y99" s="211" t="str">
        <f t="shared" si="13"/>
        <v/>
      </c>
      <c r="Z99" s="82"/>
    </row>
    <row r="100" ht="20" customHeight="1" spans="1:26">
      <c r="A100" s="64">
        <v>87</v>
      </c>
      <c r="B100" s="65"/>
      <c r="C100" s="66"/>
      <c r="D100" s="67"/>
      <c r="E100" s="82"/>
      <c r="F100" s="82"/>
      <c r="G100" s="82"/>
      <c r="H100" s="82"/>
      <c r="I100" s="93" t="str">
        <f t="shared" si="7"/>
        <v/>
      </c>
      <c r="J100" s="82"/>
      <c r="K100" s="94" t="str">
        <f>IF(OR(D100="",E100=""),"",IF(J100="",G100,IF(D100="Buy",MROUND(MAX(E100*(1-Settings!$K$8),J100*(1-Settings!$K$6)),Settings!$K$10),MROUND(MIN(E100*(1+Settings!$K$8),J100*(1+Settings!$K$6)),Settings!$K$10))))</f>
        <v/>
      </c>
      <c r="L100" s="95" t="str">
        <f t="shared" si="8"/>
        <v/>
      </c>
      <c r="M100" s="82"/>
      <c r="N100" s="94" t="str">
        <f>IF(OR(D100="",E100=""),"",IF(M100="",H100,IF(D100="Buy",MROUND(MAX(E100*(1-Settings!$K$8),M100*(1-Settings!$K$6)),Settings!$K$10),MROUND(MIN(E100*(1+Settings!$K$8),M100*(1+Settings!$K$6)),Settings!$K$10))))</f>
        <v/>
      </c>
      <c r="O100" s="95" t="str">
        <f t="shared" si="9"/>
        <v/>
      </c>
      <c r="P100" s="82"/>
      <c r="Q100" s="94" t="str">
        <f>IF(OR(D100="",P100=""),"",IF(D100="Buy",MROUND(P100*(1-Settings!$K$6),Settings!$K$10),MROUND(P100*(1+Settings!$K$6),Settings!$K$10)))</f>
        <v/>
      </c>
      <c r="R100" s="95" t="str">
        <f t="shared" si="10"/>
        <v/>
      </c>
      <c r="S100" s="82"/>
      <c r="T100" s="94" t="str">
        <f>IF(OR(D100="",S100=""),"",IF(D100="Buy",MROUND(S100*(1-Settings!$K$6),Settings!$K$10),MROUND(S100*(1+Settings!$K$6),Settings!$K$10)))</f>
        <v/>
      </c>
      <c r="U100" s="67"/>
      <c r="V100" s="211" t="str">
        <f t="shared" si="11"/>
        <v/>
      </c>
      <c r="W100" s="110"/>
      <c r="X100" s="211" t="str">
        <f t="shared" si="12"/>
        <v/>
      </c>
      <c r="Y100" s="211" t="str">
        <f t="shared" si="13"/>
        <v/>
      </c>
      <c r="Z100" s="82"/>
    </row>
    <row r="101" ht="20" customHeight="1" spans="1:26">
      <c r="A101" s="64">
        <v>88</v>
      </c>
      <c r="B101" s="65"/>
      <c r="C101" s="66"/>
      <c r="D101" s="67"/>
      <c r="E101" s="82"/>
      <c r="F101" s="82"/>
      <c r="G101" s="82"/>
      <c r="H101" s="82"/>
      <c r="I101" s="93" t="str">
        <f t="shared" si="7"/>
        <v/>
      </c>
      <c r="J101" s="82"/>
      <c r="K101" s="94" t="str">
        <f>IF(OR(D101="",E101=""),"",IF(J101="",G101,IF(D101="Buy",MROUND(MAX(E101*(1-Settings!$K$8),J101*(1-Settings!$K$6)),Settings!$K$10),MROUND(MIN(E101*(1+Settings!$K$8),J101*(1+Settings!$K$6)),Settings!$K$10))))</f>
        <v/>
      </c>
      <c r="L101" s="95" t="str">
        <f t="shared" si="8"/>
        <v/>
      </c>
      <c r="M101" s="82"/>
      <c r="N101" s="94" t="str">
        <f>IF(OR(D101="",E101=""),"",IF(M101="",H101,IF(D101="Buy",MROUND(MAX(E101*(1-Settings!$K$8),M101*(1-Settings!$K$6)),Settings!$K$10),MROUND(MIN(E101*(1+Settings!$K$8),M101*(1+Settings!$K$6)),Settings!$K$10))))</f>
        <v/>
      </c>
      <c r="O101" s="95" t="str">
        <f t="shared" si="9"/>
        <v/>
      </c>
      <c r="P101" s="82"/>
      <c r="Q101" s="94" t="str">
        <f>IF(OR(D101="",P101=""),"",IF(D101="Buy",MROUND(P101*(1-Settings!$K$6),Settings!$K$10),MROUND(P101*(1+Settings!$K$6),Settings!$K$10)))</f>
        <v/>
      </c>
      <c r="R101" s="95" t="str">
        <f t="shared" si="10"/>
        <v/>
      </c>
      <c r="S101" s="82"/>
      <c r="T101" s="94" t="str">
        <f>IF(OR(D101="",S101=""),"",IF(D101="Buy",MROUND(S101*(1-Settings!$K$6),Settings!$K$10),MROUND(S101*(1+Settings!$K$6),Settings!$K$10)))</f>
        <v/>
      </c>
      <c r="U101" s="67"/>
      <c r="V101" s="211" t="str">
        <f t="shared" si="11"/>
        <v/>
      </c>
      <c r="W101" s="110"/>
      <c r="X101" s="211" t="str">
        <f t="shared" si="12"/>
        <v/>
      </c>
      <c r="Y101" s="211" t="str">
        <f t="shared" si="13"/>
        <v/>
      </c>
      <c r="Z101" s="82"/>
    </row>
    <row r="102" ht="20" customHeight="1" spans="1:26">
      <c r="A102" s="64">
        <v>89</v>
      </c>
      <c r="B102" s="65"/>
      <c r="C102" s="66"/>
      <c r="D102" s="67"/>
      <c r="E102" s="82"/>
      <c r="F102" s="82"/>
      <c r="G102" s="82"/>
      <c r="H102" s="82"/>
      <c r="I102" s="93" t="str">
        <f t="shared" si="7"/>
        <v/>
      </c>
      <c r="J102" s="82"/>
      <c r="K102" s="94" t="str">
        <f>IF(OR(D102="",E102=""),"",IF(J102="",G102,IF(D102="Buy",MROUND(MAX(E102*(1-Settings!$K$8),J102*(1-Settings!$K$6)),Settings!$K$10),MROUND(MIN(E102*(1+Settings!$K$8),J102*(1+Settings!$K$6)),Settings!$K$10))))</f>
        <v/>
      </c>
      <c r="L102" s="95" t="str">
        <f t="shared" si="8"/>
        <v/>
      </c>
      <c r="M102" s="82"/>
      <c r="N102" s="94" t="str">
        <f>IF(OR(D102="",E102=""),"",IF(M102="",H102,IF(D102="Buy",MROUND(MAX(E102*(1-Settings!$K$8),M102*(1-Settings!$K$6)),Settings!$K$10),MROUND(MIN(E102*(1+Settings!$K$8),M102*(1+Settings!$K$6)),Settings!$K$10))))</f>
        <v/>
      </c>
      <c r="O102" s="95" t="str">
        <f t="shared" si="9"/>
        <v/>
      </c>
      <c r="P102" s="82"/>
      <c r="Q102" s="94" t="str">
        <f>IF(OR(D102="",P102=""),"",IF(D102="Buy",MROUND(P102*(1-Settings!$K$6),Settings!$K$10),MROUND(P102*(1+Settings!$K$6),Settings!$K$10)))</f>
        <v/>
      </c>
      <c r="R102" s="95" t="str">
        <f t="shared" si="10"/>
        <v/>
      </c>
      <c r="S102" s="82"/>
      <c r="T102" s="94" t="str">
        <f>IF(OR(D102="",S102=""),"",IF(D102="Buy",MROUND(S102*(1-Settings!$K$6),Settings!$K$10),MROUND(S102*(1+Settings!$K$6),Settings!$K$10)))</f>
        <v/>
      </c>
      <c r="U102" s="67"/>
      <c r="V102" s="211" t="str">
        <f t="shared" si="11"/>
        <v/>
      </c>
      <c r="W102" s="110"/>
      <c r="X102" s="211" t="str">
        <f t="shared" si="12"/>
        <v/>
      </c>
      <c r="Y102" s="211" t="str">
        <f t="shared" si="13"/>
        <v/>
      </c>
      <c r="Z102" s="82"/>
    </row>
    <row r="103" ht="20" customHeight="1" spans="1:26">
      <c r="A103" s="64">
        <v>90</v>
      </c>
      <c r="B103" s="65"/>
      <c r="C103" s="66"/>
      <c r="D103" s="67"/>
      <c r="E103" s="82"/>
      <c r="F103" s="82"/>
      <c r="G103" s="82"/>
      <c r="H103" s="82"/>
      <c r="I103" s="93" t="str">
        <f t="shared" si="7"/>
        <v/>
      </c>
      <c r="J103" s="82"/>
      <c r="K103" s="94" t="str">
        <f>IF(OR(D103="",E103=""),"",IF(J103="",G103,IF(D103="Buy",MROUND(MAX(E103*(1-Settings!$K$8),J103*(1-Settings!$K$6)),Settings!$K$10),MROUND(MIN(E103*(1+Settings!$K$8),J103*(1+Settings!$K$6)),Settings!$K$10))))</f>
        <v/>
      </c>
      <c r="L103" s="95" t="str">
        <f t="shared" si="8"/>
        <v/>
      </c>
      <c r="M103" s="82"/>
      <c r="N103" s="94" t="str">
        <f>IF(OR(D103="",E103=""),"",IF(M103="",H103,IF(D103="Buy",MROUND(MAX(E103*(1-Settings!$K$8),M103*(1-Settings!$K$6)),Settings!$K$10),MROUND(MIN(E103*(1+Settings!$K$8),M103*(1+Settings!$K$6)),Settings!$K$10))))</f>
        <v/>
      </c>
      <c r="O103" s="95" t="str">
        <f t="shared" si="9"/>
        <v/>
      </c>
      <c r="P103" s="82"/>
      <c r="Q103" s="94" t="str">
        <f>IF(OR(D103="",P103=""),"",IF(D103="Buy",MROUND(P103*(1-Settings!$K$6),Settings!$K$10),MROUND(P103*(1+Settings!$K$6),Settings!$K$10)))</f>
        <v/>
      </c>
      <c r="R103" s="95" t="str">
        <f t="shared" si="10"/>
        <v/>
      </c>
      <c r="S103" s="82"/>
      <c r="T103" s="94" t="str">
        <f>IF(OR(D103="",S103=""),"",IF(D103="Buy",MROUND(S103*(1-Settings!$K$6),Settings!$K$10),MROUND(S103*(1+Settings!$K$6),Settings!$K$10)))</f>
        <v/>
      </c>
      <c r="U103" s="67"/>
      <c r="V103" s="211" t="str">
        <f t="shared" si="11"/>
        <v/>
      </c>
      <c r="W103" s="110"/>
      <c r="X103" s="211" t="str">
        <f t="shared" si="12"/>
        <v/>
      </c>
      <c r="Y103" s="211" t="str">
        <f t="shared" si="13"/>
        <v/>
      </c>
      <c r="Z103" s="82"/>
    </row>
    <row r="104" ht="20" customHeight="1" spans="1:26">
      <c r="A104" s="64">
        <v>91</v>
      </c>
      <c r="B104" s="65"/>
      <c r="C104" s="66"/>
      <c r="D104" s="67"/>
      <c r="E104" s="82"/>
      <c r="F104" s="82"/>
      <c r="G104" s="82"/>
      <c r="H104" s="82"/>
      <c r="I104" s="93" t="str">
        <f t="shared" si="7"/>
        <v/>
      </c>
      <c r="J104" s="82"/>
      <c r="K104" s="94" t="str">
        <f>IF(OR(D104="",E104=""),"",IF(J104="",G104,IF(D104="Buy",MROUND(MAX(E104*(1-Settings!$K$8),J104*(1-Settings!$K$6)),Settings!$K$10),MROUND(MIN(E104*(1+Settings!$K$8),J104*(1+Settings!$K$6)),Settings!$K$10))))</f>
        <v/>
      </c>
      <c r="L104" s="95" t="str">
        <f t="shared" si="8"/>
        <v/>
      </c>
      <c r="M104" s="82"/>
      <c r="N104" s="94" t="str">
        <f>IF(OR(D104="",E104=""),"",IF(M104="",H104,IF(D104="Buy",MROUND(MAX(E104*(1-Settings!$K$8),M104*(1-Settings!$K$6)),Settings!$K$10),MROUND(MIN(E104*(1+Settings!$K$8),M104*(1+Settings!$K$6)),Settings!$K$10))))</f>
        <v/>
      </c>
      <c r="O104" s="95" t="str">
        <f t="shared" si="9"/>
        <v/>
      </c>
      <c r="P104" s="82"/>
      <c r="Q104" s="94" t="str">
        <f>IF(OR(D104="",P104=""),"",IF(D104="Buy",MROUND(P104*(1-Settings!$K$6),Settings!$K$10),MROUND(P104*(1+Settings!$K$6),Settings!$K$10)))</f>
        <v/>
      </c>
      <c r="R104" s="95" t="str">
        <f t="shared" si="10"/>
        <v/>
      </c>
      <c r="S104" s="82"/>
      <c r="T104" s="94" t="str">
        <f>IF(OR(D104="",S104=""),"",IF(D104="Buy",MROUND(S104*(1-Settings!$K$6),Settings!$K$10),MROUND(S104*(1+Settings!$K$6),Settings!$K$10)))</f>
        <v/>
      </c>
      <c r="U104" s="67"/>
      <c r="V104" s="211" t="str">
        <f t="shared" si="11"/>
        <v/>
      </c>
      <c r="W104" s="110"/>
      <c r="X104" s="211" t="str">
        <f t="shared" si="12"/>
        <v/>
      </c>
      <c r="Y104" s="211" t="str">
        <f t="shared" si="13"/>
        <v/>
      </c>
      <c r="Z104" s="82"/>
    </row>
    <row r="105" ht="20" customHeight="1" spans="1:26">
      <c r="A105" s="64">
        <v>92</v>
      </c>
      <c r="B105" s="65"/>
      <c r="C105" s="66"/>
      <c r="D105" s="67"/>
      <c r="E105" s="82"/>
      <c r="F105" s="82"/>
      <c r="G105" s="82"/>
      <c r="H105" s="82"/>
      <c r="I105" s="93" t="str">
        <f t="shared" si="7"/>
        <v/>
      </c>
      <c r="J105" s="82"/>
      <c r="K105" s="94" t="str">
        <f>IF(OR(D105="",E105=""),"",IF(J105="",G105,IF(D105="Buy",MROUND(MAX(E105*(1-Settings!$K$8),J105*(1-Settings!$K$6)),Settings!$K$10),MROUND(MIN(E105*(1+Settings!$K$8),J105*(1+Settings!$K$6)),Settings!$K$10))))</f>
        <v/>
      </c>
      <c r="L105" s="95" t="str">
        <f t="shared" si="8"/>
        <v/>
      </c>
      <c r="M105" s="82"/>
      <c r="N105" s="94" t="str">
        <f>IF(OR(D105="",E105=""),"",IF(M105="",H105,IF(D105="Buy",MROUND(MAX(E105*(1-Settings!$K$8),M105*(1-Settings!$K$6)),Settings!$K$10),MROUND(MIN(E105*(1+Settings!$K$8),M105*(1+Settings!$K$6)),Settings!$K$10))))</f>
        <v/>
      </c>
      <c r="O105" s="95" t="str">
        <f t="shared" si="9"/>
        <v/>
      </c>
      <c r="P105" s="82"/>
      <c r="Q105" s="94" t="str">
        <f>IF(OR(D105="",P105=""),"",IF(D105="Buy",MROUND(P105*(1-Settings!$K$6),Settings!$K$10),MROUND(P105*(1+Settings!$K$6),Settings!$K$10)))</f>
        <v/>
      </c>
      <c r="R105" s="95" t="str">
        <f t="shared" si="10"/>
        <v/>
      </c>
      <c r="S105" s="82"/>
      <c r="T105" s="94" t="str">
        <f>IF(OR(D105="",S105=""),"",IF(D105="Buy",MROUND(S105*(1-Settings!$K$6),Settings!$K$10),MROUND(S105*(1+Settings!$K$6),Settings!$K$10)))</f>
        <v/>
      </c>
      <c r="U105" s="67"/>
      <c r="V105" s="211" t="str">
        <f t="shared" si="11"/>
        <v/>
      </c>
      <c r="W105" s="110"/>
      <c r="X105" s="211" t="str">
        <f t="shared" si="12"/>
        <v/>
      </c>
      <c r="Y105" s="211" t="str">
        <f t="shared" si="13"/>
        <v/>
      </c>
      <c r="Z105" s="82"/>
    </row>
    <row r="106" ht="20" customHeight="1" spans="1:26">
      <c r="A106" s="64">
        <v>93</v>
      </c>
      <c r="B106" s="65"/>
      <c r="C106" s="66"/>
      <c r="D106" s="67"/>
      <c r="E106" s="82"/>
      <c r="F106" s="82"/>
      <c r="G106" s="82"/>
      <c r="H106" s="82"/>
      <c r="I106" s="93" t="str">
        <f t="shared" si="7"/>
        <v/>
      </c>
      <c r="J106" s="82"/>
      <c r="K106" s="94" t="str">
        <f>IF(OR(D106="",E106=""),"",IF(J106="",G106,IF(D106="Buy",MROUND(MAX(E106*(1-Settings!$K$8),J106*(1-Settings!$K$6)),Settings!$K$10),MROUND(MIN(E106*(1+Settings!$K$8),J106*(1+Settings!$K$6)),Settings!$K$10))))</f>
        <v/>
      </c>
      <c r="L106" s="95" t="str">
        <f t="shared" si="8"/>
        <v/>
      </c>
      <c r="M106" s="82"/>
      <c r="N106" s="94" t="str">
        <f>IF(OR(D106="",E106=""),"",IF(M106="",H106,IF(D106="Buy",MROUND(MAX(E106*(1-Settings!$K$8),M106*(1-Settings!$K$6)),Settings!$K$10),MROUND(MIN(E106*(1+Settings!$K$8),M106*(1+Settings!$K$6)),Settings!$K$10))))</f>
        <v/>
      </c>
      <c r="O106" s="95" t="str">
        <f t="shared" si="9"/>
        <v/>
      </c>
      <c r="P106" s="82"/>
      <c r="Q106" s="94" t="str">
        <f>IF(OR(D106="",P106=""),"",IF(D106="Buy",MROUND(P106*(1-Settings!$K$6),Settings!$K$10),MROUND(P106*(1+Settings!$K$6),Settings!$K$10)))</f>
        <v/>
      </c>
      <c r="R106" s="95" t="str">
        <f t="shared" si="10"/>
        <v/>
      </c>
      <c r="S106" s="82"/>
      <c r="T106" s="94" t="str">
        <f>IF(OR(D106="",S106=""),"",IF(D106="Buy",MROUND(S106*(1-Settings!$K$6),Settings!$K$10),MROUND(S106*(1+Settings!$K$6),Settings!$K$10)))</f>
        <v/>
      </c>
      <c r="U106" s="67"/>
      <c r="V106" s="211" t="str">
        <f t="shared" si="11"/>
        <v/>
      </c>
      <c r="W106" s="110"/>
      <c r="X106" s="211" t="str">
        <f t="shared" si="12"/>
        <v/>
      </c>
      <c r="Y106" s="211" t="str">
        <f t="shared" si="13"/>
        <v/>
      </c>
      <c r="Z106" s="82"/>
    </row>
    <row r="107" ht="20" customHeight="1" spans="1:26">
      <c r="A107" s="64">
        <v>94</v>
      </c>
      <c r="B107" s="65"/>
      <c r="C107" s="66"/>
      <c r="D107" s="67"/>
      <c r="E107" s="82"/>
      <c r="F107" s="82"/>
      <c r="G107" s="82"/>
      <c r="H107" s="82"/>
      <c r="I107" s="93" t="str">
        <f t="shared" si="7"/>
        <v/>
      </c>
      <c r="J107" s="82"/>
      <c r="K107" s="94" t="str">
        <f>IF(OR(D107="",E107=""),"",IF(J107="",G107,IF(D107="Buy",MROUND(MAX(E107*(1-Settings!$K$8),J107*(1-Settings!$K$6)),Settings!$K$10),MROUND(MIN(E107*(1+Settings!$K$8),J107*(1+Settings!$K$6)),Settings!$K$10))))</f>
        <v/>
      </c>
      <c r="L107" s="95" t="str">
        <f t="shared" si="8"/>
        <v/>
      </c>
      <c r="M107" s="82"/>
      <c r="N107" s="94" t="str">
        <f>IF(OR(D107="",E107=""),"",IF(M107="",H107,IF(D107="Buy",MROUND(MAX(E107*(1-Settings!$K$8),M107*(1-Settings!$K$6)),Settings!$K$10),MROUND(MIN(E107*(1+Settings!$K$8),M107*(1+Settings!$K$6)),Settings!$K$10))))</f>
        <v/>
      </c>
      <c r="O107" s="95" t="str">
        <f t="shared" si="9"/>
        <v/>
      </c>
      <c r="P107" s="82"/>
      <c r="Q107" s="94" t="str">
        <f>IF(OR(D107="",P107=""),"",IF(D107="Buy",MROUND(P107*(1-Settings!$K$6),Settings!$K$10),MROUND(P107*(1+Settings!$K$6),Settings!$K$10)))</f>
        <v/>
      </c>
      <c r="R107" s="95" t="str">
        <f t="shared" si="10"/>
        <v/>
      </c>
      <c r="S107" s="82"/>
      <c r="T107" s="94" t="str">
        <f>IF(OR(D107="",S107=""),"",IF(D107="Buy",MROUND(S107*(1-Settings!$K$6),Settings!$K$10),MROUND(S107*(1+Settings!$K$6),Settings!$K$10)))</f>
        <v/>
      </c>
      <c r="U107" s="67"/>
      <c r="V107" s="211" t="str">
        <f t="shared" si="11"/>
        <v/>
      </c>
      <c r="W107" s="110"/>
      <c r="X107" s="211" t="str">
        <f t="shared" si="12"/>
        <v/>
      </c>
      <c r="Y107" s="211" t="str">
        <f t="shared" si="13"/>
        <v/>
      </c>
      <c r="Z107" s="82"/>
    </row>
    <row r="108" ht="20" customHeight="1" spans="1:26">
      <c r="A108" s="64">
        <v>95</v>
      </c>
      <c r="B108" s="65"/>
      <c r="C108" s="66"/>
      <c r="D108" s="67"/>
      <c r="E108" s="82"/>
      <c r="F108" s="82"/>
      <c r="G108" s="82"/>
      <c r="H108" s="82"/>
      <c r="I108" s="93" t="str">
        <f t="shared" si="7"/>
        <v/>
      </c>
      <c r="J108" s="82"/>
      <c r="K108" s="94" t="str">
        <f>IF(OR(D108="",E108=""),"",IF(J108="",G108,IF(D108="Buy",MROUND(MAX(E108*(1-Settings!$K$8),J108*(1-Settings!$K$6)),Settings!$K$10),MROUND(MIN(E108*(1+Settings!$K$8),J108*(1+Settings!$K$6)),Settings!$K$10))))</f>
        <v/>
      </c>
      <c r="L108" s="95" t="str">
        <f t="shared" si="8"/>
        <v/>
      </c>
      <c r="M108" s="82"/>
      <c r="N108" s="94" t="str">
        <f>IF(OR(D108="",E108=""),"",IF(M108="",H108,IF(D108="Buy",MROUND(MAX(E108*(1-Settings!$K$8),M108*(1-Settings!$K$6)),Settings!$K$10),MROUND(MIN(E108*(1+Settings!$K$8),M108*(1+Settings!$K$6)),Settings!$K$10))))</f>
        <v/>
      </c>
      <c r="O108" s="95" t="str">
        <f t="shared" si="9"/>
        <v/>
      </c>
      <c r="P108" s="82"/>
      <c r="Q108" s="94" t="str">
        <f>IF(OR(D108="",P108=""),"",IF(D108="Buy",MROUND(P108*(1-Settings!$K$6),Settings!$K$10),MROUND(P108*(1+Settings!$K$6),Settings!$K$10)))</f>
        <v/>
      </c>
      <c r="R108" s="95" t="str">
        <f t="shared" si="10"/>
        <v/>
      </c>
      <c r="S108" s="82"/>
      <c r="T108" s="94" t="str">
        <f>IF(OR(D108="",S108=""),"",IF(D108="Buy",MROUND(S108*(1-Settings!$K$6),Settings!$K$10),MROUND(S108*(1+Settings!$K$6),Settings!$K$10)))</f>
        <v/>
      </c>
      <c r="U108" s="67"/>
      <c r="V108" s="211" t="str">
        <f t="shared" si="11"/>
        <v/>
      </c>
      <c r="W108" s="110"/>
      <c r="X108" s="211" t="str">
        <f t="shared" si="12"/>
        <v/>
      </c>
      <c r="Y108" s="211" t="str">
        <f t="shared" si="13"/>
        <v/>
      </c>
      <c r="Z108" s="82"/>
    </row>
    <row r="109" ht="20" customHeight="1" spans="1:26">
      <c r="A109" s="64">
        <v>96</v>
      </c>
      <c r="B109" s="65"/>
      <c r="C109" s="66"/>
      <c r="D109" s="67"/>
      <c r="E109" s="82"/>
      <c r="F109" s="82"/>
      <c r="G109" s="82"/>
      <c r="H109" s="82"/>
      <c r="I109" s="93" t="str">
        <f t="shared" si="7"/>
        <v/>
      </c>
      <c r="J109" s="82"/>
      <c r="K109" s="94" t="str">
        <f>IF(OR(D109="",E109=""),"",IF(J109="",G109,IF(D109="Buy",MROUND(MAX(E109*(1-Settings!$K$8),J109*(1-Settings!$K$6)),Settings!$K$10),MROUND(MIN(E109*(1+Settings!$K$8),J109*(1+Settings!$K$6)),Settings!$K$10))))</f>
        <v/>
      </c>
      <c r="L109" s="95" t="str">
        <f t="shared" si="8"/>
        <v/>
      </c>
      <c r="M109" s="82"/>
      <c r="N109" s="94" t="str">
        <f>IF(OR(D109="",E109=""),"",IF(M109="",H109,IF(D109="Buy",MROUND(MAX(E109*(1-Settings!$K$8),M109*(1-Settings!$K$6)),Settings!$K$10),MROUND(MIN(E109*(1+Settings!$K$8),M109*(1+Settings!$K$6)),Settings!$K$10))))</f>
        <v/>
      </c>
      <c r="O109" s="95" t="str">
        <f t="shared" si="9"/>
        <v/>
      </c>
      <c r="P109" s="82"/>
      <c r="Q109" s="94" t="str">
        <f>IF(OR(D109="",P109=""),"",IF(D109="Buy",MROUND(P109*(1-Settings!$K$6),Settings!$K$10),MROUND(P109*(1+Settings!$K$6),Settings!$K$10)))</f>
        <v/>
      </c>
      <c r="R109" s="95" t="str">
        <f t="shared" si="10"/>
        <v/>
      </c>
      <c r="S109" s="82"/>
      <c r="T109" s="94" t="str">
        <f>IF(OR(D109="",S109=""),"",IF(D109="Buy",MROUND(S109*(1-Settings!$K$6),Settings!$K$10),MROUND(S109*(1+Settings!$K$6),Settings!$K$10)))</f>
        <v/>
      </c>
      <c r="U109" s="67"/>
      <c r="V109" s="211" t="str">
        <f t="shared" si="11"/>
        <v/>
      </c>
      <c r="W109" s="110"/>
      <c r="X109" s="211" t="str">
        <f t="shared" si="12"/>
        <v/>
      </c>
      <c r="Y109" s="211" t="str">
        <f t="shared" si="13"/>
        <v/>
      </c>
      <c r="Z109" s="82"/>
    </row>
    <row r="110" ht="20" customHeight="1" spans="1:26">
      <c r="A110" s="64">
        <v>97</v>
      </c>
      <c r="B110" s="65"/>
      <c r="C110" s="66"/>
      <c r="D110" s="67"/>
      <c r="E110" s="82"/>
      <c r="F110" s="82"/>
      <c r="G110" s="82"/>
      <c r="H110" s="82"/>
      <c r="I110" s="93" t="str">
        <f t="shared" si="7"/>
        <v/>
      </c>
      <c r="J110" s="82"/>
      <c r="K110" s="94" t="str">
        <f>IF(OR(D110="",E110=""),"",IF(J110="",G110,IF(D110="Buy",MROUND(MAX(E110*(1-Settings!$K$8),J110*(1-Settings!$K$6)),Settings!$K$10),MROUND(MIN(E110*(1+Settings!$K$8),J110*(1+Settings!$K$6)),Settings!$K$10))))</f>
        <v/>
      </c>
      <c r="L110" s="95" t="str">
        <f t="shared" si="8"/>
        <v/>
      </c>
      <c r="M110" s="82"/>
      <c r="N110" s="94" t="str">
        <f>IF(OR(D110="",E110=""),"",IF(M110="",H110,IF(D110="Buy",MROUND(MAX(E110*(1-Settings!$K$8),M110*(1-Settings!$K$6)),Settings!$K$10),MROUND(MIN(E110*(1+Settings!$K$8),M110*(1+Settings!$K$6)),Settings!$K$10))))</f>
        <v/>
      </c>
      <c r="O110" s="95" t="str">
        <f t="shared" si="9"/>
        <v/>
      </c>
      <c r="P110" s="82"/>
      <c r="Q110" s="94" t="str">
        <f>IF(OR(D110="",P110=""),"",IF(D110="Buy",MROUND(P110*(1-Settings!$K$6),Settings!$K$10),MROUND(P110*(1+Settings!$K$6),Settings!$K$10)))</f>
        <v/>
      </c>
      <c r="R110" s="95" t="str">
        <f t="shared" si="10"/>
        <v/>
      </c>
      <c r="S110" s="82"/>
      <c r="T110" s="94" t="str">
        <f>IF(OR(D110="",S110=""),"",IF(D110="Buy",MROUND(S110*(1-Settings!$K$6),Settings!$K$10),MROUND(S110*(1+Settings!$K$6),Settings!$K$10)))</f>
        <v/>
      </c>
      <c r="U110" s="67"/>
      <c r="V110" s="211" t="str">
        <f t="shared" si="11"/>
        <v/>
      </c>
      <c r="W110" s="110"/>
      <c r="X110" s="211" t="str">
        <f t="shared" si="12"/>
        <v/>
      </c>
      <c r="Y110" s="211" t="str">
        <f t="shared" si="13"/>
        <v/>
      </c>
      <c r="Z110" s="82"/>
    </row>
    <row r="111" ht="20" customHeight="1" spans="1:26">
      <c r="A111" s="64">
        <v>98</v>
      </c>
      <c r="B111" s="65"/>
      <c r="C111" s="66"/>
      <c r="D111" s="67"/>
      <c r="E111" s="82"/>
      <c r="F111" s="82"/>
      <c r="G111" s="82"/>
      <c r="H111" s="82"/>
      <c r="I111" s="93" t="str">
        <f t="shared" si="7"/>
        <v/>
      </c>
      <c r="J111" s="82"/>
      <c r="K111" s="94" t="str">
        <f>IF(OR(D111="",E111=""),"",IF(J111="",G111,IF(D111="Buy",MROUND(MAX(E111*(1-Settings!$K$8),J111*(1-Settings!$K$6)),Settings!$K$10),MROUND(MIN(E111*(1+Settings!$K$8),J111*(1+Settings!$K$6)),Settings!$K$10))))</f>
        <v/>
      </c>
      <c r="L111" s="95" t="str">
        <f t="shared" si="8"/>
        <v/>
      </c>
      <c r="M111" s="82"/>
      <c r="N111" s="94" t="str">
        <f>IF(OR(D111="",E111=""),"",IF(M111="",H111,IF(D111="Buy",MROUND(MAX(E111*(1-Settings!$K$8),M111*(1-Settings!$K$6)),Settings!$K$10),MROUND(MIN(E111*(1+Settings!$K$8),M111*(1+Settings!$K$6)),Settings!$K$10))))</f>
        <v/>
      </c>
      <c r="O111" s="95" t="str">
        <f t="shared" si="9"/>
        <v/>
      </c>
      <c r="P111" s="82"/>
      <c r="Q111" s="94" t="str">
        <f>IF(OR(D111="",P111=""),"",IF(D111="Buy",MROUND(P111*(1-Settings!$K$6),Settings!$K$10),MROUND(P111*(1+Settings!$K$6),Settings!$K$10)))</f>
        <v/>
      </c>
      <c r="R111" s="95" t="str">
        <f t="shared" si="10"/>
        <v/>
      </c>
      <c r="S111" s="82"/>
      <c r="T111" s="94" t="str">
        <f>IF(OR(D111="",S111=""),"",IF(D111="Buy",MROUND(S111*(1-Settings!$K$6),Settings!$K$10),MROUND(S111*(1+Settings!$K$6),Settings!$K$10)))</f>
        <v/>
      </c>
      <c r="U111" s="67"/>
      <c r="V111" s="211" t="str">
        <f t="shared" si="11"/>
        <v/>
      </c>
      <c r="W111" s="110"/>
      <c r="X111" s="211" t="str">
        <f t="shared" si="12"/>
        <v/>
      </c>
      <c r="Y111" s="211" t="str">
        <f t="shared" si="13"/>
        <v/>
      </c>
      <c r="Z111" s="82"/>
    </row>
    <row r="112" ht="20" customHeight="1" spans="1:26">
      <c r="A112" s="64">
        <v>99</v>
      </c>
      <c r="B112" s="65"/>
      <c r="C112" s="66"/>
      <c r="D112" s="67"/>
      <c r="E112" s="82"/>
      <c r="F112" s="82"/>
      <c r="G112" s="82"/>
      <c r="H112" s="82"/>
      <c r="I112" s="93" t="str">
        <f t="shared" si="7"/>
        <v/>
      </c>
      <c r="J112" s="82"/>
      <c r="K112" s="94" t="str">
        <f>IF(OR(D112="",E112=""),"",IF(J112="",G112,IF(D112="Buy",MROUND(MAX(E112*(1-Settings!$K$8),J112*(1-Settings!$K$6)),Settings!$K$10),MROUND(MIN(E112*(1+Settings!$K$8),J112*(1+Settings!$K$6)),Settings!$K$10))))</f>
        <v/>
      </c>
      <c r="L112" s="95" t="str">
        <f t="shared" si="8"/>
        <v/>
      </c>
      <c r="M112" s="82"/>
      <c r="N112" s="94" t="str">
        <f>IF(OR(D112="",E112=""),"",IF(M112="",H112,IF(D112="Buy",MROUND(MAX(E112*(1-Settings!$K$8),M112*(1-Settings!$K$6)),Settings!$K$10),MROUND(MIN(E112*(1+Settings!$K$8),M112*(1+Settings!$K$6)),Settings!$K$10))))</f>
        <v/>
      </c>
      <c r="O112" s="95" t="str">
        <f t="shared" si="9"/>
        <v/>
      </c>
      <c r="P112" s="82"/>
      <c r="Q112" s="94" t="str">
        <f>IF(OR(D112="",P112=""),"",IF(D112="Buy",MROUND(P112*(1-Settings!$K$6),Settings!$K$10),MROUND(P112*(1+Settings!$K$6),Settings!$K$10)))</f>
        <v/>
      </c>
      <c r="R112" s="95" t="str">
        <f t="shared" si="10"/>
        <v/>
      </c>
      <c r="S112" s="82"/>
      <c r="T112" s="94" t="str">
        <f>IF(OR(D112="",S112=""),"",IF(D112="Buy",MROUND(S112*(1-Settings!$K$6),Settings!$K$10),MROUND(S112*(1+Settings!$K$6),Settings!$K$10)))</f>
        <v/>
      </c>
      <c r="U112" s="67"/>
      <c r="V112" s="211" t="str">
        <f t="shared" si="11"/>
        <v/>
      </c>
      <c r="W112" s="110"/>
      <c r="X112" s="211" t="str">
        <f t="shared" si="12"/>
        <v/>
      </c>
      <c r="Y112" s="211" t="str">
        <f t="shared" si="13"/>
        <v/>
      </c>
      <c r="Z112" s="82"/>
    </row>
    <row r="113" ht="20" customHeight="1" spans="1:26">
      <c r="A113" s="64">
        <v>100</v>
      </c>
      <c r="B113" s="65"/>
      <c r="C113" s="66"/>
      <c r="D113" s="67"/>
      <c r="E113" s="82"/>
      <c r="F113" s="82"/>
      <c r="G113" s="82"/>
      <c r="H113" s="82"/>
      <c r="I113" s="93" t="str">
        <f t="shared" si="7"/>
        <v/>
      </c>
      <c r="J113" s="82"/>
      <c r="K113" s="94" t="str">
        <f>IF(OR(D113="",E113=""),"",IF(J113="",G113,IF(D113="Buy",MROUND(MAX(E113*(1-Settings!$K$8),J113*(1-Settings!$K$6)),Settings!$K$10),MROUND(MIN(E113*(1+Settings!$K$8),J113*(1+Settings!$K$6)),Settings!$K$10))))</f>
        <v/>
      </c>
      <c r="L113" s="95" t="str">
        <f t="shared" si="8"/>
        <v/>
      </c>
      <c r="M113" s="82"/>
      <c r="N113" s="94" t="str">
        <f>IF(OR(D113="",E113=""),"",IF(M113="",H113,IF(D113="Buy",MROUND(MAX(E113*(1-Settings!$K$8),M113*(1-Settings!$K$6)),Settings!$K$10),MROUND(MIN(E113*(1+Settings!$K$8),M113*(1+Settings!$K$6)),Settings!$K$10))))</f>
        <v/>
      </c>
      <c r="O113" s="95" t="str">
        <f t="shared" si="9"/>
        <v/>
      </c>
      <c r="P113" s="82"/>
      <c r="Q113" s="94" t="str">
        <f>IF(OR(D113="",P113=""),"",IF(D113="Buy",MROUND(P113*(1-Settings!$K$6),Settings!$K$10),MROUND(P113*(1+Settings!$K$6),Settings!$K$10)))</f>
        <v/>
      </c>
      <c r="R113" s="95" t="str">
        <f t="shared" si="10"/>
        <v/>
      </c>
      <c r="S113" s="82"/>
      <c r="T113" s="94" t="str">
        <f>IF(OR(D113="",S113=""),"",IF(D113="Buy",MROUND(S113*(1-Settings!$K$6),Settings!$K$10),MROUND(S113*(1+Settings!$K$6),Settings!$K$10)))</f>
        <v/>
      </c>
      <c r="U113" s="67"/>
      <c r="V113" s="211" t="str">
        <f t="shared" si="11"/>
        <v/>
      </c>
      <c r="W113" s="110"/>
      <c r="X113" s="211" t="str">
        <f t="shared" si="12"/>
        <v/>
      </c>
      <c r="Y113" s="211" t="str">
        <f t="shared" si="13"/>
        <v/>
      </c>
      <c r="Z113" s="82"/>
    </row>
    <row r="114" ht="20" customHeight="1" spans="1:26">
      <c r="A114" s="64">
        <v>101</v>
      </c>
      <c r="B114" s="65"/>
      <c r="C114" s="66"/>
      <c r="D114" s="67"/>
      <c r="E114" s="82"/>
      <c r="F114" s="82"/>
      <c r="G114" s="82"/>
      <c r="H114" s="82"/>
      <c r="I114" s="93" t="str">
        <f t="shared" si="7"/>
        <v/>
      </c>
      <c r="J114" s="82"/>
      <c r="K114" s="94" t="str">
        <f>IF(OR(D114="",E114=""),"",IF(J114="",G114,IF(D114="Buy",MROUND(MAX(E114*(1-Settings!$K$8),J114*(1-Settings!$K$6)),Settings!$K$10),MROUND(MIN(E114*(1+Settings!$K$8),J114*(1+Settings!$K$6)),Settings!$K$10))))</f>
        <v/>
      </c>
      <c r="L114" s="95" t="str">
        <f t="shared" si="8"/>
        <v/>
      </c>
      <c r="M114" s="82"/>
      <c r="N114" s="94" t="str">
        <f>IF(OR(D114="",E114=""),"",IF(M114="",H114,IF(D114="Buy",MROUND(MAX(E114*(1-Settings!$K$8),M114*(1-Settings!$K$6)),Settings!$K$10),MROUND(MIN(E114*(1+Settings!$K$8),M114*(1+Settings!$K$6)),Settings!$K$10))))</f>
        <v/>
      </c>
      <c r="O114" s="95" t="str">
        <f t="shared" si="9"/>
        <v/>
      </c>
      <c r="P114" s="82"/>
      <c r="Q114" s="94" t="str">
        <f>IF(OR(D114="",P114=""),"",IF(D114="Buy",MROUND(P114*(1-Settings!$K$6),Settings!$K$10),MROUND(P114*(1+Settings!$K$6),Settings!$K$10)))</f>
        <v/>
      </c>
      <c r="R114" s="95" t="str">
        <f t="shared" si="10"/>
        <v/>
      </c>
      <c r="S114" s="82"/>
      <c r="T114" s="94" t="str">
        <f>IF(OR(D114="",S114=""),"",IF(D114="Buy",MROUND(S114*(1-Settings!$K$6),Settings!$K$10),MROUND(S114*(1+Settings!$K$6),Settings!$K$10)))</f>
        <v/>
      </c>
      <c r="U114" s="67"/>
      <c r="V114" s="211" t="str">
        <f t="shared" si="11"/>
        <v/>
      </c>
      <c r="W114" s="110"/>
      <c r="X114" s="211" t="str">
        <f t="shared" si="12"/>
        <v/>
      </c>
      <c r="Y114" s="211" t="str">
        <f t="shared" si="13"/>
        <v/>
      </c>
      <c r="Z114" s="82"/>
    </row>
    <row r="115" ht="20" customHeight="1" spans="1:26">
      <c r="A115" s="64">
        <v>102</v>
      </c>
      <c r="B115" s="65"/>
      <c r="C115" s="66"/>
      <c r="D115" s="67"/>
      <c r="E115" s="82"/>
      <c r="F115" s="82"/>
      <c r="G115" s="82"/>
      <c r="H115" s="82"/>
      <c r="I115" s="93" t="str">
        <f t="shared" si="7"/>
        <v/>
      </c>
      <c r="J115" s="82"/>
      <c r="K115" s="94" t="str">
        <f>IF(OR(D115="",E115=""),"",IF(J115="",G115,IF(D115="Buy",MROUND(MAX(E115*(1-Settings!$K$8),J115*(1-Settings!$K$6)),Settings!$K$10),MROUND(MIN(E115*(1+Settings!$K$8),J115*(1+Settings!$K$6)),Settings!$K$10))))</f>
        <v/>
      </c>
      <c r="L115" s="95" t="str">
        <f t="shared" si="8"/>
        <v/>
      </c>
      <c r="M115" s="82"/>
      <c r="N115" s="94" t="str">
        <f>IF(OR(D115="",E115=""),"",IF(M115="",H115,IF(D115="Buy",MROUND(MAX(E115*(1-Settings!$K$8),M115*(1-Settings!$K$6)),Settings!$K$10),MROUND(MIN(E115*(1+Settings!$K$8),M115*(1+Settings!$K$6)),Settings!$K$10))))</f>
        <v/>
      </c>
      <c r="O115" s="95" t="str">
        <f t="shared" si="9"/>
        <v/>
      </c>
      <c r="P115" s="82"/>
      <c r="Q115" s="94" t="str">
        <f>IF(OR(D115="",P115=""),"",IF(D115="Buy",MROUND(P115*(1-Settings!$K$6),Settings!$K$10),MROUND(P115*(1+Settings!$K$6),Settings!$K$10)))</f>
        <v/>
      </c>
      <c r="R115" s="95" t="str">
        <f t="shared" si="10"/>
        <v/>
      </c>
      <c r="S115" s="82"/>
      <c r="T115" s="94" t="str">
        <f>IF(OR(D115="",S115=""),"",IF(D115="Buy",MROUND(S115*(1-Settings!$K$6),Settings!$K$10),MROUND(S115*(1+Settings!$K$6),Settings!$K$10)))</f>
        <v/>
      </c>
      <c r="U115" s="67"/>
      <c r="V115" s="211" t="str">
        <f t="shared" si="11"/>
        <v/>
      </c>
      <c r="W115" s="110"/>
      <c r="X115" s="211" t="str">
        <f t="shared" si="12"/>
        <v/>
      </c>
      <c r="Y115" s="211" t="str">
        <f t="shared" si="13"/>
        <v/>
      </c>
      <c r="Z115" s="82"/>
    </row>
    <row r="116" ht="20" customHeight="1" spans="1:26">
      <c r="A116" s="64">
        <v>103</v>
      </c>
      <c r="B116" s="65"/>
      <c r="C116" s="66"/>
      <c r="D116" s="67"/>
      <c r="E116" s="82"/>
      <c r="F116" s="82"/>
      <c r="G116" s="82"/>
      <c r="H116" s="82"/>
      <c r="I116" s="93" t="str">
        <f t="shared" si="7"/>
        <v/>
      </c>
      <c r="J116" s="82"/>
      <c r="K116" s="94" t="str">
        <f>IF(OR(D116="",E116=""),"",IF(J116="",G116,IF(D116="Buy",MROUND(MAX(E116*(1-Settings!$K$8),J116*(1-Settings!$K$6)),Settings!$K$10),MROUND(MIN(E116*(1+Settings!$K$8),J116*(1+Settings!$K$6)),Settings!$K$10))))</f>
        <v/>
      </c>
      <c r="L116" s="95" t="str">
        <f t="shared" si="8"/>
        <v/>
      </c>
      <c r="M116" s="82"/>
      <c r="N116" s="94" t="str">
        <f>IF(OR(D116="",E116=""),"",IF(M116="",H116,IF(D116="Buy",MROUND(MAX(E116*(1-Settings!$K$8),M116*(1-Settings!$K$6)),Settings!$K$10),MROUND(MIN(E116*(1+Settings!$K$8),M116*(1+Settings!$K$6)),Settings!$K$10))))</f>
        <v/>
      </c>
      <c r="O116" s="95" t="str">
        <f t="shared" si="9"/>
        <v/>
      </c>
      <c r="P116" s="82"/>
      <c r="Q116" s="94" t="str">
        <f>IF(OR(D116="",P116=""),"",IF(D116="Buy",MROUND(P116*(1-Settings!$K$6),Settings!$K$10),MROUND(P116*(1+Settings!$K$6),Settings!$K$10)))</f>
        <v/>
      </c>
      <c r="R116" s="95" t="str">
        <f t="shared" si="10"/>
        <v/>
      </c>
      <c r="S116" s="82"/>
      <c r="T116" s="94" t="str">
        <f>IF(OR(D116="",S116=""),"",IF(D116="Buy",MROUND(S116*(1-Settings!$K$6),Settings!$K$10),MROUND(S116*(1+Settings!$K$6),Settings!$K$10)))</f>
        <v/>
      </c>
      <c r="U116" s="67"/>
      <c r="V116" s="211" t="str">
        <f t="shared" si="11"/>
        <v/>
      </c>
      <c r="W116" s="110"/>
      <c r="X116" s="211" t="str">
        <f t="shared" si="12"/>
        <v/>
      </c>
      <c r="Y116" s="211" t="str">
        <f t="shared" si="13"/>
        <v/>
      </c>
      <c r="Z116" s="82"/>
    </row>
    <row r="117" ht="20" customHeight="1" spans="1:26">
      <c r="A117" s="64">
        <v>104</v>
      </c>
      <c r="B117" s="65"/>
      <c r="C117" s="66"/>
      <c r="D117" s="67"/>
      <c r="E117" s="82"/>
      <c r="F117" s="82"/>
      <c r="G117" s="82"/>
      <c r="H117" s="82"/>
      <c r="I117" s="93" t="str">
        <f t="shared" si="7"/>
        <v/>
      </c>
      <c r="J117" s="82"/>
      <c r="K117" s="94" t="str">
        <f>IF(OR(D117="",E117=""),"",IF(J117="",G117,IF(D117="Buy",MROUND(MAX(E117*(1-Settings!$K$8),J117*(1-Settings!$K$6)),Settings!$K$10),MROUND(MIN(E117*(1+Settings!$K$8),J117*(1+Settings!$K$6)),Settings!$K$10))))</f>
        <v/>
      </c>
      <c r="L117" s="95" t="str">
        <f t="shared" si="8"/>
        <v/>
      </c>
      <c r="M117" s="82"/>
      <c r="N117" s="94" t="str">
        <f>IF(OR(D117="",E117=""),"",IF(M117="",H117,IF(D117="Buy",MROUND(MAX(E117*(1-Settings!$K$8),M117*(1-Settings!$K$6)),Settings!$K$10),MROUND(MIN(E117*(1+Settings!$K$8),M117*(1+Settings!$K$6)),Settings!$K$10))))</f>
        <v/>
      </c>
      <c r="O117" s="95" t="str">
        <f t="shared" si="9"/>
        <v/>
      </c>
      <c r="P117" s="82"/>
      <c r="Q117" s="94" t="str">
        <f>IF(OR(D117="",P117=""),"",IF(D117="Buy",MROUND(P117*(1-Settings!$K$6),Settings!$K$10),MROUND(P117*(1+Settings!$K$6),Settings!$K$10)))</f>
        <v/>
      </c>
      <c r="R117" s="95" t="str">
        <f t="shared" si="10"/>
        <v/>
      </c>
      <c r="S117" s="82"/>
      <c r="T117" s="94" t="str">
        <f>IF(OR(D117="",S117=""),"",IF(D117="Buy",MROUND(S117*(1-Settings!$K$6),Settings!$K$10),MROUND(S117*(1+Settings!$K$6),Settings!$K$10)))</f>
        <v/>
      </c>
      <c r="U117" s="67"/>
      <c r="V117" s="211" t="str">
        <f t="shared" si="11"/>
        <v/>
      </c>
      <c r="W117" s="110"/>
      <c r="X117" s="211" t="str">
        <f t="shared" si="12"/>
        <v/>
      </c>
      <c r="Y117" s="211" t="str">
        <f t="shared" si="13"/>
        <v/>
      </c>
      <c r="Z117" s="82"/>
    </row>
    <row r="118" ht="20" customHeight="1" spans="1:26">
      <c r="A118" s="64">
        <v>105</v>
      </c>
      <c r="B118" s="65"/>
      <c r="C118" s="66"/>
      <c r="D118" s="67"/>
      <c r="E118" s="82"/>
      <c r="F118" s="82"/>
      <c r="G118" s="82"/>
      <c r="H118" s="82"/>
      <c r="I118" s="93" t="str">
        <f t="shared" si="7"/>
        <v/>
      </c>
      <c r="J118" s="82"/>
      <c r="K118" s="94" t="str">
        <f>IF(OR(D118="",E118=""),"",IF(J118="",G118,IF(D118="Buy",MROUND(MAX(E118*(1-Settings!$K$8),J118*(1-Settings!$K$6)),Settings!$K$10),MROUND(MIN(E118*(1+Settings!$K$8),J118*(1+Settings!$K$6)),Settings!$K$10))))</f>
        <v/>
      </c>
      <c r="L118" s="95" t="str">
        <f t="shared" si="8"/>
        <v/>
      </c>
      <c r="M118" s="82"/>
      <c r="N118" s="94" t="str">
        <f>IF(OR(D118="",E118=""),"",IF(M118="",H118,IF(D118="Buy",MROUND(MAX(E118*(1-Settings!$K$8),M118*(1-Settings!$K$6)),Settings!$K$10),MROUND(MIN(E118*(1+Settings!$K$8),M118*(1+Settings!$K$6)),Settings!$K$10))))</f>
        <v/>
      </c>
      <c r="O118" s="95" t="str">
        <f t="shared" si="9"/>
        <v/>
      </c>
      <c r="P118" s="82"/>
      <c r="Q118" s="94" t="str">
        <f>IF(OR(D118="",P118=""),"",IF(D118="Buy",MROUND(P118*(1-Settings!$K$6),Settings!$K$10),MROUND(P118*(1+Settings!$K$6),Settings!$K$10)))</f>
        <v/>
      </c>
      <c r="R118" s="95" t="str">
        <f t="shared" si="10"/>
        <v/>
      </c>
      <c r="S118" s="82"/>
      <c r="T118" s="94" t="str">
        <f>IF(OR(D118="",S118=""),"",IF(D118="Buy",MROUND(S118*(1-Settings!$K$6),Settings!$K$10),MROUND(S118*(1+Settings!$K$6),Settings!$K$10)))</f>
        <v/>
      </c>
      <c r="U118" s="67"/>
      <c r="V118" s="211" t="str">
        <f t="shared" si="11"/>
        <v/>
      </c>
      <c r="W118" s="110"/>
      <c r="X118" s="211" t="str">
        <f t="shared" si="12"/>
        <v/>
      </c>
      <c r="Y118" s="211" t="str">
        <f t="shared" si="13"/>
        <v/>
      </c>
      <c r="Z118" s="82"/>
    </row>
    <row r="119" ht="20" customHeight="1" spans="1:26">
      <c r="A119" s="64">
        <v>106</v>
      </c>
      <c r="B119" s="65"/>
      <c r="C119" s="66"/>
      <c r="D119" s="67"/>
      <c r="E119" s="82"/>
      <c r="F119" s="82"/>
      <c r="G119" s="82"/>
      <c r="H119" s="82"/>
      <c r="I119" s="93" t="str">
        <f t="shared" si="7"/>
        <v/>
      </c>
      <c r="J119" s="82"/>
      <c r="K119" s="94" t="str">
        <f>IF(OR(D119="",E119=""),"",IF(J119="",G119,IF(D119="Buy",MROUND(MAX(E119*(1-Settings!$K$8),J119*(1-Settings!$K$6)),Settings!$K$10),MROUND(MIN(E119*(1+Settings!$K$8),J119*(1+Settings!$K$6)),Settings!$K$10))))</f>
        <v/>
      </c>
      <c r="L119" s="95" t="str">
        <f t="shared" si="8"/>
        <v/>
      </c>
      <c r="M119" s="82"/>
      <c r="N119" s="94" t="str">
        <f>IF(OR(D119="",E119=""),"",IF(M119="",H119,IF(D119="Buy",MROUND(MAX(E119*(1-Settings!$K$8),M119*(1-Settings!$K$6)),Settings!$K$10),MROUND(MIN(E119*(1+Settings!$K$8),M119*(1+Settings!$K$6)),Settings!$K$10))))</f>
        <v/>
      </c>
      <c r="O119" s="95" t="str">
        <f t="shared" si="9"/>
        <v/>
      </c>
      <c r="P119" s="82"/>
      <c r="Q119" s="94" t="str">
        <f>IF(OR(D119="",P119=""),"",IF(D119="Buy",MROUND(P119*(1-Settings!$K$6),Settings!$K$10),MROUND(P119*(1+Settings!$K$6),Settings!$K$10)))</f>
        <v/>
      </c>
      <c r="R119" s="95" t="str">
        <f t="shared" si="10"/>
        <v/>
      </c>
      <c r="S119" s="82"/>
      <c r="T119" s="94" t="str">
        <f>IF(OR(D119="",S119=""),"",IF(D119="Buy",MROUND(S119*(1-Settings!$K$6),Settings!$K$10),MROUND(S119*(1+Settings!$K$6),Settings!$K$10)))</f>
        <v/>
      </c>
      <c r="U119" s="67"/>
      <c r="V119" s="211" t="str">
        <f t="shared" si="11"/>
        <v/>
      </c>
      <c r="W119" s="110"/>
      <c r="X119" s="211" t="str">
        <f t="shared" si="12"/>
        <v/>
      </c>
      <c r="Y119" s="211" t="str">
        <f t="shared" si="13"/>
        <v/>
      </c>
      <c r="Z119" s="82"/>
    </row>
    <row r="120" ht="20" customHeight="1" spans="1:26">
      <c r="A120" s="64">
        <v>107</v>
      </c>
      <c r="B120" s="65"/>
      <c r="C120" s="66"/>
      <c r="D120" s="67"/>
      <c r="E120" s="82"/>
      <c r="F120" s="82"/>
      <c r="G120" s="82"/>
      <c r="H120" s="82"/>
      <c r="I120" s="93" t="str">
        <f t="shared" si="7"/>
        <v/>
      </c>
      <c r="J120" s="82"/>
      <c r="K120" s="94" t="str">
        <f>IF(OR(D120="",E120=""),"",IF(J120="",G120,IF(D120="Buy",MROUND(MAX(E120*(1-Settings!$K$8),J120*(1-Settings!$K$6)),Settings!$K$10),MROUND(MIN(E120*(1+Settings!$K$8),J120*(1+Settings!$K$6)),Settings!$K$10))))</f>
        <v/>
      </c>
      <c r="L120" s="95" t="str">
        <f t="shared" si="8"/>
        <v/>
      </c>
      <c r="M120" s="82"/>
      <c r="N120" s="94" t="str">
        <f>IF(OR(D120="",E120=""),"",IF(M120="",H120,IF(D120="Buy",MROUND(MAX(E120*(1-Settings!$K$8),M120*(1-Settings!$K$6)),Settings!$K$10),MROUND(MIN(E120*(1+Settings!$K$8),M120*(1+Settings!$K$6)),Settings!$K$10))))</f>
        <v/>
      </c>
      <c r="O120" s="95" t="str">
        <f t="shared" si="9"/>
        <v/>
      </c>
      <c r="P120" s="82"/>
      <c r="Q120" s="94" t="str">
        <f>IF(OR(D120="",P120=""),"",IF(D120="Buy",MROUND(P120*(1-Settings!$K$6),Settings!$K$10),MROUND(P120*(1+Settings!$K$6),Settings!$K$10)))</f>
        <v/>
      </c>
      <c r="R120" s="95" t="str">
        <f t="shared" si="10"/>
        <v/>
      </c>
      <c r="S120" s="82"/>
      <c r="T120" s="94" t="str">
        <f>IF(OR(D120="",S120=""),"",IF(D120="Buy",MROUND(S120*(1-Settings!$K$6),Settings!$K$10),MROUND(S120*(1+Settings!$K$6),Settings!$K$10)))</f>
        <v/>
      </c>
      <c r="U120" s="67"/>
      <c r="V120" s="211" t="str">
        <f t="shared" si="11"/>
        <v/>
      </c>
      <c r="W120" s="110"/>
      <c r="X120" s="211" t="str">
        <f t="shared" si="12"/>
        <v/>
      </c>
      <c r="Y120" s="211" t="str">
        <f t="shared" si="13"/>
        <v/>
      </c>
      <c r="Z120" s="82"/>
    </row>
    <row r="121" ht="20" customHeight="1" spans="1:26">
      <c r="A121" s="64">
        <v>108</v>
      </c>
      <c r="B121" s="65"/>
      <c r="C121" s="66"/>
      <c r="D121" s="67"/>
      <c r="E121" s="82"/>
      <c r="F121" s="82"/>
      <c r="G121" s="82"/>
      <c r="H121" s="82"/>
      <c r="I121" s="93" t="str">
        <f t="shared" si="7"/>
        <v/>
      </c>
      <c r="J121" s="82"/>
      <c r="K121" s="94" t="str">
        <f>IF(OR(D121="",E121=""),"",IF(J121="",G121,IF(D121="Buy",MROUND(MAX(E121*(1-Settings!$K$8),J121*(1-Settings!$K$6)),Settings!$K$10),MROUND(MIN(E121*(1+Settings!$K$8),J121*(1+Settings!$K$6)),Settings!$K$10))))</f>
        <v/>
      </c>
      <c r="L121" s="95" t="str">
        <f t="shared" si="8"/>
        <v/>
      </c>
      <c r="M121" s="82"/>
      <c r="N121" s="94" t="str">
        <f>IF(OR(D121="",E121=""),"",IF(M121="",H121,IF(D121="Buy",MROUND(MAX(E121*(1-Settings!$K$8),M121*(1-Settings!$K$6)),Settings!$K$10),MROUND(MIN(E121*(1+Settings!$K$8),M121*(1+Settings!$K$6)),Settings!$K$10))))</f>
        <v/>
      </c>
      <c r="O121" s="95" t="str">
        <f t="shared" si="9"/>
        <v/>
      </c>
      <c r="P121" s="82"/>
      <c r="Q121" s="94" t="str">
        <f>IF(OR(D121="",P121=""),"",IF(D121="Buy",MROUND(P121*(1-Settings!$K$6),Settings!$K$10),MROUND(P121*(1+Settings!$K$6),Settings!$K$10)))</f>
        <v/>
      </c>
      <c r="R121" s="95" t="str">
        <f t="shared" si="10"/>
        <v/>
      </c>
      <c r="S121" s="82"/>
      <c r="T121" s="94" t="str">
        <f>IF(OR(D121="",S121=""),"",IF(D121="Buy",MROUND(S121*(1-Settings!$K$6),Settings!$K$10),MROUND(S121*(1+Settings!$K$6),Settings!$K$10)))</f>
        <v/>
      </c>
      <c r="U121" s="67"/>
      <c r="V121" s="211" t="str">
        <f t="shared" si="11"/>
        <v/>
      </c>
      <c r="W121" s="110"/>
      <c r="X121" s="211" t="str">
        <f t="shared" si="12"/>
        <v/>
      </c>
      <c r="Y121" s="211" t="str">
        <f t="shared" si="13"/>
        <v/>
      </c>
      <c r="Z121" s="82"/>
    </row>
    <row r="122" ht="20" customHeight="1" spans="1:26">
      <c r="A122" s="64">
        <v>109</v>
      </c>
      <c r="B122" s="65"/>
      <c r="C122" s="66"/>
      <c r="D122" s="67"/>
      <c r="E122" s="82"/>
      <c r="F122" s="82"/>
      <c r="G122" s="82"/>
      <c r="H122" s="82"/>
      <c r="I122" s="93" t="str">
        <f t="shared" si="7"/>
        <v/>
      </c>
      <c r="J122" s="82"/>
      <c r="K122" s="94" t="str">
        <f>IF(OR(D122="",E122=""),"",IF(J122="",G122,IF(D122="Buy",MROUND(MAX(E122*(1-Settings!$K$8),J122*(1-Settings!$K$6)),Settings!$K$10),MROUND(MIN(E122*(1+Settings!$K$8),J122*(1+Settings!$K$6)),Settings!$K$10))))</f>
        <v/>
      </c>
      <c r="L122" s="95" t="str">
        <f t="shared" si="8"/>
        <v/>
      </c>
      <c r="M122" s="82"/>
      <c r="N122" s="94" t="str">
        <f>IF(OR(D122="",E122=""),"",IF(M122="",H122,IF(D122="Buy",MROUND(MAX(E122*(1-Settings!$K$8),M122*(1-Settings!$K$6)),Settings!$K$10),MROUND(MIN(E122*(1+Settings!$K$8),M122*(1+Settings!$K$6)),Settings!$K$10))))</f>
        <v/>
      </c>
      <c r="O122" s="95" t="str">
        <f t="shared" si="9"/>
        <v/>
      </c>
      <c r="P122" s="82"/>
      <c r="Q122" s="94" t="str">
        <f>IF(OR(D122="",P122=""),"",IF(D122="Buy",MROUND(P122*(1-Settings!$K$6),Settings!$K$10),MROUND(P122*(1+Settings!$K$6),Settings!$K$10)))</f>
        <v/>
      </c>
      <c r="R122" s="95" t="str">
        <f t="shared" si="10"/>
        <v/>
      </c>
      <c r="S122" s="82"/>
      <c r="T122" s="94" t="str">
        <f>IF(OR(D122="",S122=""),"",IF(D122="Buy",MROUND(S122*(1-Settings!$K$6),Settings!$K$10),MROUND(S122*(1+Settings!$K$6),Settings!$K$10)))</f>
        <v/>
      </c>
      <c r="U122" s="67"/>
      <c r="V122" s="211" t="str">
        <f t="shared" si="11"/>
        <v/>
      </c>
      <c r="W122" s="110"/>
      <c r="X122" s="211" t="str">
        <f t="shared" si="12"/>
        <v/>
      </c>
      <c r="Y122" s="211" t="str">
        <f t="shared" si="13"/>
        <v/>
      </c>
      <c r="Z122" s="82"/>
    </row>
    <row r="123" ht="20" customHeight="1" spans="1:26">
      <c r="A123" s="64">
        <v>110</v>
      </c>
      <c r="B123" s="65"/>
      <c r="C123" s="66"/>
      <c r="D123" s="67"/>
      <c r="E123" s="82"/>
      <c r="F123" s="82"/>
      <c r="G123" s="82"/>
      <c r="H123" s="82"/>
      <c r="I123" s="93" t="str">
        <f t="shared" si="7"/>
        <v/>
      </c>
      <c r="J123" s="82"/>
      <c r="K123" s="94" t="str">
        <f>IF(OR(D123="",E123=""),"",IF(J123="",G123,IF(D123="Buy",MROUND(MAX(E123*(1-Settings!$K$8),J123*(1-Settings!$K$6)),Settings!$K$10),MROUND(MIN(E123*(1+Settings!$K$8),J123*(1+Settings!$K$6)),Settings!$K$10))))</f>
        <v/>
      </c>
      <c r="L123" s="95" t="str">
        <f t="shared" si="8"/>
        <v/>
      </c>
      <c r="M123" s="82"/>
      <c r="N123" s="94" t="str">
        <f>IF(OR(D123="",E123=""),"",IF(M123="",H123,IF(D123="Buy",MROUND(MAX(E123*(1-Settings!$K$8),M123*(1-Settings!$K$6)),Settings!$K$10),MROUND(MIN(E123*(1+Settings!$K$8),M123*(1+Settings!$K$6)),Settings!$K$10))))</f>
        <v/>
      </c>
      <c r="O123" s="95" t="str">
        <f t="shared" si="9"/>
        <v/>
      </c>
      <c r="P123" s="82"/>
      <c r="Q123" s="94" t="str">
        <f>IF(OR(D123="",P123=""),"",IF(D123="Buy",MROUND(P123*(1-Settings!$K$6),Settings!$K$10),MROUND(P123*(1+Settings!$K$6),Settings!$K$10)))</f>
        <v/>
      </c>
      <c r="R123" s="95" t="str">
        <f t="shared" si="10"/>
        <v/>
      </c>
      <c r="S123" s="82"/>
      <c r="T123" s="94" t="str">
        <f>IF(OR(D123="",S123=""),"",IF(D123="Buy",MROUND(S123*(1-Settings!$K$6),Settings!$K$10),MROUND(S123*(1+Settings!$K$6),Settings!$K$10)))</f>
        <v/>
      </c>
      <c r="U123" s="67"/>
      <c r="V123" s="211" t="str">
        <f t="shared" si="11"/>
        <v/>
      </c>
      <c r="W123" s="110"/>
      <c r="X123" s="211" t="str">
        <f t="shared" si="12"/>
        <v/>
      </c>
      <c r="Y123" s="211" t="str">
        <f t="shared" si="13"/>
        <v/>
      </c>
      <c r="Z123" s="82"/>
    </row>
    <row r="124" ht="20" customHeight="1" spans="1:26">
      <c r="A124" s="64">
        <v>111</v>
      </c>
      <c r="B124" s="65"/>
      <c r="C124" s="66"/>
      <c r="D124" s="67"/>
      <c r="E124" s="82"/>
      <c r="F124" s="82"/>
      <c r="G124" s="82"/>
      <c r="H124" s="82"/>
      <c r="I124" s="93" t="str">
        <f t="shared" si="7"/>
        <v/>
      </c>
      <c r="J124" s="82"/>
      <c r="K124" s="94" t="str">
        <f>IF(OR(D124="",E124=""),"",IF(J124="",G124,IF(D124="Buy",MROUND(MAX(E124*(1-Settings!$K$8),J124*(1-Settings!$K$6)),Settings!$K$10),MROUND(MIN(E124*(1+Settings!$K$8),J124*(1+Settings!$K$6)),Settings!$K$10))))</f>
        <v/>
      </c>
      <c r="L124" s="95" t="str">
        <f t="shared" si="8"/>
        <v/>
      </c>
      <c r="M124" s="82"/>
      <c r="N124" s="94" t="str">
        <f>IF(OR(D124="",E124=""),"",IF(M124="",H124,IF(D124="Buy",MROUND(MAX(E124*(1-Settings!$K$8),M124*(1-Settings!$K$6)),Settings!$K$10),MROUND(MIN(E124*(1+Settings!$K$8),M124*(1+Settings!$K$6)),Settings!$K$10))))</f>
        <v/>
      </c>
      <c r="O124" s="95" t="str">
        <f t="shared" si="9"/>
        <v/>
      </c>
      <c r="P124" s="82"/>
      <c r="Q124" s="94" t="str">
        <f>IF(OR(D124="",P124=""),"",IF(D124="Buy",MROUND(P124*(1-Settings!$K$6),Settings!$K$10),MROUND(P124*(1+Settings!$K$6),Settings!$K$10)))</f>
        <v/>
      </c>
      <c r="R124" s="95" t="str">
        <f t="shared" si="10"/>
        <v/>
      </c>
      <c r="S124" s="82"/>
      <c r="T124" s="94" t="str">
        <f>IF(OR(D124="",S124=""),"",IF(D124="Buy",MROUND(S124*(1-Settings!$K$6),Settings!$K$10),MROUND(S124*(1+Settings!$K$6),Settings!$K$10)))</f>
        <v/>
      </c>
      <c r="U124" s="67"/>
      <c r="V124" s="211" t="str">
        <f t="shared" si="11"/>
        <v/>
      </c>
      <c r="W124" s="110"/>
      <c r="X124" s="211" t="str">
        <f t="shared" si="12"/>
        <v/>
      </c>
      <c r="Y124" s="211" t="str">
        <f t="shared" si="13"/>
        <v/>
      </c>
      <c r="Z124" s="82"/>
    </row>
    <row r="125" ht="20" customHeight="1" spans="1:26">
      <c r="A125" s="64">
        <v>112</v>
      </c>
      <c r="B125" s="65"/>
      <c r="C125" s="66"/>
      <c r="D125" s="67"/>
      <c r="E125" s="82"/>
      <c r="F125" s="82"/>
      <c r="G125" s="82"/>
      <c r="H125" s="82"/>
      <c r="I125" s="93" t="str">
        <f t="shared" si="7"/>
        <v/>
      </c>
      <c r="J125" s="82"/>
      <c r="K125" s="94" t="str">
        <f>IF(OR(D125="",E125=""),"",IF(J125="",G125,IF(D125="Buy",MROUND(MAX(E125*(1-Settings!$K$8),J125*(1-Settings!$K$6)),Settings!$K$10),MROUND(MIN(E125*(1+Settings!$K$8),J125*(1+Settings!$K$6)),Settings!$K$10))))</f>
        <v/>
      </c>
      <c r="L125" s="95" t="str">
        <f t="shared" si="8"/>
        <v/>
      </c>
      <c r="M125" s="82"/>
      <c r="N125" s="94" t="str">
        <f>IF(OR(D125="",E125=""),"",IF(M125="",H125,IF(D125="Buy",MROUND(MAX(E125*(1-Settings!$K$8),M125*(1-Settings!$K$6)),Settings!$K$10),MROUND(MIN(E125*(1+Settings!$K$8),M125*(1+Settings!$K$6)),Settings!$K$10))))</f>
        <v/>
      </c>
      <c r="O125" s="95" t="str">
        <f t="shared" si="9"/>
        <v/>
      </c>
      <c r="P125" s="82"/>
      <c r="Q125" s="94" t="str">
        <f>IF(OR(D125="",P125=""),"",IF(D125="Buy",MROUND(P125*(1-Settings!$K$6),Settings!$K$10),MROUND(P125*(1+Settings!$K$6),Settings!$K$10)))</f>
        <v/>
      </c>
      <c r="R125" s="95" t="str">
        <f t="shared" si="10"/>
        <v/>
      </c>
      <c r="S125" s="82"/>
      <c r="T125" s="94" t="str">
        <f>IF(OR(D125="",S125=""),"",IF(D125="Buy",MROUND(S125*(1-Settings!$K$6),Settings!$K$10),MROUND(S125*(1+Settings!$K$6),Settings!$K$10)))</f>
        <v/>
      </c>
      <c r="U125" s="67"/>
      <c r="V125" s="211" t="str">
        <f t="shared" si="11"/>
        <v/>
      </c>
      <c r="W125" s="110"/>
      <c r="X125" s="211" t="str">
        <f t="shared" si="12"/>
        <v/>
      </c>
      <c r="Y125" s="211" t="str">
        <f t="shared" si="13"/>
        <v/>
      </c>
      <c r="Z125" s="82"/>
    </row>
    <row r="126" ht="20" customHeight="1" spans="1:26">
      <c r="A126" s="64">
        <v>113</v>
      </c>
      <c r="B126" s="65"/>
      <c r="C126" s="66"/>
      <c r="D126" s="67"/>
      <c r="E126" s="82"/>
      <c r="F126" s="82"/>
      <c r="G126" s="82"/>
      <c r="H126" s="82"/>
      <c r="I126" s="93" t="str">
        <f t="shared" si="7"/>
        <v/>
      </c>
      <c r="J126" s="82"/>
      <c r="K126" s="94" t="str">
        <f>IF(OR(D126="",E126=""),"",IF(J126="",G126,IF(D126="Buy",MROUND(MAX(E126*(1-Settings!$K$8),J126*(1-Settings!$K$6)),Settings!$K$10),MROUND(MIN(E126*(1+Settings!$K$8),J126*(1+Settings!$K$6)),Settings!$K$10))))</f>
        <v/>
      </c>
      <c r="L126" s="95" t="str">
        <f t="shared" si="8"/>
        <v/>
      </c>
      <c r="M126" s="82"/>
      <c r="N126" s="94" t="str">
        <f>IF(OR(D126="",E126=""),"",IF(M126="",H126,IF(D126="Buy",MROUND(MAX(E126*(1-Settings!$K$8),M126*(1-Settings!$K$6)),Settings!$K$10),MROUND(MIN(E126*(1+Settings!$K$8),M126*(1+Settings!$K$6)),Settings!$K$10))))</f>
        <v/>
      </c>
      <c r="O126" s="95" t="str">
        <f t="shared" si="9"/>
        <v/>
      </c>
      <c r="P126" s="82"/>
      <c r="Q126" s="94" t="str">
        <f>IF(OR(D126="",P126=""),"",IF(D126="Buy",MROUND(P126*(1-Settings!$K$6),Settings!$K$10),MROUND(P126*(1+Settings!$K$6),Settings!$K$10)))</f>
        <v/>
      </c>
      <c r="R126" s="95" t="str">
        <f t="shared" si="10"/>
        <v/>
      </c>
      <c r="S126" s="82"/>
      <c r="T126" s="94" t="str">
        <f>IF(OR(D126="",S126=""),"",IF(D126="Buy",MROUND(S126*(1-Settings!$K$6),Settings!$K$10),MROUND(S126*(1+Settings!$K$6),Settings!$K$10)))</f>
        <v/>
      </c>
      <c r="U126" s="67"/>
      <c r="V126" s="211" t="str">
        <f t="shared" si="11"/>
        <v/>
      </c>
      <c r="W126" s="110"/>
      <c r="X126" s="211" t="str">
        <f t="shared" si="12"/>
        <v/>
      </c>
      <c r="Y126" s="211" t="str">
        <f t="shared" si="13"/>
        <v/>
      </c>
      <c r="Z126" s="82"/>
    </row>
    <row r="127" ht="20" customHeight="1" spans="1:26">
      <c r="A127" s="64">
        <v>114</v>
      </c>
      <c r="B127" s="65"/>
      <c r="C127" s="66"/>
      <c r="D127" s="67"/>
      <c r="E127" s="82"/>
      <c r="F127" s="82"/>
      <c r="G127" s="82"/>
      <c r="H127" s="82"/>
      <c r="I127" s="93" t="str">
        <f t="shared" si="7"/>
        <v/>
      </c>
      <c r="J127" s="82"/>
      <c r="K127" s="94" t="str">
        <f>IF(OR(D127="",E127=""),"",IF(J127="",G127,IF(D127="Buy",MROUND(MAX(E127*(1-Settings!$K$8),J127*(1-Settings!$K$6)),Settings!$K$10),MROUND(MIN(E127*(1+Settings!$K$8),J127*(1+Settings!$K$6)),Settings!$K$10))))</f>
        <v/>
      </c>
      <c r="L127" s="95" t="str">
        <f t="shared" si="8"/>
        <v/>
      </c>
      <c r="M127" s="82"/>
      <c r="N127" s="94" t="str">
        <f>IF(OR(D127="",E127=""),"",IF(M127="",H127,IF(D127="Buy",MROUND(MAX(E127*(1-Settings!$K$8),M127*(1-Settings!$K$6)),Settings!$K$10),MROUND(MIN(E127*(1+Settings!$K$8),M127*(1+Settings!$K$6)),Settings!$K$10))))</f>
        <v/>
      </c>
      <c r="O127" s="95" t="str">
        <f t="shared" si="9"/>
        <v/>
      </c>
      <c r="P127" s="82"/>
      <c r="Q127" s="94" t="str">
        <f>IF(OR(D127="",P127=""),"",IF(D127="Buy",MROUND(P127*(1-Settings!$K$6),Settings!$K$10),MROUND(P127*(1+Settings!$K$6),Settings!$K$10)))</f>
        <v/>
      </c>
      <c r="R127" s="95" t="str">
        <f t="shared" si="10"/>
        <v/>
      </c>
      <c r="S127" s="82"/>
      <c r="T127" s="94" t="str">
        <f>IF(OR(D127="",S127=""),"",IF(D127="Buy",MROUND(S127*(1-Settings!$K$6),Settings!$K$10),MROUND(S127*(1+Settings!$K$6),Settings!$K$10)))</f>
        <v/>
      </c>
      <c r="U127" s="67"/>
      <c r="V127" s="211" t="str">
        <f t="shared" si="11"/>
        <v/>
      </c>
      <c r="W127" s="110"/>
      <c r="X127" s="211" t="str">
        <f t="shared" si="12"/>
        <v/>
      </c>
      <c r="Y127" s="211" t="str">
        <f t="shared" si="13"/>
        <v/>
      </c>
      <c r="Z127" s="82"/>
    </row>
    <row r="128" ht="20" customHeight="1" spans="1:26">
      <c r="A128" s="64">
        <v>115</v>
      </c>
      <c r="B128" s="65"/>
      <c r="C128" s="66"/>
      <c r="D128" s="67"/>
      <c r="E128" s="82"/>
      <c r="F128" s="82"/>
      <c r="G128" s="82"/>
      <c r="H128" s="82"/>
      <c r="I128" s="93" t="str">
        <f t="shared" si="7"/>
        <v/>
      </c>
      <c r="J128" s="82"/>
      <c r="K128" s="94" t="str">
        <f>IF(OR(D128="",E128=""),"",IF(J128="",G128,IF(D128="Buy",MROUND(MAX(E128*(1-Settings!$K$8),J128*(1-Settings!$K$6)),Settings!$K$10),MROUND(MIN(E128*(1+Settings!$K$8),J128*(1+Settings!$K$6)),Settings!$K$10))))</f>
        <v/>
      </c>
      <c r="L128" s="95" t="str">
        <f t="shared" si="8"/>
        <v/>
      </c>
      <c r="M128" s="82"/>
      <c r="N128" s="94" t="str">
        <f>IF(OR(D128="",E128=""),"",IF(M128="",H128,IF(D128="Buy",MROUND(MAX(E128*(1-Settings!$K$8),M128*(1-Settings!$K$6)),Settings!$K$10),MROUND(MIN(E128*(1+Settings!$K$8),M128*(1+Settings!$K$6)),Settings!$K$10))))</f>
        <v/>
      </c>
      <c r="O128" s="95" t="str">
        <f t="shared" si="9"/>
        <v/>
      </c>
      <c r="P128" s="82"/>
      <c r="Q128" s="94" t="str">
        <f>IF(OR(D128="",P128=""),"",IF(D128="Buy",MROUND(P128*(1-Settings!$K$6),Settings!$K$10),MROUND(P128*(1+Settings!$K$6),Settings!$K$10)))</f>
        <v/>
      </c>
      <c r="R128" s="95" t="str">
        <f t="shared" si="10"/>
        <v/>
      </c>
      <c r="S128" s="82"/>
      <c r="T128" s="94" t="str">
        <f>IF(OR(D128="",S128=""),"",IF(D128="Buy",MROUND(S128*(1-Settings!$K$6),Settings!$K$10),MROUND(S128*(1+Settings!$K$6),Settings!$K$10)))</f>
        <v/>
      </c>
      <c r="U128" s="67"/>
      <c r="V128" s="211" t="str">
        <f t="shared" si="11"/>
        <v/>
      </c>
      <c r="W128" s="110"/>
      <c r="X128" s="211" t="str">
        <f t="shared" si="12"/>
        <v/>
      </c>
      <c r="Y128" s="211" t="str">
        <f t="shared" si="13"/>
        <v/>
      </c>
      <c r="Z128" s="82"/>
    </row>
    <row r="129" ht="20" customHeight="1" spans="1:26">
      <c r="A129" s="64">
        <v>116</v>
      </c>
      <c r="B129" s="65"/>
      <c r="C129" s="66"/>
      <c r="D129" s="67"/>
      <c r="E129" s="82"/>
      <c r="F129" s="82"/>
      <c r="G129" s="82"/>
      <c r="H129" s="82"/>
      <c r="I129" s="93" t="str">
        <f t="shared" si="7"/>
        <v/>
      </c>
      <c r="J129" s="82"/>
      <c r="K129" s="94" t="str">
        <f>IF(OR(D129="",E129=""),"",IF(J129="",G129,IF(D129="Buy",MROUND(MAX(E129*(1-Settings!$K$8),J129*(1-Settings!$K$6)),Settings!$K$10),MROUND(MIN(E129*(1+Settings!$K$8),J129*(1+Settings!$K$6)),Settings!$K$10))))</f>
        <v/>
      </c>
      <c r="L129" s="95" t="str">
        <f t="shared" si="8"/>
        <v/>
      </c>
      <c r="M129" s="82"/>
      <c r="N129" s="94" t="str">
        <f>IF(OR(D129="",E129=""),"",IF(M129="",H129,IF(D129="Buy",MROUND(MAX(E129*(1-Settings!$K$8),M129*(1-Settings!$K$6)),Settings!$K$10),MROUND(MIN(E129*(1+Settings!$K$8),M129*(1+Settings!$K$6)),Settings!$K$10))))</f>
        <v/>
      </c>
      <c r="O129" s="95" t="str">
        <f t="shared" si="9"/>
        <v/>
      </c>
      <c r="P129" s="82"/>
      <c r="Q129" s="94" t="str">
        <f>IF(OR(D129="",P129=""),"",IF(D129="Buy",MROUND(P129*(1-Settings!$K$6),Settings!$K$10),MROUND(P129*(1+Settings!$K$6),Settings!$K$10)))</f>
        <v/>
      </c>
      <c r="R129" s="95" t="str">
        <f t="shared" si="10"/>
        <v/>
      </c>
      <c r="S129" s="82"/>
      <c r="T129" s="94" t="str">
        <f>IF(OR(D129="",S129=""),"",IF(D129="Buy",MROUND(S129*(1-Settings!$K$6),Settings!$K$10),MROUND(S129*(1+Settings!$K$6),Settings!$K$10)))</f>
        <v/>
      </c>
      <c r="U129" s="67"/>
      <c r="V129" s="211" t="str">
        <f t="shared" si="11"/>
        <v/>
      </c>
      <c r="W129" s="110"/>
      <c r="X129" s="211" t="str">
        <f t="shared" si="12"/>
        <v/>
      </c>
      <c r="Y129" s="211" t="str">
        <f t="shared" si="13"/>
        <v/>
      </c>
      <c r="Z129" s="82"/>
    </row>
    <row r="130" ht="20" customHeight="1" spans="1:26">
      <c r="A130" s="64">
        <v>117</v>
      </c>
      <c r="B130" s="65"/>
      <c r="C130" s="66"/>
      <c r="D130" s="67"/>
      <c r="E130" s="82"/>
      <c r="F130" s="82"/>
      <c r="G130" s="82"/>
      <c r="H130" s="82"/>
      <c r="I130" s="93" t="str">
        <f t="shared" si="7"/>
        <v/>
      </c>
      <c r="J130" s="82"/>
      <c r="K130" s="94" t="str">
        <f>IF(OR(D130="",E130=""),"",IF(J130="",G130,IF(D130="Buy",MROUND(MAX(E130*(1-Settings!$K$8),J130*(1-Settings!$K$6)),Settings!$K$10),MROUND(MIN(E130*(1+Settings!$K$8),J130*(1+Settings!$K$6)),Settings!$K$10))))</f>
        <v/>
      </c>
      <c r="L130" s="95" t="str">
        <f t="shared" si="8"/>
        <v/>
      </c>
      <c r="M130" s="82"/>
      <c r="N130" s="94" t="str">
        <f>IF(OR(D130="",E130=""),"",IF(M130="",H130,IF(D130="Buy",MROUND(MAX(E130*(1-Settings!$K$8),M130*(1-Settings!$K$6)),Settings!$K$10),MROUND(MIN(E130*(1+Settings!$K$8),M130*(1+Settings!$K$6)),Settings!$K$10))))</f>
        <v/>
      </c>
      <c r="O130" s="95" t="str">
        <f t="shared" si="9"/>
        <v/>
      </c>
      <c r="P130" s="82"/>
      <c r="Q130" s="94" t="str">
        <f>IF(OR(D130="",P130=""),"",IF(D130="Buy",MROUND(P130*(1-Settings!$K$6),Settings!$K$10),MROUND(P130*(1+Settings!$K$6),Settings!$K$10)))</f>
        <v/>
      </c>
      <c r="R130" s="95" t="str">
        <f t="shared" si="10"/>
        <v/>
      </c>
      <c r="S130" s="82"/>
      <c r="T130" s="94" t="str">
        <f>IF(OR(D130="",S130=""),"",IF(D130="Buy",MROUND(S130*(1-Settings!$K$6),Settings!$K$10),MROUND(S130*(1+Settings!$K$6),Settings!$K$10)))</f>
        <v/>
      </c>
      <c r="U130" s="67"/>
      <c r="V130" s="211" t="str">
        <f t="shared" si="11"/>
        <v/>
      </c>
      <c r="W130" s="110"/>
      <c r="X130" s="211" t="str">
        <f t="shared" si="12"/>
        <v/>
      </c>
      <c r="Y130" s="211" t="str">
        <f t="shared" si="13"/>
        <v/>
      </c>
      <c r="Z130" s="82"/>
    </row>
    <row r="131" ht="20" customHeight="1" spans="1:26">
      <c r="A131" s="64">
        <v>118</v>
      </c>
      <c r="B131" s="65"/>
      <c r="C131" s="66"/>
      <c r="D131" s="67"/>
      <c r="E131" s="82"/>
      <c r="F131" s="82"/>
      <c r="G131" s="82"/>
      <c r="H131" s="82"/>
      <c r="I131" s="93" t="str">
        <f t="shared" si="7"/>
        <v/>
      </c>
      <c r="J131" s="82"/>
      <c r="K131" s="94" t="str">
        <f>IF(OR(D131="",E131=""),"",IF(J131="",G131,IF(D131="Buy",MROUND(MAX(E131*(1-Settings!$K$8),J131*(1-Settings!$K$6)),Settings!$K$10),MROUND(MIN(E131*(1+Settings!$K$8),J131*(1+Settings!$K$6)),Settings!$K$10))))</f>
        <v/>
      </c>
      <c r="L131" s="95" t="str">
        <f t="shared" si="8"/>
        <v/>
      </c>
      <c r="M131" s="82"/>
      <c r="N131" s="94" t="str">
        <f>IF(OR(D131="",E131=""),"",IF(M131="",H131,IF(D131="Buy",MROUND(MAX(E131*(1-Settings!$K$8),M131*(1-Settings!$K$6)),Settings!$K$10),MROUND(MIN(E131*(1+Settings!$K$8),M131*(1+Settings!$K$6)),Settings!$K$10))))</f>
        <v/>
      </c>
      <c r="O131" s="95" t="str">
        <f t="shared" si="9"/>
        <v/>
      </c>
      <c r="P131" s="82"/>
      <c r="Q131" s="94" t="str">
        <f>IF(OR(D131="",P131=""),"",IF(D131="Buy",MROUND(P131*(1-Settings!$K$6),Settings!$K$10),MROUND(P131*(1+Settings!$K$6),Settings!$K$10)))</f>
        <v/>
      </c>
      <c r="R131" s="95" t="str">
        <f t="shared" si="10"/>
        <v/>
      </c>
      <c r="S131" s="82"/>
      <c r="T131" s="94" t="str">
        <f>IF(OR(D131="",S131=""),"",IF(D131="Buy",MROUND(S131*(1-Settings!$K$6),Settings!$K$10),MROUND(S131*(1+Settings!$K$6),Settings!$K$10)))</f>
        <v/>
      </c>
      <c r="U131" s="67"/>
      <c r="V131" s="211" t="str">
        <f t="shared" si="11"/>
        <v/>
      </c>
      <c r="W131" s="110"/>
      <c r="X131" s="211" t="str">
        <f t="shared" si="12"/>
        <v/>
      </c>
      <c r="Y131" s="211" t="str">
        <f t="shared" si="13"/>
        <v/>
      </c>
      <c r="Z131" s="82"/>
    </row>
    <row r="132" ht="20" customHeight="1" spans="1:26">
      <c r="A132" s="64">
        <v>119</v>
      </c>
      <c r="B132" s="65"/>
      <c r="C132" s="66"/>
      <c r="D132" s="67"/>
      <c r="E132" s="82"/>
      <c r="F132" s="82"/>
      <c r="G132" s="82"/>
      <c r="H132" s="82"/>
      <c r="I132" s="93" t="str">
        <f t="shared" si="7"/>
        <v/>
      </c>
      <c r="J132" s="82"/>
      <c r="K132" s="94" t="str">
        <f>IF(OR(D132="",E132=""),"",IF(J132="",G132,IF(D132="Buy",MROUND(MAX(E132*(1-Settings!$K$8),J132*(1-Settings!$K$6)),Settings!$K$10),MROUND(MIN(E132*(1+Settings!$K$8),J132*(1+Settings!$K$6)),Settings!$K$10))))</f>
        <v/>
      </c>
      <c r="L132" s="95" t="str">
        <f t="shared" si="8"/>
        <v/>
      </c>
      <c r="M132" s="82"/>
      <c r="N132" s="94" t="str">
        <f>IF(OR(D132="",E132=""),"",IF(M132="",H132,IF(D132="Buy",MROUND(MAX(E132*(1-Settings!$K$8),M132*(1-Settings!$K$6)),Settings!$K$10),MROUND(MIN(E132*(1+Settings!$K$8),M132*(1+Settings!$K$6)),Settings!$K$10))))</f>
        <v/>
      </c>
      <c r="O132" s="95" t="str">
        <f t="shared" si="9"/>
        <v/>
      </c>
      <c r="P132" s="82"/>
      <c r="Q132" s="94" t="str">
        <f>IF(OR(D132="",P132=""),"",IF(D132="Buy",MROUND(P132*(1-Settings!$K$6),Settings!$K$10),MROUND(P132*(1+Settings!$K$6),Settings!$K$10)))</f>
        <v/>
      </c>
      <c r="R132" s="95" t="str">
        <f t="shared" si="10"/>
        <v/>
      </c>
      <c r="S132" s="82"/>
      <c r="T132" s="94" t="str">
        <f>IF(OR(D132="",S132=""),"",IF(D132="Buy",MROUND(S132*(1-Settings!$K$6),Settings!$K$10),MROUND(S132*(1+Settings!$K$6),Settings!$K$10)))</f>
        <v/>
      </c>
      <c r="U132" s="67"/>
      <c r="V132" s="211" t="str">
        <f t="shared" si="11"/>
        <v/>
      </c>
      <c r="W132" s="110"/>
      <c r="X132" s="211" t="str">
        <f t="shared" si="12"/>
        <v/>
      </c>
      <c r="Y132" s="211" t="str">
        <f t="shared" si="13"/>
        <v/>
      </c>
      <c r="Z132" s="82"/>
    </row>
    <row r="133" ht="20" customHeight="1" spans="1:26">
      <c r="A133" s="64">
        <v>120</v>
      </c>
      <c r="B133" s="65"/>
      <c r="C133" s="66"/>
      <c r="D133" s="67"/>
      <c r="E133" s="82"/>
      <c r="F133" s="82"/>
      <c r="G133" s="82"/>
      <c r="H133" s="82"/>
      <c r="I133" s="93" t="str">
        <f t="shared" si="7"/>
        <v/>
      </c>
      <c r="J133" s="82"/>
      <c r="K133" s="94" t="str">
        <f>IF(OR(D133="",E133=""),"",IF(J133="",G133,IF(D133="Buy",MROUND(MAX(E133*(1-Settings!$K$8),J133*(1-Settings!$K$6)),Settings!$K$10),MROUND(MIN(E133*(1+Settings!$K$8),J133*(1+Settings!$K$6)),Settings!$K$10))))</f>
        <v/>
      </c>
      <c r="L133" s="95" t="str">
        <f t="shared" si="8"/>
        <v/>
      </c>
      <c r="M133" s="82"/>
      <c r="N133" s="94" t="str">
        <f>IF(OR(D133="",E133=""),"",IF(M133="",H133,IF(D133="Buy",MROUND(MAX(E133*(1-Settings!$K$8),M133*(1-Settings!$K$6)),Settings!$K$10),MROUND(MIN(E133*(1+Settings!$K$8),M133*(1+Settings!$K$6)),Settings!$K$10))))</f>
        <v/>
      </c>
      <c r="O133" s="95" t="str">
        <f t="shared" si="9"/>
        <v/>
      </c>
      <c r="P133" s="82"/>
      <c r="Q133" s="94" t="str">
        <f>IF(OR(D133="",P133=""),"",IF(D133="Buy",MROUND(P133*(1-Settings!$K$6),Settings!$K$10),MROUND(P133*(1+Settings!$K$6),Settings!$K$10)))</f>
        <v/>
      </c>
      <c r="R133" s="95" t="str">
        <f t="shared" si="10"/>
        <v/>
      </c>
      <c r="S133" s="82"/>
      <c r="T133" s="94" t="str">
        <f>IF(OR(D133="",S133=""),"",IF(D133="Buy",MROUND(S133*(1-Settings!$K$6),Settings!$K$10),MROUND(S133*(1+Settings!$K$6),Settings!$K$10)))</f>
        <v/>
      </c>
      <c r="U133" s="67"/>
      <c r="V133" s="211" t="str">
        <f t="shared" si="11"/>
        <v/>
      </c>
      <c r="W133" s="110"/>
      <c r="X133" s="211" t="str">
        <f t="shared" si="12"/>
        <v/>
      </c>
      <c r="Y133" s="211" t="str">
        <f t="shared" si="13"/>
        <v/>
      </c>
      <c r="Z133" s="82"/>
    </row>
    <row r="134" ht="20" customHeight="1" spans="1:26">
      <c r="A134" s="64">
        <v>121</v>
      </c>
      <c r="B134" s="65"/>
      <c r="C134" s="66"/>
      <c r="D134" s="67"/>
      <c r="E134" s="82"/>
      <c r="F134" s="82"/>
      <c r="G134" s="82"/>
      <c r="H134" s="82"/>
      <c r="I134" s="93" t="str">
        <f t="shared" si="7"/>
        <v/>
      </c>
      <c r="J134" s="82"/>
      <c r="K134" s="94" t="str">
        <f>IF(OR(D134="",E134=""),"",IF(J134="",G134,IF(D134="Buy",MROUND(MAX(E134*(1-Settings!$K$8),J134*(1-Settings!$K$6)),Settings!$K$10),MROUND(MIN(E134*(1+Settings!$K$8),J134*(1+Settings!$K$6)),Settings!$K$10))))</f>
        <v/>
      </c>
      <c r="L134" s="95" t="str">
        <f t="shared" si="8"/>
        <v/>
      </c>
      <c r="M134" s="82"/>
      <c r="N134" s="94" t="str">
        <f>IF(OR(D134="",E134=""),"",IF(M134="",H134,IF(D134="Buy",MROUND(MAX(E134*(1-Settings!$K$8),M134*(1-Settings!$K$6)),Settings!$K$10),MROUND(MIN(E134*(1+Settings!$K$8),M134*(1+Settings!$K$6)),Settings!$K$10))))</f>
        <v/>
      </c>
      <c r="O134" s="95" t="str">
        <f t="shared" si="9"/>
        <v/>
      </c>
      <c r="P134" s="82"/>
      <c r="Q134" s="94" t="str">
        <f>IF(OR(D134="",P134=""),"",IF(D134="Buy",MROUND(P134*(1-Settings!$K$6),Settings!$K$10),MROUND(P134*(1+Settings!$K$6),Settings!$K$10)))</f>
        <v/>
      </c>
      <c r="R134" s="95" t="str">
        <f t="shared" si="10"/>
        <v/>
      </c>
      <c r="S134" s="82"/>
      <c r="T134" s="94" t="str">
        <f>IF(OR(D134="",S134=""),"",IF(D134="Buy",MROUND(S134*(1-Settings!$K$6),Settings!$K$10),MROUND(S134*(1+Settings!$K$6),Settings!$K$10)))</f>
        <v/>
      </c>
      <c r="U134" s="67"/>
      <c r="V134" s="211" t="str">
        <f t="shared" si="11"/>
        <v/>
      </c>
      <c r="W134" s="110"/>
      <c r="X134" s="211" t="str">
        <f t="shared" si="12"/>
        <v/>
      </c>
      <c r="Y134" s="211" t="str">
        <f t="shared" si="13"/>
        <v/>
      </c>
      <c r="Z134" s="82"/>
    </row>
    <row r="135" ht="20" customHeight="1" spans="1:26">
      <c r="A135" s="64">
        <v>122</v>
      </c>
      <c r="B135" s="65"/>
      <c r="C135" s="66"/>
      <c r="D135" s="67"/>
      <c r="E135" s="82"/>
      <c r="F135" s="82"/>
      <c r="G135" s="82"/>
      <c r="H135" s="82"/>
      <c r="I135" s="93" t="str">
        <f t="shared" si="7"/>
        <v/>
      </c>
      <c r="J135" s="82"/>
      <c r="K135" s="94" t="str">
        <f>IF(OR(D135="",E135=""),"",IF(J135="",G135,IF(D135="Buy",MROUND(MAX(E135*(1-Settings!$K$8),J135*(1-Settings!$K$6)),Settings!$K$10),MROUND(MIN(E135*(1+Settings!$K$8),J135*(1+Settings!$K$6)),Settings!$K$10))))</f>
        <v/>
      </c>
      <c r="L135" s="95" t="str">
        <f t="shared" si="8"/>
        <v/>
      </c>
      <c r="M135" s="82"/>
      <c r="N135" s="94" t="str">
        <f>IF(OR(D135="",E135=""),"",IF(M135="",H135,IF(D135="Buy",MROUND(MAX(E135*(1-Settings!$K$8),M135*(1-Settings!$K$6)),Settings!$K$10),MROUND(MIN(E135*(1+Settings!$K$8),M135*(1+Settings!$K$6)),Settings!$K$10))))</f>
        <v/>
      </c>
      <c r="O135" s="95" t="str">
        <f t="shared" si="9"/>
        <v/>
      </c>
      <c r="P135" s="82"/>
      <c r="Q135" s="94" t="str">
        <f>IF(OR(D135="",P135=""),"",IF(D135="Buy",MROUND(P135*(1-Settings!$K$6),Settings!$K$10),MROUND(P135*(1+Settings!$K$6),Settings!$K$10)))</f>
        <v/>
      </c>
      <c r="R135" s="95" t="str">
        <f t="shared" si="10"/>
        <v/>
      </c>
      <c r="S135" s="82"/>
      <c r="T135" s="94" t="str">
        <f>IF(OR(D135="",S135=""),"",IF(D135="Buy",MROUND(S135*(1-Settings!$K$6),Settings!$K$10),MROUND(S135*(1+Settings!$K$6),Settings!$K$10)))</f>
        <v/>
      </c>
      <c r="U135" s="67"/>
      <c r="V135" s="211" t="str">
        <f t="shared" si="11"/>
        <v/>
      </c>
      <c r="W135" s="110"/>
      <c r="X135" s="211" t="str">
        <f t="shared" si="12"/>
        <v/>
      </c>
      <c r="Y135" s="211" t="str">
        <f t="shared" si="13"/>
        <v/>
      </c>
      <c r="Z135" s="82"/>
    </row>
    <row r="136" ht="20" customHeight="1" spans="1:26">
      <c r="A136" s="64">
        <v>123</v>
      </c>
      <c r="B136" s="65"/>
      <c r="C136" s="66"/>
      <c r="D136" s="67"/>
      <c r="E136" s="82"/>
      <c r="F136" s="82"/>
      <c r="G136" s="82"/>
      <c r="H136" s="82"/>
      <c r="I136" s="93" t="str">
        <f t="shared" si="7"/>
        <v/>
      </c>
      <c r="J136" s="82"/>
      <c r="K136" s="94" t="str">
        <f>IF(OR(D136="",E136=""),"",IF(J136="",G136,IF(D136="Buy",MROUND(MAX(E136*(1-Settings!$K$8),J136*(1-Settings!$K$6)),Settings!$K$10),MROUND(MIN(E136*(1+Settings!$K$8),J136*(1+Settings!$K$6)),Settings!$K$10))))</f>
        <v/>
      </c>
      <c r="L136" s="95" t="str">
        <f t="shared" si="8"/>
        <v/>
      </c>
      <c r="M136" s="82"/>
      <c r="N136" s="94" t="str">
        <f>IF(OR(D136="",E136=""),"",IF(M136="",H136,IF(D136="Buy",MROUND(MAX(E136*(1-Settings!$K$8),M136*(1-Settings!$K$6)),Settings!$K$10),MROUND(MIN(E136*(1+Settings!$K$8),M136*(1+Settings!$K$6)),Settings!$K$10))))</f>
        <v/>
      </c>
      <c r="O136" s="95" t="str">
        <f t="shared" si="9"/>
        <v/>
      </c>
      <c r="P136" s="82"/>
      <c r="Q136" s="94" t="str">
        <f>IF(OR(D136="",P136=""),"",IF(D136="Buy",MROUND(P136*(1-Settings!$K$6),Settings!$K$10),MROUND(P136*(1+Settings!$K$6),Settings!$K$10)))</f>
        <v/>
      </c>
      <c r="R136" s="95" t="str">
        <f t="shared" si="10"/>
        <v/>
      </c>
      <c r="S136" s="82"/>
      <c r="T136" s="94" t="str">
        <f>IF(OR(D136="",S136=""),"",IF(D136="Buy",MROUND(S136*(1-Settings!$K$6),Settings!$K$10),MROUND(S136*(1+Settings!$K$6),Settings!$K$10)))</f>
        <v/>
      </c>
      <c r="U136" s="67"/>
      <c r="V136" s="211" t="str">
        <f t="shared" si="11"/>
        <v/>
      </c>
      <c r="W136" s="110"/>
      <c r="X136" s="211" t="str">
        <f t="shared" si="12"/>
        <v/>
      </c>
      <c r="Y136" s="211" t="str">
        <f t="shared" si="13"/>
        <v/>
      </c>
      <c r="Z136" s="82"/>
    </row>
    <row r="137" ht="20" customHeight="1" spans="1:26">
      <c r="A137" s="64">
        <v>124</v>
      </c>
      <c r="B137" s="65"/>
      <c r="C137" s="66"/>
      <c r="D137" s="67"/>
      <c r="E137" s="82"/>
      <c r="F137" s="82"/>
      <c r="G137" s="82"/>
      <c r="H137" s="82"/>
      <c r="I137" s="93" t="str">
        <f t="shared" si="7"/>
        <v/>
      </c>
      <c r="J137" s="82"/>
      <c r="K137" s="94" t="str">
        <f>IF(OR(D137="",E137=""),"",IF(J137="",G137,IF(D137="Buy",MROUND(MAX(E137*(1-Settings!$K$8),J137*(1-Settings!$K$6)),Settings!$K$10),MROUND(MIN(E137*(1+Settings!$K$8),J137*(1+Settings!$K$6)),Settings!$K$10))))</f>
        <v/>
      </c>
      <c r="L137" s="95" t="str">
        <f t="shared" si="8"/>
        <v/>
      </c>
      <c r="M137" s="82"/>
      <c r="N137" s="94" t="str">
        <f>IF(OR(D137="",E137=""),"",IF(M137="",H137,IF(D137="Buy",MROUND(MAX(E137*(1-Settings!$K$8),M137*(1-Settings!$K$6)),Settings!$K$10),MROUND(MIN(E137*(1+Settings!$K$8),M137*(1+Settings!$K$6)),Settings!$K$10))))</f>
        <v/>
      </c>
      <c r="O137" s="95" t="str">
        <f t="shared" si="9"/>
        <v/>
      </c>
      <c r="P137" s="82"/>
      <c r="Q137" s="94" t="str">
        <f>IF(OR(D137="",P137=""),"",IF(D137="Buy",MROUND(P137*(1-Settings!$K$6),Settings!$K$10),MROUND(P137*(1+Settings!$K$6),Settings!$K$10)))</f>
        <v/>
      </c>
      <c r="R137" s="95" t="str">
        <f t="shared" si="10"/>
        <v/>
      </c>
      <c r="S137" s="82"/>
      <c r="T137" s="94" t="str">
        <f>IF(OR(D137="",S137=""),"",IF(D137="Buy",MROUND(S137*(1-Settings!$K$6),Settings!$K$10),MROUND(S137*(1+Settings!$K$6),Settings!$K$10)))</f>
        <v/>
      </c>
      <c r="U137" s="67"/>
      <c r="V137" s="211" t="str">
        <f t="shared" si="11"/>
        <v/>
      </c>
      <c r="W137" s="110"/>
      <c r="X137" s="211" t="str">
        <f t="shared" si="12"/>
        <v/>
      </c>
      <c r="Y137" s="211" t="str">
        <f t="shared" si="13"/>
        <v/>
      </c>
      <c r="Z137" s="82"/>
    </row>
    <row r="138" ht="20" customHeight="1" spans="1:26">
      <c r="A138" s="64">
        <v>125</v>
      </c>
      <c r="B138" s="65"/>
      <c r="C138" s="66"/>
      <c r="D138" s="67"/>
      <c r="E138" s="82"/>
      <c r="F138" s="82"/>
      <c r="G138" s="82"/>
      <c r="H138" s="82"/>
      <c r="I138" s="93" t="str">
        <f t="shared" si="7"/>
        <v/>
      </c>
      <c r="J138" s="82"/>
      <c r="K138" s="94" t="str">
        <f>IF(OR(D138="",E138=""),"",IF(J138="",G138,IF(D138="Buy",MROUND(MAX(E138*(1-Settings!$K$8),J138*(1-Settings!$K$6)),Settings!$K$10),MROUND(MIN(E138*(1+Settings!$K$8),J138*(1+Settings!$K$6)),Settings!$K$10))))</f>
        <v/>
      </c>
      <c r="L138" s="95" t="str">
        <f t="shared" si="8"/>
        <v/>
      </c>
      <c r="M138" s="82"/>
      <c r="N138" s="94" t="str">
        <f>IF(OR(D138="",E138=""),"",IF(M138="",H138,IF(D138="Buy",MROUND(MAX(E138*(1-Settings!$K$8),M138*(1-Settings!$K$6)),Settings!$K$10),MROUND(MIN(E138*(1+Settings!$K$8),M138*(1+Settings!$K$6)),Settings!$K$10))))</f>
        <v/>
      </c>
      <c r="O138" s="95" t="str">
        <f t="shared" si="9"/>
        <v/>
      </c>
      <c r="P138" s="82"/>
      <c r="Q138" s="94" t="str">
        <f>IF(OR(D138="",P138=""),"",IF(D138="Buy",MROUND(P138*(1-Settings!$K$6),Settings!$K$10),MROUND(P138*(1+Settings!$K$6),Settings!$K$10)))</f>
        <v/>
      </c>
      <c r="R138" s="95" t="str">
        <f t="shared" si="10"/>
        <v/>
      </c>
      <c r="S138" s="82"/>
      <c r="T138" s="94" t="str">
        <f>IF(OR(D138="",S138=""),"",IF(D138="Buy",MROUND(S138*(1-Settings!$K$6),Settings!$K$10),MROUND(S138*(1+Settings!$K$6),Settings!$K$10)))</f>
        <v/>
      </c>
      <c r="U138" s="67"/>
      <c r="V138" s="211" t="str">
        <f t="shared" si="11"/>
        <v/>
      </c>
      <c r="W138" s="110"/>
      <c r="X138" s="211" t="str">
        <f t="shared" si="12"/>
        <v/>
      </c>
      <c r="Y138" s="211" t="str">
        <f t="shared" si="13"/>
        <v/>
      </c>
      <c r="Z138" s="82"/>
    </row>
    <row r="139" ht="20" customHeight="1" spans="1:26">
      <c r="A139" s="64">
        <v>126</v>
      </c>
      <c r="B139" s="65"/>
      <c r="C139" s="66"/>
      <c r="D139" s="67"/>
      <c r="E139" s="82"/>
      <c r="F139" s="82"/>
      <c r="G139" s="82"/>
      <c r="H139" s="82"/>
      <c r="I139" s="93" t="str">
        <f t="shared" si="7"/>
        <v/>
      </c>
      <c r="J139" s="82"/>
      <c r="K139" s="94" t="str">
        <f>IF(OR(D139="",E139=""),"",IF(J139="",G139,IF(D139="Buy",MROUND(MAX(E139*(1-Settings!$K$8),J139*(1-Settings!$K$6)),Settings!$K$10),MROUND(MIN(E139*(1+Settings!$K$8),J139*(1+Settings!$K$6)),Settings!$K$10))))</f>
        <v/>
      </c>
      <c r="L139" s="95" t="str">
        <f t="shared" si="8"/>
        <v/>
      </c>
      <c r="M139" s="82"/>
      <c r="N139" s="94" t="str">
        <f>IF(OR(D139="",E139=""),"",IF(M139="",H139,IF(D139="Buy",MROUND(MAX(E139*(1-Settings!$K$8),M139*(1-Settings!$K$6)),Settings!$K$10),MROUND(MIN(E139*(1+Settings!$K$8),M139*(1+Settings!$K$6)),Settings!$K$10))))</f>
        <v/>
      </c>
      <c r="O139" s="95" t="str">
        <f t="shared" si="9"/>
        <v/>
      </c>
      <c r="P139" s="82"/>
      <c r="Q139" s="94" t="str">
        <f>IF(OR(D139="",P139=""),"",IF(D139="Buy",MROUND(P139*(1-Settings!$K$6),Settings!$K$10),MROUND(P139*(1+Settings!$K$6),Settings!$K$10)))</f>
        <v/>
      </c>
      <c r="R139" s="95" t="str">
        <f t="shared" si="10"/>
        <v/>
      </c>
      <c r="S139" s="82"/>
      <c r="T139" s="94" t="str">
        <f>IF(OR(D139="",S139=""),"",IF(D139="Buy",MROUND(S139*(1-Settings!$K$6),Settings!$K$10),MROUND(S139*(1+Settings!$K$6),Settings!$K$10)))</f>
        <v/>
      </c>
      <c r="U139" s="67"/>
      <c r="V139" s="211" t="str">
        <f t="shared" si="11"/>
        <v/>
      </c>
      <c r="W139" s="110"/>
      <c r="X139" s="211" t="str">
        <f t="shared" si="12"/>
        <v/>
      </c>
      <c r="Y139" s="211" t="str">
        <f t="shared" si="13"/>
        <v/>
      </c>
      <c r="Z139" s="82"/>
    </row>
    <row r="140" ht="20" customHeight="1" spans="1:26">
      <c r="A140" s="64">
        <v>127</v>
      </c>
      <c r="B140" s="65"/>
      <c r="C140" s="66"/>
      <c r="D140" s="67"/>
      <c r="E140" s="82"/>
      <c r="F140" s="82"/>
      <c r="G140" s="82"/>
      <c r="H140" s="82"/>
      <c r="I140" s="93" t="str">
        <f t="shared" si="7"/>
        <v/>
      </c>
      <c r="J140" s="82"/>
      <c r="K140" s="94" t="str">
        <f>IF(OR(D140="",E140=""),"",IF(J140="",G140,IF(D140="Buy",MROUND(MAX(E140*(1-Settings!$K$8),J140*(1-Settings!$K$6)),Settings!$K$10),MROUND(MIN(E140*(1+Settings!$K$8),J140*(1+Settings!$K$6)),Settings!$K$10))))</f>
        <v/>
      </c>
      <c r="L140" s="95" t="str">
        <f t="shared" si="8"/>
        <v/>
      </c>
      <c r="M140" s="82"/>
      <c r="N140" s="94" t="str">
        <f>IF(OR(D140="",E140=""),"",IF(M140="",H140,IF(D140="Buy",MROUND(MAX(E140*(1-Settings!$K$8),M140*(1-Settings!$K$6)),Settings!$K$10),MROUND(MIN(E140*(1+Settings!$K$8),M140*(1+Settings!$K$6)),Settings!$K$10))))</f>
        <v/>
      </c>
      <c r="O140" s="95" t="str">
        <f t="shared" si="9"/>
        <v/>
      </c>
      <c r="P140" s="82"/>
      <c r="Q140" s="94" t="str">
        <f>IF(OR(D140="",P140=""),"",IF(D140="Buy",MROUND(P140*(1-Settings!$K$6),Settings!$K$10),MROUND(P140*(1+Settings!$K$6),Settings!$K$10)))</f>
        <v/>
      </c>
      <c r="R140" s="95" t="str">
        <f t="shared" si="10"/>
        <v/>
      </c>
      <c r="S140" s="82"/>
      <c r="T140" s="94" t="str">
        <f>IF(OR(D140="",S140=""),"",IF(D140="Buy",MROUND(S140*(1-Settings!$K$6),Settings!$K$10),MROUND(S140*(1+Settings!$K$6),Settings!$K$10)))</f>
        <v/>
      </c>
      <c r="U140" s="67"/>
      <c r="V140" s="211" t="str">
        <f t="shared" si="11"/>
        <v/>
      </c>
      <c r="W140" s="110"/>
      <c r="X140" s="211" t="str">
        <f t="shared" si="12"/>
        <v/>
      </c>
      <c r="Y140" s="211" t="str">
        <f t="shared" si="13"/>
        <v/>
      </c>
      <c r="Z140" s="82"/>
    </row>
    <row r="141" ht="20" customHeight="1" spans="1:26">
      <c r="A141" s="64">
        <v>128</v>
      </c>
      <c r="B141" s="65"/>
      <c r="C141" s="66"/>
      <c r="D141" s="67"/>
      <c r="E141" s="82"/>
      <c r="F141" s="82"/>
      <c r="G141" s="82"/>
      <c r="H141" s="82"/>
      <c r="I141" s="93" t="str">
        <f t="shared" si="7"/>
        <v/>
      </c>
      <c r="J141" s="82"/>
      <c r="K141" s="94" t="str">
        <f>IF(OR(D141="",E141=""),"",IF(J141="",G141,IF(D141="Buy",MROUND(MAX(E141*(1-Settings!$K$8),J141*(1-Settings!$K$6)),Settings!$K$10),MROUND(MIN(E141*(1+Settings!$K$8),J141*(1+Settings!$K$6)),Settings!$K$10))))</f>
        <v/>
      </c>
      <c r="L141" s="95" t="str">
        <f t="shared" si="8"/>
        <v/>
      </c>
      <c r="M141" s="82"/>
      <c r="N141" s="94" t="str">
        <f>IF(OR(D141="",E141=""),"",IF(M141="",H141,IF(D141="Buy",MROUND(MAX(E141*(1-Settings!$K$8),M141*(1-Settings!$K$6)),Settings!$K$10),MROUND(MIN(E141*(1+Settings!$K$8),M141*(1+Settings!$K$6)),Settings!$K$10))))</f>
        <v/>
      </c>
      <c r="O141" s="95" t="str">
        <f t="shared" si="9"/>
        <v/>
      </c>
      <c r="P141" s="82"/>
      <c r="Q141" s="94" t="str">
        <f>IF(OR(D141="",P141=""),"",IF(D141="Buy",MROUND(P141*(1-Settings!$K$6),Settings!$K$10),MROUND(P141*(1+Settings!$K$6),Settings!$K$10)))</f>
        <v/>
      </c>
      <c r="R141" s="95" t="str">
        <f t="shared" si="10"/>
        <v/>
      </c>
      <c r="S141" s="82"/>
      <c r="T141" s="94" t="str">
        <f>IF(OR(D141="",S141=""),"",IF(D141="Buy",MROUND(S141*(1-Settings!$K$6),Settings!$K$10),MROUND(S141*(1+Settings!$K$6),Settings!$K$10)))</f>
        <v/>
      </c>
      <c r="U141" s="67"/>
      <c r="V141" s="211" t="str">
        <f t="shared" si="11"/>
        <v/>
      </c>
      <c r="W141" s="110"/>
      <c r="X141" s="211" t="str">
        <f t="shared" si="12"/>
        <v/>
      </c>
      <c r="Y141" s="211" t="str">
        <f t="shared" si="13"/>
        <v/>
      </c>
      <c r="Z141" s="82"/>
    </row>
    <row r="142" ht="20" customHeight="1" spans="1:26">
      <c r="A142" s="64">
        <v>129</v>
      </c>
      <c r="B142" s="65"/>
      <c r="C142" s="66"/>
      <c r="D142" s="67"/>
      <c r="E142" s="82"/>
      <c r="F142" s="82"/>
      <c r="G142" s="82"/>
      <c r="H142" s="82"/>
      <c r="I142" s="93" t="str">
        <f t="shared" ref="I142:I205" si="14">IF(D142="Buy","Enter New 2DLL",IF(D142="Sell","Enter New 2DHH",""))</f>
        <v/>
      </c>
      <c r="J142" s="82"/>
      <c r="K142" s="94" t="str">
        <f>IF(OR(D142="",E142=""),"",IF(J142="",G142,IF(D142="Buy",MROUND(MAX(E142*(1-Settings!$K$8),J142*(1-Settings!$K$6)),Settings!$K$10),MROUND(MIN(E142*(1+Settings!$K$8),J142*(1+Settings!$K$6)),Settings!$K$10))))</f>
        <v/>
      </c>
      <c r="L142" s="95" t="str">
        <f t="shared" ref="L142:L205" si="15">IF(D142="Buy","Enter New 4DLL",IF(D142="Sell","Enter New 4DHH",""))</f>
        <v/>
      </c>
      <c r="M142" s="82"/>
      <c r="N142" s="94" t="str">
        <f>IF(OR(D142="",E142=""),"",IF(M142="",H142,IF(D142="Buy",MROUND(MAX(E142*(1-Settings!$K$8),M142*(1-Settings!$K$6)),Settings!$K$10),MROUND(MIN(E142*(1+Settings!$K$8),M142*(1+Settings!$K$6)),Settings!$K$10))))</f>
        <v/>
      </c>
      <c r="O142" s="95" t="str">
        <f t="shared" ref="O142:O205" si="16">IF(D142="Buy","Enter First 15-Minute Low",IF(D142="Sell","Enter First 15-Minute High",""))</f>
        <v/>
      </c>
      <c r="P142" s="82"/>
      <c r="Q142" s="94" t="str">
        <f>IF(OR(D142="",P142=""),"",IF(D142="Buy",MROUND(P142*(1-Settings!$K$6),Settings!$K$10),MROUND(P142*(1+Settings!$K$6),Settings!$K$10)))</f>
        <v/>
      </c>
      <c r="R142" s="95" t="str">
        <f t="shared" ref="R142:R205" si="17">IF(D142="Buy","Enter First 15-Minute Low",IF(D142="Sell","Enter First 15-Minute High",""))</f>
        <v/>
      </c>
      <c r="S142" s="82"/>
      <c r="T142" s="94" t="str">
        <f>IF(OR(D142="",S142=""),"",IF(D142="Buy",MROUND(S142*(1-Settings!$K$6),Settings!$K$10),MROUND(S142*(1+Settings!$K$6),Settings!$K$10)))</f>
        <v/>
      </c>
      <c r="U142" s="67"/>
      <c r="V142" s="211" t="str">
        <f t="shared" ref="V142:V205" si="18">IF(OR(D142="",E142="",U142="",$C$8="",$C$9=""),"",IF(U142="Target Hit",IF(F142="","",IF(D142="Buy",(F142-E142)*($C$8/2)*$C$9,(E142-F142)*($C$8/2)*$C$9)),IF(U142="Rollover",IF(Z142="","",IF(D142="Buy",(Z142-E142)*$C$8*$C$9,(E142-Z142)*$C$8*$C$9)),IF(U142="Stoploss 1 Hit",IF(K142="","",IF(D142="Buy",(K142-E142)*$C$8*$C$9,(E142-K142)*$C$8*$C$9)),IF(OR(AND(D142="Buy",U142="Gap Down Stoploss 1 Hit"),AND(D142="Sell",U142="Gap Up Stoploss 1 Hit")),IF(Q142="","",IF(D142="Buy",(Q142-E142)*$C$8*$C$9,(E142-Q142)*$C$8*$C$9)),"")))))</f>
        <v/>
      </c>
      <c r="W142" s="110"/>
      <c r="X142" s="211" t="str">
        <f t="shared" ref="X142:X205" si="19">IF(OR(D142="",E142="",U142&lt;&gt;"Target Hit",W142="",$C$8="",$C$9=""),"",IF(W142="Stoploss 2 Hit",IF(N142="","",IF(D142="Buy",(N142-E142)*($C$8/2)*$C$9,(E142-N142)*($C$8/2)*$C$9)),IF(W142="Rollover",IF(Z142="","",IF(D142="Buy",(Z142-E142)*($C$8/2)*$C$9,(E142-Z142)*($C$8/2)*$C$9)),IF(OR(AND(D142="Buy",W142="Gap Down Stoploss 2 Hit"),AND(D142="Sell",W142="Gap Up Stoploss 2 Hit")),IF(T142="","",IF(D142="Buy",(T142-E142)*($C$8/2)*$C$9,(E142-T142)*($C$8/2)*$C$9)),""))))</f>
        <v/>
      </c>
      <c r="Y142" s="211" t="str">
        <f t="shared" ref="Y142:Y205" si="20">IF(AND(V142="",X142=""),"",SUM(V142,X142))</f>
        <v/>
      </c>
      <c r="Z142" s="82"/>
    </row>
    <row r="143" ht="20" customHeight="1" spans="1:26">
      <c r="A143" s="64">
        <v>130</v>
      </c>
      <c r="B143" s="65"/>
      <c r="C143" s="66"/>
      <c r="D143" s="67"/>
      <c r="E143" s="82"/>
      <c r="F143" s="82"/>
      <c r="G143" s="82"/>
      <c r="H143" s="82"/>
      <c r="I143" s="93" t="str">
        <f t="shared" si="14"/>
        <v/>
      </c>
      <c r="J143" s="82"/>
      <c r="K143" s="94" t="str">
        <f>IF(OR(D143="",E143=""),"",IF(J143="",G143,IF(D143="Buy",MROUND(MAX(E143*(1-Settings!$K$8),J143*(1-Settings!$K$6)),Settings!$K$10),MROUND(MIN(E143*(1+Settings!$K$8),J143*(1+Settings!$K$6)),Settings!$K$10))))</f>
        <v/>
      </c>
      <c r="L143" s="95" t="str">
        <f t="shared" si="15"/>
        <v/>
      </c>
      <c r="M143" s="82"/>
      <c r="N143" s="94" t="str">
        <f>IF(OR(D143="",E143=""),"",IF(M143="",H143,IF(D143="Buy",MROUND(MAX(E143*(1-Settings!$K$8),M143*(1-Settings!$K$6)),Settings!$K$10),MROUND(MIN(E143*(1+Settings!$K$8),M143*(1+Settings!$K$6)),Settings!$K$10))))</f>
        <v/>
      </c>
      <c r="O143" s="95" t="str">
        <f t="shared" si="16"/>
        <v/>
      </c>
      <c r="P143" s="82"/>
      <c r="Q143" s="94" t="str">
        <f>IF(OR(D143="",P143=""),"",IF(D143="Buy",MROUND(P143*(1-Settings!$K$6),Settings!$K$10),MROUND(P143*(1+Settings!$K$6),Settings!$K$10)))</f>
        <v/>
      </c>
      <c r="R143" s="95" t="str">
        <f t="shared" si="17"/>
        <v/>
      </c>
      <c r="S143" s="82"/>
      <c r="T143" s="94" t="str">
        <f>IF(OR(D143="",S143=""),"",IF(D143="Buy",MROUND(S143*(1-Settings!$K$6),Settings!$K$10),MROUND(S143*(1+Settings!$K$6),Settings!$K$10)))</f>
        <v/>
      </c>
      <c r="U143" s="67"/>
      <c r="V143" s="211" t="str">
        <f t="shared" si="18"/>
        <v/>
      </c>
      <c r="W143" s="110"/>
      <c r="X143" s="211" t="str">
        <f t="shared" si="19"/>
        <v/>
      </c>
      <c r="Y143" s="211" t="str">
        <f t="shared" si="20"/>
        <v/>
      </c>
      <c r="Z143" s="82"/>
    </row>
    <row r="144" ht="20" customHeight="1" spans="1:26">
      <c r="A144" s="64">
        <v>131</v>
      </c>
      <c r="B144" s="65"/>
      <c r="C144" s="66"/>
      <c r="D144" s="67"/>
      <c r="E144" s="82"/>
      <c r="F144" s="82"/>
      <c r="G144" s="82"/>
      <c r="H144" s="82"/>
      <c r="I144" s="93" t="str">
        <f t="shared" si="14"/>
        <v/>
      </c>
      <c r="J144" s="82"/>
      <c r="K144" s="94" t="str">
        <f>IF(OR(D144="",E144=""),"",IF(J144="",G144,IF(D144="Buy",MROUND(MAX(E144*(1-Settings!$K$8),J144*(1-Settings!$K$6)),Settings!$K$10),MROUND(MIN(E144*(1+Settings!$K$8),J144*(1+Settings!$K$6)),Settings!$K$10))))</f>
        <v/>
      </c>
      <c r="L144" s="95" t="str">
        <f t="shared" si="15"/>
        <v/>
      </c>
      <c r="M144" s="82"/>
      <c r="N144" s="94" t="str">
        <f>IF(OR(D144="",E144=""),"",IF(M144="",H144,IF(D144="Buy",MROUND(MAX(E144*(1-Settings!$K$8),M144*(1-Settings!$K$6)),Settings!$K$10),MROUND(MIN(E144*(1+Settings!$K$8),M144*(1+Settings!$K$6)),Settings!$K$10))))</f>
        <v/>
      </c>
      <c r="O144" s="95" t="str">
        <f t="shared" si="16"/>
        <v/>
      </c>
      <c r="P144" s="82"/>
      <c r="Q144" s="94" t="str">
        <f>IF(OR(D144="",P144=""),"",IF(D144="Buy",MROUND(P144*(1-Settings!$K$6),Settings!$K$10),MROUND(P144*(1+Settings!$K$6),Settings!$K$10)))</f>
        <v/>
      </c>
      <c r="R144" s="95" t="str">
        <f t="shared" si="17"/>
        <v/>
      </c>
      <c r="S144" s="82"/>
      <c r="T144" s="94" t="str">
        <f>IF(OR(D144="",S144=""),"",IF(D144="Buy",MROUND(S144*(1-Settings!$K$6),Settings!$K$10),MROUND(S144*(1+Settings!$K$6),Settings!$K$10)))</f>
        <v/>
      </c>
      <c r="U144" s="67"/>
      <c r="V144" s="211" t="str">
        <f t="shared" si="18"/>
        <v/>
      </c>
      <c r="W144" s="110"/>
      <c r="X144" s="211" t="str">
        <f t="shared" si="19"/>
        <v/>
      </c>
      <c r="Y144" s="211" t="str">
        <f t="shared" si="20"/>
        <v/>
      </c>
      <c r="Z144" s="82"/>
    </row>
    <row r="145" ht="20" customHeight="1" spans="1:26">
      <c r="A145" s="64">
        <v>132</v>
      </c>
      <c r="B145" s="65"/>
      <c r="C145" s="66"/>
      <c r="D145" s="67"/>
      <c r="E145" s="82"/>
      <c r="F145" s="82"/>
      <c r="G145" s="82"/>
      <c r="H145" s="82"/>
      <c r="I145" s="93" t="str">
        <f t="shared" si="14"/>
        <v/>
      </c>
      <c r="J145" s="82"/>
      <c r="K145" s="94" t="str">
        <f>IF(OR(D145="",E145=""),"",IF(J145="",G145,IF(D145="Buy",MROUND(MAX(E145*(1-Settings!$K$8),J145*(1-Settings!$K$6)),Settings!$K$10),MROUND(MIN(E145*(1+Settings!$K$8),J145*(1+Settings!$K$6)),Settings!$K$10))))</f>
        <v/>
      </c>
      <c r="L145" s="95" t="str">
        <f t="shared" si="15"/>
        <v/>
      </c>
      <c r="M145" s="82"/>
      <c r="N145" s="94" t="str">
        <f>IF(OR(D145="",E145=""),"",IF(M145="",H145,IF(D145="Buy",MROUND(MAX(E145*(1-Settings!$K$8),M145*(1-Settings!$K$6)),Settings!$K$10),MROUND(MIN(E145*(1+Settings!$K$8),M145*(1+Settings!$K$6)),Settings!$K$10))))</f>
        <v/>
      </c>
      <c r="O145" s="95" t="str">
        <f t="shared" si="16"/>
        <v/>
      </c>
      <c r="P145" s="82"/>
      <c r="Q145" s="94" t="str">
        <f>IF(OR(D145="",P145=""),"",IF(D145="Buy",MROUND(P145*(1-Settings!$K$6),Settings!$K$10),MROUND(P145*(1+Settings!$K$6),Settings!$K$10)))</f>
        <v/>
      </c>
      <c r="R145" s="95" t="str">
        <f t="shared" si="17"/>
        <v/>
      </c>
      <c r="S145" s="82"/>
      <c r="T145" s="94" t="str">
        <f>IF(OR(D145="",S145=""),"",IF(D145="Buy",MROUND(S145*(1-Settings!$K$6),Settings!$K$10),MROUND(S145*(1+Settings!$K$6),Settings!$K$10)))</f>
        <v/>
      </c>
      <c r="U145" s="67"/>
      <c r="V145" s="211" t="str">
        <f t="shared" si="18"/>
        <v/>
      </c>
      <c r="W145" s="110"/>
      <c r="X145" s="211" t="str">
        <f t="shared" si="19"/>
        <v/>
      </c>
      <c r="Y145" s="211" t="str">
        <f t="shared" si="20"/>
        <v/>
      </c>
      <c r="Z145" s="82"/>
    </row>
    <row r="146" ht="20" customHeight="1" spans="1:26">
      <c r="A146" s="64">
        <v>133</v>
      </c>
      <c r="B146" s="65"/>
      <c r="C146" s="66"/>
      <c r="D146" s="67"/>
      <c r="E146" s="82"/>
      <c r="F146" s="82"/>
      <c r="G146" s="82"/>
      <c r="H146" s="82"/>
      <c r="I146" s="93" t="str">
        <f t="shared" si="14"/>
        <v/>
      </c>
      <c r="J146" s="82"/>
      <c r="K146" s="94" t="str">
        <f>IF(OR(D146="",E146=""),"",IF(J146="",G146,IF(D146="Buy",MROUND(MAX(E146*(1-Settings!$K$8),J146*(1-Settings!$K$6)),Settings!$K$10),MROUND(MIN(E146*(1+Settings!$K$8),J146*(1+Settings!$K$6)),Settings!$K$10))))</f>
        <v/>
      </c>
      <c r="L146" s="95" t="str">
        <f t="shared" si="15"/>
        <v/>
      </c>
      <c r="M146" s="82"/>
      <c r="N146" s="94" t="str">
        <f>IF(OR(D146="",E146=""),"",IF(M146="",H146,IF(D146="Buy",MROUND(MAX(E146*(1-Settings!$K$8),M146*(1-Settings!$K$6)),Settings!$K$10),MROUND(MIN(E146*(1+Settings!$K$8),M146*(1+Settings!$K$6)),Settings!$K$10))))</f>
        <v/>
      </c>
      <c r="O146" s="95" t="str">
        <f t="shared" si="16"/>
        <v/>
      </c>
      <c r="P146" s="82"/>
      <c r="Q146" s="94" t="str">
        <f>IF(OR(D146="",P146=""),"",IF(D146="Buy",MROUND(P146*(1-Settings!$K$6),Settings!$K$10),MROUND(P146*(1+Settings!$K$6),Settings!$K$10)))</f>
        <v/>
      </c>
      <c r="R146" s="95" t="str">
        <f t="shared" si="17"/>
        <v/>
      </c>
      <c r="S146" s="82"/>
      <c r="T146" s="94" t="str">
        <f>IF(OR(D146="",S146=""),"",IF(D146="Buy",MROUND(S146*(1-Settings!$K$6),Settings!$K$10),MROUND(S146*(1+Settings!$K$6),Settings!$K$10)))</f>
        <v/>
      </c>
      <c r="U146" s="67"/>
      <c r="V146" s="211" t="str">
        <f t="shared" si="18"/>
        <v/>
      </c>
      <c r="W146" s="110"/>
      <c r="X146" s="211" t="str">
        <f t="shared" si="19"/>
        <v/>
      </c>
      <c r="Y146" s="211" t="str">
        <f t="shared" si="20"/>
        <v/>
      </c>
      <c r="Z146" s="82"/>
    </row>
    <row r="147" ht="20" customHeight="1" spans="1:26">
      <c r="A147" s="64">
        <v>134</v>
      </c>
      <c r="B147" s="65"/>
      <c r="C147" s="66"/>
      <c r="D147" s="67"/>
      <c r="E147" s="82"/>
      <c r="F147" s="82"/>
      <c r="G147" s="82"/>
      <c r="H147" s="82"/>
      <c r="I147" s="93" t="str">
        <f t="shared" si="14"/>
        <v/>
      </c>
      <c r="J147" s="82"/>
      <c r="K147" s="94" t="str">
        <f>IF(OR(D147="",E147=""),"",IF(J147="",G147,IF(D147="Buy",MROUND(MAX(E147*(1-Settings!$K$8),J147*(1-Settings!$K$6)),Settings!$K$10),MROUND(MIN(E147*(1+Settings!$K$8),J147*(1+Settings!$K$6)),Settings!$K$10))))</f>
        <v/>
      </c>
      <c r="L147" s="95" t="str">
        <f t="shared" si="15"/>
        <v/>
      </c>
      <c r="M147" s="82"/>
      <c r="N147" s="94" t="str">
        <f>IF(OR(D147="",E147=""),"",IF(M147="",H147,IF(D147="Buy",MROUND(MAX(E147*(1-Settings!$K$8),M147*(1-Settings!$K$6)),Settings!$K$10),MROUND(MIN(E147*(1+Settings!$K$8),M147*(1+Settings!$K$6)),Settings!$K$10))))</f>
        <v/>
      </c>
      <c r="O147" s="95" t="str">
        <f t="shared" si="16"/>
        <v/>
      </c>
      <c r="P147" s="82"/>
      <c r="Q147" s="94" t="str">
        <f>IF(OR(D147="",P147=""),"",IF(D147="Buy",MROUND(P147*(1-Settings!$K$6),Settings!$K$10),MROUND(P147*(1+Settings!$K$6),Settings!$K$10)))</f>
        <v/>
      </c>
      <c r="R147" s="95" t="str">
        <f t="shared" si="17"/>
        <v/>
      </c>
      <c r="S147" s="82"/>
      <c r="T147" s="94" t="str">
        <f>IF(OR(D147="",S147=""),"",IF(D147="Buy",MROUND(S147*(1-Settings!$K$6),Settings!$K$10),MROUND(S147*(1+Settings!$K$6),Settings!$K$10)))</f>
        <v/>
      </c>
      <c r="U147" s="67"/>
      <c r="V147" s="211" t="str">
        <f t="shared" si="18"/>
        <v/>
      </c>
      <c r="W147" s="110"/>
      <c r="X147" s="211" t="str">
        <f t="shared" si="19"/>
        <v/>
      </c>
      <c r="Y147" s="211" t="str">
        <f t="shared" si="20"/>
        <v/>
      </c>
      <c r="Z147" s="82"/>
    </row>
    <row r="148" ht="20" customHeight="1" spans="1:26">
      <c r="A148" s="64">
        <v>135</v>
      </c>
      <c r="B148" s="65"/>
      <c r="C148" s="66"/>
      <c r="D148" s="67"/>
      <c r="E148" s="82"/>
      <c r="F148" s="82"/>
      <c r="G148" s="82"/>
      <c r="H148" s="82"/>
      <c r="I148" s="93" t="str">
        <f t="shared" si="14"/>
        <v/>
      </c>
      <c r="J148" s="82"/>
      <c r="K148" s="94" t="str">
        <f>IF(OR(D148="",E148=""),"",IF(J148="",G148,IF(D148="Buy",MROUND(MAX(E148*(1-Settings!$K$8),J148*(1-Settings!$K$6)),Settings!$K$10),MROUND(MIN(E148*(1+Settings!$K$8),J148*(1+Settings!$K$6)),Settings!$K$10))))</f>
        <v/>
      </c>
      <c r="L148" s="95" t="str">
        <f t="shared" si="15"/>
        <v/>
      </c>
      <c r="M148" s="82"/>
      <c r="N148" s="94" t="str">
        <f>IF(OR(D148="",E148=""),"",IF(M148="",H148,IF(D148="Buy",MROUND(MAX(E148*(1-Settings!$K$8),M148*(1-Settings!$K$6)),Settings!$K$10),MROUND(MIN(E148*(1+Settings!$K$8),M148*(1+Settings!$K$6)),Settings!$K$10))))</f>
        <v/>
      </c>
      <c r="O148" s="95" t="str">
        <f t="shared" si="16"/>
        <v/>
      </c>
      <c r="P148" s="82"/>
      <c r="Q148" s="94" t="str">
        <f>IF(OR(D148="",P148=""),"",IF(D148="Buy",MROUND(P148*(1-Settings!$K$6),Settings!$K$10),MROUND(P148*(1+Settings!$K$6),Settings!$K$10)))</f>
        <v/>
      </c>
      <c r="R148" s="95" t="str">
        <f t="shared" si="17"/>
        <v/>
      </c>
      <c r="S148" s="82"/>
      <c r="T148" s="94" t="str">
        <f>IF(OR(D148="",S148=""),"",IF(D148="Buy",MROUND(S148*(1-Settings!$K$6),Settings!$K$10),MROUND(S148*(1+Settings!$K$6),Settings!$K$10)))</f>
        <v/>
      </c>
      <c r="U148" s="67"/>
      <c r="V148" s="211" t="str">
        <f t="shared" si="18"/>
        <v/>
      </c>
      <c r="W148" s="110"/>
      <c r="X148" s="211" t="str">
        <f t="shared" si="19"/>
        <v/>
      </c>
      <c r="Y148" s="211" t="str">
        <f t="shared" si="20"/>
        <v/>
      </c>
      <c r="Z148" s="82"/>
    </row>
    <row r="149" ht="20" customHeight="1" spans="1:26">
      <c r="A149" s="64">
        <v>136</v>
      </c>
      <c r="B149" s="65"/>
      <c r="C149" s="66"/>
      <c r="D149" s="67"/>
      <c r="E149" s="82"/>
      <c r="F149" s="82"/>
      <c r="G149" s="82"/>
      <c r="H149" s="82"/>
      <c r="I149" s="93" t="str">
        <f t="shared" si="14"/>
        <v/>
      </c>
      <c r="J149" s="82"/>
      <c r="K149" s="94" t="str">
        <f>IF(OR(D149="",E149=""),"",IF(J149="",G149,IF(D149="Buy",MROUND(MAX(E149*(1-Settings!$K$8),J149*(1-Settings!$K$6)),Settings!$K$10),MROUND(MIN(E149*(1+Settings!$K$8),J149*(1+Settings!$K$6)),Settings!$K$10))))</f>
        <v/>
      </c>
      <c r="L149" s="95" t="str">
        <f t="shared" si="15"/>
        <v/>
      </c>
      <c r="M149" s="82"/>
      <c r="N149" s="94" t="str">
        <f>IF(OR(D149="",E149=""),"",IF(M149="",H149,IF(D149="Buy",MROUND(MAX(E149*(1-Settings!$K$8),M149*(1-Settings!$K$6)),Settings!$K$10),MROUND(MIN(E149*(1+Settings!$K$8),M149*(1+Settings!$K$6)),Settings!$K$10))))</f>
        <v/>
      </c>
      <c r="O149" s="95" t="str">
        <f t="shared" si="16"/>
        <v/>
      </c>
      <c r="P149" s="82"/>
      <c r="Q149" s="94" t="str">
        <f>IF(OR(D149="",P149=""),"",IF(D149="Buy",MROUND(P149*(1-Settings!$K$6),Settings!$K$10),MROUND(P149*(1+Settings!$K$6),Settings!$K$10)))</f>
        <v/>
      </c>
      <c r="R149" s="95" t="str">
        <f t="shared" si="17"/>
        <v/>
      </c>
      <c r="S149" s="82"/>
      <c r="T149" s="94" t="str">
        <f>IF(OR(D149="",S149=""),"",IF(D149="Buy",MROUND(S149*(1-Settings!$K$6),Settings!$K$10),MROUND(S149*(1+Settings!$K$6),Settings!$K$10)))</f>
        <v/>
      </c>
      <c r="U149" s="67"/>
      <c r="V149" s="211" t="str">
        <f t="shared" si="18"/>
        <v/>
      </c>
      <c r="W149" s="110"/>
      <c r="X149" s="211" t="str">
        <f t="shared" si="19"/>
        <v/>
      </c>
      <c r="Y149" s="211" t="str">
        <f t="shared" si="20"/>
        <v/>
      </c>
      <c r="Z149" s="82"/>
    </row>
    <row r="150" ht="20" customHeight="1" spans="1:26">
      <c r="A150" s="64">
        <v>137</v>
      </c>
      <c r="B150" s="65"/>
      <c r="C150" s="66"/>
      <c r="D150" s="67"/>
      <c r="E150" s="82"/>
      <c r="F150" s="82"/>
      <c r="G150" s="82"/>
      <c r="H150" s="82"/>
      <c r="I150" s="93" t="str">
        <f t="shared" si="14"/>
        <v/>
      </c>
      <c r="J150" s="82"/>
      <c r="K150" s="94" t="str">
        <f>IF(OR(D150="",E150=""),"",IF(J150="",G150,IF(D150="Buy",MROUND(MAX(E150*(1-Settings!$K$8),J150*(1-Settings!$K$6)),Settings!$K$10),MROUND(MIN(E150*(1+Settings!$K$8),J150*(1+Settings!$K$6)),Settings!$K$10))))</f>
        <v/>
      </c>
      <c r="L150" s="95" t="str">
        <f t="shared" si="15"/>
        <v/>
      </c>
      <c r="M150" s="82"/>
      <c r="N150" s="94" t="str">
        <f>IF(OR(D150="",E150=""),"",IF(M150="",H150,IF(D150="Buy",MROUND(MAX(E150*(1-Settings!$K$8),M150*(1-Settings!$K$6)),Settings!$K$10),MROUND(MIN(E150*(1+Settings!$K$8),M150*(1+Settings!$K$6)),Settings!$K$10))))</f>
        <v/>
      </c>
      <c r="O150" s="95" t="str">
        <f t="shared" si="16"/>
        <v/>
      </c>
      <c r="P150" s="82"/>
      <c r="Q150" s="94" t="str">
        <f>IF(OR(D150="",P150=""),"",IF(D150="Buy",MROUND(P150*(1-Settings!$K$6),Settings!$K$10),MROUND(P150*(1+Settings!$K$6),Settings!$K$10)))</f>
        <v/>
      </c>
      <c r="R150" s="95" t="str">
        <f t="shared" si="17"/>
        <v/>
      </c>
      <c r="S150" s="82"/>
      <c r="T150" s="94" t="str">
        <f>IF(OR(D150="",S150=""),"",IF(D150="Buy",MROUND(S150*(1-Settings!$K$6),Settings!$K$10),MROUND(S150*(1+Settings!$K$6),Settings!$K$10)))</f>
        <v/>
      </c>
      <c r="U150" s="67"/>
      <c r="V150" s="211" t="str">
        <f t="shared" si="18"/>
        <v/>
      </c>
      <c r="W150" s="110"/>
      <c r="X150" s="211" t="str">
        <f t="shared" si="19"/>
        <v/>
      </c>
      <c r="Y150" s="211" t="str">
        <f t="shared" si="20"/>
        <v/>
      </c>
      <c r="Z150" s="82"/>
    </row>
    <row r="151" ht="20" customHeight="1" spans="1:26">
      <c r="A151" s="64">
        <v>138</v>
      </c>
      <c r="B151" s="65"/>
      <c r="C151" s="66"/>
      <c r="D151" s="67"/>
      <c r="E151" s="82"/>
      <c r="F151" s="82"/>
      <c r="G151" s="82"/>
      <c r="H151" s="82"/>
      <c r="I151" s="93" t="str">
        <f t="shared" si="14"/>
        <v/>
      </c>
      <c r="J151" s="82"/>
      <c r="K151" s="94" t="str">
        <f>IF(OR(D151="",E151=""),"",IF(J151="",G151,IF(D151="Buy",MROUND(MAX(E151*(1-Settings!$K$8),J151*(1-Settings!$K$6)),Settings!$K$10),MROUND(MIN(E151*(1+Settings!$K$8),J151*(1+Settings!$K$6)),Settings!$K$10))))</f>
        <v/>
      </c>
      <c r="L151" s="95" t="str">
        <f t="shared" si="15"/>
        <v/>
      </c>
      <c r="M151" s="82"/>
      <c r="N151" s="94" t="str">
        <f>IF(OR(D151="",E151=""),"",IF(M151="",H151,IF(D151="Buy",MROUND(MAX(E151*(1-Settings!$K$8),M151*(1-Settings!$K$6)),Settings!$K$10),MROUND(MIN(E151*(1+Settings!$K$8),M151*(1+Settings!$K$6)),Settings!$K$10))))</f>
        <v/>
      </c>
      <c r="O151" s="95" t="str">
        <f t="shared" si="16"/>
        <v/>
      </c>
      <c r="P151" s="82"/>
      <c r="Q151" s="94" t="str">
        <f>IF(OR(D151="",P151=""),"",IF(D151="Buy",MROUND(P151*(1-Settings!$K$6),Settings!$K$10),MROUND(P151*(1+Settings!$K$6),Settings!$K$10)))</f>
        <v/>
      </c>
      <c r="R151" s="95" t="str">
        <f t="shared" si="17"/>
        <v/>
      </c>
      <c r="S151" s="82"/>
      <c r="T151" s="94" t="str">
        <f>IF(OR(D151="",S151=""),"",IF(D151="Buy",MROUND(S151*(1-Settings!$K$6),Settings!$K$10),MROUND(S151*(1+Settings!$K$6),Settings!$K$10)))</f>
        <v/>
      </c>
      <c r="U151" s="67"/>
      <c r="V151" s="211" t="str">
        <f t="shared" si="18"/>
        <v/>
      </c>
      <c r="W151" s="110"/>
      <c r="X151" s="211" t="str">
        <f t="shared" si="19"/>
        <v/>
      </c>
      <c r="Y151" s="211" t="str">
        <f t="shared" si="20"/>
        <v/>
      </c>
      <c r="Z151" s="82"/>
    </row>
    <row r="152" ht="20" customHeight="1" spans="1:26">
      <c r="A152" s="64">
        <v>139</v>
      </c>
      <c r="B152" s="65"/>
      <c r="C152" s="66"/>
      <c r="D152" s="67"/>
      <c r="E152" s="82"/>
      <c r="F152" s="82"/>
      <c r="G152" s="82"/>
      <c r="H152" s="82"/>
      <c r="I152" s="93" t="str">
        <f t="shared" si="14"/>
        <v/>
      </c>
      <c r="J152" s="82"/>
      <c r="K152" s="94" t="str">
        <f>IF(OR(D152="",E152=""),"",IF(J152="",G152,IF(D152="Buy",MROUND(MAX(E152*(1-Settings!$K$8),J152*(1-Settings!$K$6)),Settings!$K$10),MROUND(MIN(E152*(1+Settings!$K$8),J152*(1+Settings!$K$6)),Settings!$K$10))))</f>
        <v/>
      </c>
      <c r="L152" s="95" t="str">
        <f t="shared" si="15"/>
        <v/>
      </c>
      <c r="M152" s="82"/>
      <c r="N152" s="94" t="str">
        <f>IF(OR(D152="",E152=""),"",IF(M152="",H152,IF(D152="Buy",MROUND(MAX(E152*(1-Settings!$K$8),M152*(1-Settings!$K$6)),Settings!$K$10),MROUND(MIN(E152*(1+Settings!$K$8),M152*(1+Settings!$K$6)),Settings!$K$10))))</f>
        <v/>
      </c>
      <c r="O152" s="95" t="str">
        <f t="shared" si="16"/>
        <v/>
      </c>
      <c r="P152" s="82"/>
      <c r="Q152" s="94" t="str">
        <f>IF(OR(D152="",P152=""),"",IF(D152="Buy",MROUND(P152*(1-Settings!$K$6),Settings!$K$10),MROUND(P152*(1+Settings!$K$6),Settings!$K$10)))</f>
        <v/>
      </c>
      <c r="R152" s="95" t="str">
        <f t="shared" si="17"/>
        <v/>
      </c>
      <c r="S152" s="82"/>
      <c r="T152" s="94" t="str">
        <f>IF(OR(D152="",S152=""),"",IF(D152="Buy",MROUND(S152*(1-Settings!$K$6),Settings!$K$10),MROUND(S152*(1+Settings!$K$6),Settings!$K$10)))</f>
        <v/>
      </c>
      <c r="U152" s="67"/>
      <c r="V152" s="211" t="str">
        <f t="shared" si="18"/>
        <v/>
      </c>
      <c r="W152" s="110"/>
      <c r="X152" s="211" t="str">
        <f t="shared" si="19"/>
        <v/>
      </c>
      <c r="Y152" s="211" t="str">
        <f t="shared" si="20"/>
        <v/>
      </c>
      <c r="Z152" s="82"/>
    </row>
    <row r="153" ht="20" customHeight="1" spans="1:26">
      <c r="A153" s="64">
        <v>140</v>
      </c>
      <c r="B153" s="65"/>
      <c r="C153" s="66"/>
      <c r="D153" s="67"/>
      <c r="E153" s="82"/>
      <c r="F153" s="82"/>
      <c r="G153" s="82"/>
      <c r="H153" s="82"/>
      <c r="I153" s="93" t="str">
        <f t="shared" si="14"/>
        <v/>
      </c>
      <c r="J153" s="82"/>
      <c r="K153" s="94" t="str">
        <f>IF(OR(D153="",E153=""),"",IF(J153="",G153,IF(D153="Buy",MROUND(MAX(E153*(1-Settings!$K$8),J153*(1-Settings!$K$6)),Settings!$K$10),MROUND(MIN(E153*(1+Settings!$K$8),J153*(1+Settings!$K$6)),Settings!$K$10))))</f>
        <v/>
      </c>
      <c r="L153" s="95" t="str">
        <f t="shared" si="15"/>
        <v/>
      </c>
      <c r="M153" s="82"/>
      <c r="N153" s="94" t="str">
        <f>IF(OR(D153="",E153=""),"",IF(M153="",H153,IF(D153="Buy",MROUND(MAX(E153*(1-Settings!$K$8),M153*(1-Settings!$K$6)),Settings!$K$10),MROUND(MIN(E153*(1+Settings!$K$8),M153*(1+Settings!$K$6)),Settings!$K$10))))</f>
        <v/>
      </c>
      <c r="O153" s="95" t="str">
        <f t="shared" si="16"/>
        <v/>
      </c>
      <c r="P153" s="82"/>
      <c r="Q153" s="94" t="str">
        <f>IF(OR(D153="",P153=""),"",IF(D153="Buy",MROUND(P153*(1-Settings!$K$6),Settings!$K$10),MROUND(P153*(1+Settings!$K$6),Settings!$K$10)))</f>
        <v/>
      </c>
      <c r="R153" s="95" t="str">
        <f t="shared" si="17"/>
        <v/>
      </c>
      <c r="S153" s="82"/>
      <c r="T153" s="94" t="str">
        <f>IF(OR(D153="",S153=""),"",IF(D153="Buy",MROUND(S153*(1-Settings!$K$6),Settings!$K$10),MROUND(S153*(1+Settings!$K$6),Settings!$K$10)))</f>
        <v/>
      </c>
      <c r="U153" s="67"/>
      <c r="V153" s="211" t="str">
        <f t="shared" si="18"/>
        <v/>
      </c>
      <c r="W153" s="110"/>
      <c r="X153" s="211" t="str">
        <f t="shared" si="19"/>
        <v/>
      </c>
      <c r="Y153" s="211" t="str">
        <f t="shared" si="20"/>
        <v/>
      </c>
      <c r="Z153" s="82"/>
    </row>
    <row r="154" ht="20" customHeight="1" spans="1:26">
      <c r="A154" s="64">
        <v>141</v>
      </c>
      <c r="B154" s="65"/>
      <c r="C154" s="66"/>
      <c r="D154" s="67"/>
      <c r="E154" s="82"/>
      <c r="F154" s="82"/>
      <c r="G154" s="82"/>
      <c r="H154" s="82"/>
      <c r="I154" s="93" t="str">
        <f t="shared" si="14"/>
        <v/>
      </c>
      <c r="J154" s="82"/>
      <c r="K154" s="94" t="str">
        <f>IF(OR(D154="",E154=""),"",IF(J154="",G154,IF(D154="Buy",MROUND(MAX(E154*(1-Settings!$K$8),J154*(1-Settings!$K$6)),Settings!$K$10),MROUND(MIN(E154*(1+Settings!$K$8),J154*(1+Settings!$K$6)),Settings!$K$10))))</f>
        <v/>
      </c>
      <c r="L154" s="95" t="str">
        <f t="shared" si="15"/>
        <v/>
      </c>
      <c r="M154" s="82"/>
      <c r="N154" s="94" t="str">
        <f>IF(OR(D154="",E154=""),"",IF(M154="",H154,IF(D154="Buy",MROUND(MAX(E154*(1-Settings!$K$8),M154*(1-Settings!$K$6)),Settings!$K$10),MROUND(MIN(E154*(1+Settings!$K$8),M154*(1+Settings!$K$6)),Settings!$K$10))))</f>
        <v/>
      </c>
      <c r="O154" s="95" t="str">
        <f t="shared" si="16"/>
        <v/>
      </c>
      <c r="P154" s="82"/>
      <c r="Q154" s="94" t="str">
        <f>IF(OR(D154="",P154=""),"",IF(D154="Buy",MROUND(P154*(1-Settings!$K$6),Settings!$K$10),MROUND(P154*(1+Settings!$K$6),Settings!$K$10)))</f>
        <v/>
      </c>
      <c r="R154" s="95" t="str">
        <f t="shared" si="17"/>
        <v/>
      </c>
      <c r="S154" s="82"/>
      <c r="T154" s="94" t="str">
        <f>IF(OR(D154="",S154=""),"",IF(D154="Buy",MROUND(S154*(1-Settings!$K$6),Settings!$K$10),MROUND(S154*(1+Settings!$K$6),Settings!$K$10)))</f>
        <v/>
      </c>
      <c r="U154" s="67"/>
      <c r="V154" s="211" t="str">
        <f t="shared" si="18"/>
        <v/>
      </c>
      <c r="W154" s="110"/>
      <c r="X154" s="211" t="str">
        <f t="shared" si="19"/>
        <v/>
      </c>
      <c r="Y154" s="211" t="str">
        <f t="shared" si="20"/>
        <v/>
      </c>
      <c r="Z154" s="82"/>
    </row>
    <row r="155" ht="20" customHeight="1" spans="1:26">
      <c r="A155" s="64">
        <v>142</v>
      </c>
      <c r="B155" s="65"/>
      <c r="C155" s="66"/>
      <c r="D155" s="67"/>
      <c r="E155" s="82"/>
      <c r="F155" s="82"/>
      <c r="G155" s="82"/>
      <c r="H155" s="82"/>
      <c r="I155" s="93" t="str">
        <f t="shared" si="14"/>
        <v/>
      </c>
      <c r="J155" s="82"/>
      <c r="K155" s="94" t="str">
        <f>IF(OR(D155="",E155=""),"",IF(J155="",G155,IF(D155="Buy",MROUND(MAX(E155*(1-Settings!$K$8),J155*(1-Settings!$K$6)),Settings!$K$10),MROUND(MIN(E155*(1+Settings!$K$8),J155*(1+Settings!$K$6)),Settings!$K$10))))</f>
        <v/>
      </c>
      <c r="L155" s="95" t="str">
        <f t="shared" si="15"/>
        <v/>
      </c>
      <c r="M155" s="82"/>
      <c r="N155" s="94" t="str">
        <f>IF(OR(D155="",E155=""),"",IF(M155="",H155,IF(D155="Buy",MROUND(MAX(E155*(1-Settings!$K$8),M155*(1-Settings!$K$6)),Settings!$K$10),MROUND(MIN(E155*(1+Settings!$K$8),M155*(1+Settings!$K$6)),Settings!$K$10))))</f>
        <v/>
      </c>
      <c r="O155" s="95" t="str">
        <f t="shared" si="16"/>
        <v/>
      </c>
      <c r="P155" s="82"/>
      <c r="Q155" s="94" t="str">
        <f>IF(OR(D155="",P155=""),"",IF(D155="Buy",MROUND(P155*(1-Settings!$K$6),Settings!$K$10),MROUND(P155*(1+Settings!$K$6),Settings!$K$10)))</f>
        <v/>
      </c>
      <c r="R155" s="95" t="str">
        <f t="shared" si="17"/>
        <v/>
      </c>
      <c r="S155" s="82"/>
      <c r="T155" s="94" t="str">
        <f>IF(OR(D155="",S155=""),"",IF(D155="Buy",MROUND(S155*(1-Settings!$K$6),Settings!$K$10),MROUND(S155*(1+Settings!$K$6),Settings!$K$10)))</f>
        <v/>
      </c>
      <c r="U155" s="67"/>
      <c r="V155" s="211" t="str">
        <f t="shared" si="18"/>
        <v/>
      </c>
      <c r="W155" s="110"/>
      <c r="X155" s="211" t="str">
        <f t="shared" si="19"/>
        <v/>
      </c>
      <c r="Y155" s="211" t="str">
        <f t="shared" si="20"/>
        <v/>
      </c>
      <c r="Z155" s="82"/>
    </row>
    <row r="156" ht="20" customHeight="1" spans="1:26">
      <c r="A156" s="64">
        <v>143</v>
      </c>
      <c r="B156" s="65"/>
      <c r="C156" s="66"/>
      <c r="D156" s="67"/>
      <c r="E156" s="82"/>
      <c r="F156" s="82"/>
      <c r="G156" s="82"/>
      <c r="H156" s="82"/>
      <c r="I156" s="93" t="str">
        <f t="shared" si="14"/>
        <v/>
      </c>
      <c r="J156" s="82"/>
      <c r="K156" s="94" t="str">
        <f>IF(OR(D156="",E156=""),"",IF(J156="",G156,IF(D156="Buy",MROUND(MAX(E156*(1-Settings!$K$8),J156*(1-Settings!$K$6)),Settings!$K$10),MROUND(MIN(E156*(1+Settings!$K$8),J156*(1+Settings!$K$6)),Settings!$K$10))))</f>
        <v/>
      </c>
      <c r="L156" s="95" t="str">
        <f t="shared" si="15"/>
        <v/>
      </c>
      <c r="M156" s="82"/>
      <c r="N156" s="94" t="str">
        <f>IF(OR(D156="",E156=""),"",IF(M156="",H156,IF(D156="Buy",MROUND(MAX(E156*(1-Settings!$K$8),M156*(1-Settings!$K$6)),Settings!$K$10),MROUND(MIN(E156*(1+Settings!$K$8),M156*(1+Settings!$K$6)),Settings!$K$10))))</f>
        <v/>
      </c>
      <c r="O156" s="95" t="str">
        <f t="shared" si="16"/>
        <v/>
      </c>
      <c r="P156" s="82"/>
      <c r="Q156" s="94" t="str">
        <f>IF(OR(D156="",P156=""),"",IF(D156="Buy",MROUND(P156*(1-Settings!$K$6),Settings!$K$10),MROUND(P156*(1+Settings!$K$6),Settings!$K$10)))</f>
        <v/>
      </c>
      <c r="R156" s="95" t="str">
        <f t="shared" si="17"/>
        <v/>
      </c>
      <c r="S156" s="82"/>
      <c r="T156" s="94" t="str">
        <f>IF(OR(D156="",S156=""),"",IF(D156="Buy",MROUND(S156*(1-Settings!$K$6),Settings!$K$10),MROUND(S156*(1+Settings!$K$6),Settings!$K$10)))</f>
        <v/>
      </c>
      <c r="U156" s="67"/>
      <c r="V156" s="211" t="str">
        <f t="shared" si="18"/>
        <v/>
      </c>
      <c r="W156" s="110"/>
      <c r="X156" s="211" t="str">
        <f t="shared" si="19"/>
        <v/>
      </c>
      <c r="Y156" s="211" t="str">
        <f t="shared" si="20"/>
        <v/>
      </c>
      <c r="Z156" s="82"/>
    </row>
    <row r="157" ht="20" customHeight="1" spans="1:26">
      <c r="A157" s="64">
        <v>144</v>
      </c>
      <c r="B157" s="65"/>
      <c r="C157" s="66"/>
      <c r="D157" s="67"/>
      <c r="E157" s="82"/>
      <c r="F157" s="82"/>
      <c r="G157" s="82"/>
      <c r="H157" s="82"/>
      <c r="I157" s="93" t="str">
        <f t="shared" si="14"/>
        <v/>
      </c>
      <c r="J157" s="82"/>
      <c r="K157" s="94" t="str">
        <f>IF(OR(D157="",E157=""),"",IF(J157="",G157,IF(D157="Buy",MROUND(MAX(E157*(1-Settings!$K$8),J157*(1-Settings!$K$6)),Settings!$K$10),MROUND(MIN(E157*(1+Settings!$K$8),J157*(1+Settings!$K$6)),Settings!$K$10))))</f>
        <v/>
      </c>
      <c r="L157" s="95" t="str">
        <f t="shared" si="15"/>
        <v/>
      </c>
      <c r="M157" s="82"/>
      <c r="N157" s="94" t="str">
        <f>IF(OR(D157="",E157=""),"",IF(M157="",H157,IF(D157="Buy",MROUND(MAX(E157*(1-Settings!$K$8),M157*(1-Settings!$K$6)),Settings!$K$10),MROUND(MIN(E157*(1+Settings!$K$8),M157*(1+Settings!$K$6)),Settings!$K$10))))</f>
        <v/>
      </c>
      <c r="O157" s="95" t="str">
        <f t="shared" si="16"/>
        <v/>
      </c>
      <c r="P157" s="82"/>
      <c r="Q157" s="94" t="str">
        <f>IF(OR(D157="",P157=""),"",IF(D157="Buy",MROUND(P157*(1-Settings!$K$6),Settings!$K$10),MROUND(P157*(1+Settings!$K$6),Settings!$K$10)))</f>
        <v/>
      </c>
      <c r="R157" s="95" t="str">
        <f t="shared" si="17"/>
        <v/>
      </c>
      <c r="S157" s="82"/>
      <c r="T157" s="94" t="str">
        <f>IF(OR(D157="",S157=""),"",IF(D157="Buy",MROUND(S157*(1-Settings!$K$6),Settings!$K$10),MROUND(S157*(1+Settings!$K$6),Settings!$K$10)))</f>
        <v/>
      </c>
      <c r="U157" s="67"/>
      <c r="V157" s="211" t="str">
        <f t="shared" si="18"/>
        <v/>
      </c>
      <c r="W157" s="110"/>
      <c r="X157" s="211" t="str">
        <f t="shared" si="19"/>
        <v/>
      </c>
      <c r="Y157" s="211" t="str">
        <f t="shared" si="20"/>
        <v/>
      </c>
      <c r="Z157" s="82"/>
    </row>
    <row r="158" ht="20" customHeight="1" spans="1:26">
      <c r="A158" s="64">
        <v>145</v>
      </c>
      <c r="B158" s="65"/>
      <c r="C158" s="66"/>
      <c r="D158" s="67"/>
      <c r="E158" s="82"/>
      <c r="F158" s="82"/>
      <c r="G158" s="82"/>
      <c r="H158" s="82"/>
      <c r="I158" s="93" t="str">
        <f t="shared" si="14"/>
        <v/>
      </c>
      <c r="J158" s="82"/>
      <c r="K158" s="94" t="str">
        <f>IF(OR(D158="",E158=""),"",IF(J158="",G158,IF(D158="Buy",MROUND(MAX(E158*(1-Settings!$K$8),J158*(1-Settings!$K$6)),Settings!$K$10),MROUND(MIN(E158*(1+Settings!$K$8),J158*(1+Settings!$K$6)),Settings!$K$10))))</f>
        <v/>
      </c>
      <c r="L158" s="95" t="str">
        <f t="shared" si="15"/>
        <v/>
      </c>
      <c r="M158" s="82"/>
      <c r="N158" s="94" t="str">
        <f>IF(OR(D158="",E158=""),"",IF(M158="",H158,IF(D158="Buy",MROUND(MAX(E158*(1-Settings!$K$8),M158*(1-Settings!$K$6)),Settings!$K$10),MROUND(MIN(E158*(1+Settings!$K$8),M158*(1+Settings!$K$6)),Settings!$K$10))))</f>
        <v/>
      </c>
      <c r="O158" s="95" t="str">
        <f t="shared" si="16"/>
        <v/>
      </c>
      <c r="P158" s="82"/>
      <c r="Q158" s="94" t="str">
        <f>IF(OR(D158="",P158=""),"",IF(D158="Buy",MROUND(P158*(1-Settings!$K$6),Settings!$K$10),MROUND(P158*(1+Settings!$K$6),Settings!$K$10)))</f>
        <v/>
      </c>
      <c r="R158" s="95" t="str">
        <f t="shared" si="17"/>
        <v/>
      </c>
      <c r="S158" s="82"/>
      <c r="T158" s="94" t="str">
        <f>IF(OR(D158="",S158=""),"",IF(D158="Buy",MROUND(S158*(1-Settings!$K$6),Settings!$K$10),MROUND(S158*(1+Settings!$K$6),Settings!$K$10)))</f>
        <v/>
      </c>
      <c r="U158" s="67"/>
      <c r="V158" s="211" t="str">
        <f t="shared" si="18"/>
        <v/>
      </c>
      <c r="W158" s="110"/>
      <c r="X158" s="211" t="str">
        <f t="shared" si="19"/>
        <v/>
      </c>
      <c r="Y158" s="211" t="str">
        <f t="shared" si="20"/>
        <v/>
      </c>
      <c r="Z158" s="82"/>
    </row>
    <row r="159" ht="20" customHeight="1" spans="1:26">
      <c r="A159" s="64">
        <v>146</v>
      </c>
      <c r="B159" s="65"/>
      <c r="C159" s="66"/>
      <c r="D159" s="67"/>
      <c r="E159" s="82"/>
      <c r="F159" s="82"/>
      <c r="G159" s="82"/>
      <c r="H159" s="82"/>
      <c r="I159" s="93" t="str">
        <f t="shared" si="14"/>
        <v/>
      </c>
      <c r="J159" s="82"/>
      <c r="K159" s="94" t="str">
        <f>IF(OR(D159="",E159=""),"",IF(J159="",G159,IF(D159="Buy",MROUND(MAX(E159*(1-Settings!$K$8),J159*(1-Settings!$K$6)),Settings!$K$10),MROUND(MIN(E159*(1+Settings!$K$8),J159*(1+Settings!$K$6)),Settings!$K$10))))</f>
        <v/>
      </c>
      <c r="L159" s="95" t="str">
        <f t="shared" si="15"/>
        <v/>
      </c>
      <c r="M159" s="82"/>
      <c r="N159" s="94" t="str">
        <f>IF(OR(D159="",E159=""),"",IF(M159="",H159,IF(D159="Buy",MROUND(MAX(E159*(1-Settings!$K$8),M159*(1-Settings!$K$6)),Settings!$K$10),MROUND(MIN(E159*(1+Settings!$K$8),M159*(1+Settings!$K$6)),Settings!$K$10))))</f>
        <v/>
      </c>
      <c r="O159" s="95" t="str">
        <f t="shared" si="16"/>
        <v/>
      </c>
      <c r="P159" s="82"/>
      <c r="Q159" s="94" t="str">
        <f>IF(OR(D159="",P159=""),"",IF(D159="Buy",MROUND(P159*(1-Settings!$K$6),Settings!$K$10),MROUND(P159*(1+Settings!$K$6),Settings!$K$10)))</f>
        <v/>
      </c>
      <c r="R159" s="95" t="str">
        <f t="shared" si="17"/>
        <v/>
      </c>
      <c r="S159" s="82"/>
      <c r="T159" s="94" t="str">
        <f>IF(OR(D159="",S159=""),"",IF(D159="Buy",MROUND(S159*(1-Settings!$K$6),Settings!$K$10),MROUND(S159*(1+Settings!$K$6),Settings!$K$10)))</f>
        <v/>
      </c>
      <c r="U159" s="67"/>
      <c r="V159" s="211" t="str">
        <f t="shared" si="18"/>
        <v/>
      </c>
      <c r="W159" s="110"/>
      <c r="X159" s="211" t="str">
        <f t="shared" si="19"/>
        <v/>
      </c>
      <c r="Y159" s="211" t="str">
        <f t="shared" si="20"/>
        <v/>
      </c>
      <c r="Z159" s="82"/>
    </row>
    <row r="160" ht="20" customHeight="1" spans="1:26">
      <c r="A160" s="64">
        <v>147</v>
      </c>
      <c r="B160" s="65"/>
      <c r="C160" s="66"/>
      <c r="D160" s="67"/>
      <c r="E160" s="82"/>
      <c r="F160" s="82"/>
      <c r="G160" s="82"/>
      <c r="H160" s="82"/>
      <c r="I160" s="93" t="str">
        <f t="shared" si="14"/>
        <v/>
      </c>
      <c r="J160" s="82"/>
      <c r="K160" s="94" t="str">
        <f>IF(OR(D160="",E160=""),"",IF(J160="",G160,IF(D160="Buy",MROUND(MAX(E160*(1-Settings!$K$8),J160*(1-Settings!$K$6)),Settings!$K$10),MROUND(MIN(E160*(1+Settings!$K$8),J160*(1+Settings!$K$6)),Settings!$K$10))))</f>
        <v/>
      </c>
      <c r="L160" s="95" t="str">
        <f t="shared" si="15"/>
        <v/>
      </c>
      <c r="M160" s="82"/>
      <c r="N160" s="94" t="str">
        <f>IF(OR(D160="",E160=""),"",IF(M160="",H160,IF(D160="Buy",MROUND(MAX(E160*(1-Settings!$K$8),M160*(1-Settings!$K$6)),Settings!$K$10),MROUND(MIN(E160*(1+Settings!$K$8),M160*(1+Settings!$K$6)),Settings!$K$10))))</f>
        <v/>
      </c>
      <c r="O160" s="95" t="str">
        <f t="shared" si="16"/>
        <v/>
      </c>
      <c r="P160" s="82"/>
      <c r="Q160" s="94" t="str">
        <f>IF(OR(D160="",P160=""),"",IF(D160="Buy",MROUND(P160*(1-Settings!$K$6),Settings!$K$10),MROUND(P160*(1+Settings!$K$6),Settings!$K$10)))</f>
        <v/>
      </c>
      <c r="R160" s="95" t="str">
        <f t="shared" si="17"/>
        <v/>
      </c>
      <c r="S160" s="82"/>
      <c r="T160" s="94" t="str">
        <f>IF(OR(D160="",S160=""),"",IF(D160="Buy",MROUND(S160*(1-Settings!$K$6),Settings!$K$10),MROUND(S160*(1+Settings!$K$6),Settings!$K$10)))</f>
        <v/>
      </c>
      <c r="U160" s="67"/>
      <c r="V160" s="211" t="str">
        <f t="shared" si="18"/>
        <v/>
      </c>
      <c r="W160" s="110"/>
      <c r="X160" s="211" t="str">
        <f t="shared" si="19"/>
        <v/>
      </c>
      <c r="Y160" s="211" t="str">
        <f t="shared" si="20"/>
        <v/>
      </c>
      <c r="Z160" s="82"/>
    </row>
    <row r="161" ht="20" customHeight="1" spans="1:26">
      <c r="A161" s="64">
        <v>148</v>
      </c>
      <c r="B161" s="65"/>
      <c r="C161" s="66"/>
      <c r="D161" s="67"/>
      <c r="E161" s="82"/>
      <c r="F161" s="82"/>
      <c r="G161" s="82"/>
      <c r="H161" s="82"/>
      <c r="I161" s="93" t="str">
        <f t="shared" si="14"/>
        <v/>
      </c>
      <c r="J161" s="82"/>
      <c r="K161" s="94" t="str">
        <f>IF(OR(D161="",E161=""),"",IF(J161="",G161,IF(D161="Buy",MROUND(MAX(E161*(1-Settings!$K$8),J161*(1-Settings!$K$6)),Settings!$K$10),MROUND(MIN(E161*(1+Settings!$K$8),J161*(1+Settings!$K$6)),Settings!$K$10))))</f>
        <v/>
      </c>
      <c r="L161" s="95" t="str">
        <f t="shared" si="15"/>
        <v/>
      </c>
      <c r="M161" s="82"/>
      <c r="N161" s="94" t="str">
        <f>IF(OR(D161="",E161=""),"",IF(M161="",H161,IF(D161="Buy",MROUND(MAX(E161*(1-Settings!$K$8),M161*(1-Settings!$K$6)),Settings!$K$10),MROUND(MIN(E161*(1+Settings!$K$8),M161*(1+Settings!$K$6)),Settings!$K$10))))</f>
        <v/>
      </c>
      <c r="O161" s="95" t="str">
        <f t="shared" si="16"/>
        <v/>
      </c>
      <c r="P161" s="82"/>
      <c r="Q161" s="94" t="str">
        <f>IF(OR(D161="",P161=""),"",IF(D161="Buy",MROUND(P161*(1-Settings!$K$6),Settings!$K$10),MROUND(P161*(1+Settings!$K$6),Settings!$K$10)))</f>
        <v/>
      </c>
      <c r="R161" s="95" t="str">
        <f t="shared" si="17"/>
        <v/>
      </c>
      <c r="S161" s="82"/>
      <c r="T161" s="94" t="str">
        <f>IF(OR(D161="",S161=""),"",IF(D161="Buy",MROUND(S161*(1-Settings!$K$6),Settings!$K$10),MROUND(S161*(1+Settings!$K$6),Settings!$K$10)))</f>
        <v/>
      </c>
      <c r="U161" s="67"/>
      <c r="V161" s="211" t="str">
        <f t="shared" si="18"/>
        <v/>
      </c>
      <c r="W161" s="110"/>
      <c r="X161" s="211" t="str">
        <f t="shared" si="19"/>
        <v/>
      </c>
      <c r="Y161" s="211" t="str">
        <f t="shared" si="20"/>
        <v/>
      </c>
      <c r="Z161" s="82"/>
    </row>
    <row r="162" ht="20" customHeight="1" spans="1:26">
      <c r="A162" s="64">
        <v>149</v>
      </c>
      <c r="B162" s="65"/>
      <c r="C162" s="66"/>
      <c r="D162" s="67"/>
      <c r="E162" s="82"/>
      <c r="F162" s="82"/>
      <c r="G162" s="82"/>
      <c r="H162" s="82"/>
      <c r="I162" s="93" t="str">
        <f t="shared" si="14"/>
        <v/>
      </c>
      <c r="J162" s="82"/>
      <c r="K162" s="94" t="str">
        <f>IF(OR(D162="",E162=""),"",IF(J162="",G162,IF(D162="Buy",MROUND(MAX(E162*(1-Settings!$K$8),J162*(1-Settings!$K$6)),Settings!$K$10),MROUND(MIN(E162*(1+Settings!$K$8),J162*(1+Settings!$K$6)),Settings!$K$10))))</f>
        <v/>
      </c>
      <c r="L162" s="95" t="str">
        <f t="shared" si="15"/>
        <v/>
      </c>
      <c r="M162" s="82"/>
      <c r="N162" s="94" t="str">
        <f>IF(OR(D162="",E162=""),"",IF(M162="",H162,IF(D162="Buy",MROUND(MAX(E162*(1-Settings!$K$8),M162*(1-Settings!$K$6)),Settings!$K$10),MROUND(MIN(E162*(1+Settings!$K$8),M162*(1+Settings!$K$6)),Settings!$K$10))))</f>
        <v/>
      </c>
      <c r="O162" s="95" t="str">
        <f t="shared" si="16"/>
        <v/>
      </c>
      <c r="P162" s="82"/>
      <c r="Q162" s="94" t="str">
        <f>IF(OR(D162="",P162=""),"",IF(D162="Buy",MROUND(P162*(1-Settings!$K$6),Settings!$K$10),MROUND(P162*(1+Settings!$K$6),Settings!$K$10)))</f>
        <v/>
      </c>
      <c r="R162" s="95" t="str">
        <f t="shared" si="17"/>
        <v/>
      </c>
      <c r="S162" s="82"/>
      <c r="T162" s="94" t="str">
        <f>IF(OR(D162="",S162=""),"",IF(D162="Buy",MROUND(S162*(1-Settings!$K$6),Settings!$K$10),MROUND(S162*(1+Settings!$K$6),Settings!$K$10)))</f>
        <v/>
      </c>
      <c r="U162" s="67"/>
      <c r="V162" s="211" t="str">
        <f t="shared" si="18"/>
        <v/>
      </c>
      <c r="W162" s="110"/>
      <c r="X162" s="211" t="str">
        <f t="shared" si="19"/>
        <v/>
      </c>
      <c r="Y162" s="211" t="str">
        <f t="shared" si="20"/>
        <v/>
      </c>
      <c r="Z162" s="82"/>
    </row>
    <row r="163" ht="20" customHeight="1" spans="1:26">
      <c r="A163" s="64">
        <v>150</v>
      </c>
      <c r="B163" s="65"/>
      <c r="C163" s="66"/>
      <c r="D163" s="67"/>
      <c r="E163" s="82"/>
      <c r="F163" s="82"/>
      <c r="G163" s="82"/>
      <c r="H163" s="82"/>
      <c r="I163" s="93" t="str">
        <f t="shared" si="14"/>
        <v/>
      </c>
      <c r="J163" s="82"/>
      <c r="K163" s="94" t="str">
        <f>IF(OR(D163="",E163=""),"",IF(J163="",G163,IF(D163="Buy",MROUND(MAX(E163*(1-Settings!$K$8),J163*(1-Settings!$K$6)),Settings!$K$10),MROUND(MIN(E163*(1+Settings!$K$8),J163*(1+Settings!$K$6)),Settings!$K$10))))</f>
        <v/>
      </c>
      <c r="L163" s="95" t="str">
        <f t="shared" si="15"/>
        <v/>
      </c>
      <c r="M163" s="82"/>
      <c r="N163" s="94" t="str">
        <f>IF(OR(D163="",E163=""),"",IF(M163="",H163,IF(D163="Buy",MROUND(MAX(E163*(1-Settings!$K$8),M163*(1-Settings!$K$6)),Settings!$K$10),MROUND(MIN(E163*(1+Settings!$K$8),M163*(1+Settings!$K$6)),Settings!$K$10))))</f>
        <v/>
      </c>
      <c r="O163" s="95" t="str">
        <f t="shared" si="16"/>
        <v/>
      </c>
      <c r="P163" s="82"/>
      <c r="Q163" s="94" t="str">
        <f>IF(OR(D163="",P163=""),"",IF(D163="Buy",MROUND(P163*(1-Settings!$K$6),Settings!$K$10),MROUND(P163*(1+Settings!$K$6),Settings!$K$10)))</f>
        <v/>
      </c>
      <c r="R163" s="95" t="str">
        <f t="shared" si="17"/>
        <v/>
      </c>
      <c r="S163" s="82"/>
      <c r="T163" s="94" t="str">
        <f>IF(OR(D163="",S163=""),"",IF(D163="Buy",MROUND(S163*(1-Settings!$K$6),Settings!$K$10),MROUND(S163*(1+Settings!$K$6),Settings!$K$10)))</f>
        <v/>
      </c>
      <c r="U163" s="67"/>
      <c r="V163" s="211" t="str">
        <f t="shared" si="18"/>
        <v/>
      </c>
      <c r="W163" s="110"/>
      <c r="X163" s="211" t="str">
        <f t="shared" si="19"/>
        <v/>
      </c>
      <c r="Y163" s="211" t="str">
        <f t="shared" si="20"/>
        <v/>
      </c>
      <c r="Z163" s="82"/>
    </row>
    <row r="164" ht="20" customHeight="1" spans="1:26">
      <c r="A164" s="64">
        <v>151</v>
      </c>
      <c r="B164" s="65"/>
      <c r="C164" s="66"/>
      <c r="D164" s="67"/>
      <c r="E164" s="82"/>
      <c r="F164" s="82"/>
      <c r="G164" s="82"/>
      <c r="H164" s="82"/>
      <c r="I164" s="93" t="str">
        <f t="shared" si="14"/>
        <v/>
      </c>
      <c r="J164" s="82"/>
      <c r="K164" s="94" t="str">
        <f>IF(OR(D164="",E164=""),"",IF(J164="",G164,IF(D164="Buy",MROUND(MAX(E164*(1-Settings!$K$8),J164*(1-Settings!$K$6)),Settings!$K$10),MROUND(MIN(E164*(1+Settings!$K$8),J164*(1+Settings!$K$6)),Settings!$K$10))))</f>
        <v/>
      </c>
      <c r="L164" s="95" t="str">
        <f t="shared" si="15"/>
        <v/>
      </c>
      <c r="M164" s="82"/>
      <c r="N164" s="94" t="str">
        <f>IF(OR(D164="",E164=""),"",IF(M164="",H164,IF(D164="Buy",MROUND(MAX(E164*(1-Settings!$K$8),M164*(1-Settings!$K$6)),Settings!$K$10),MROUND(MIN(E164*(1+Settings!$K$8),M164*(1+Settings!$K$6)),Settings!$K$10))))</f>
        <v/>
      </c>
      <c r="O164" s="95" t="str">
        <f t="shared" si="16"/>
        <v/>
      </c>
      <c r="P164" s="82"/>
      <c r="Q164" s="94" t="str">
        <f>IF(OR(D164="",P164=""),"",IF(D164="Buy",MROUND(P164*(1-Settings!$K$6),Settings!$K$10),MROUND(P164*(1+Settings!$K$6),Settings!$K$10)))</f>
        <v/>
      </c>
      <c r="R164" s="95" t="str">
        <f t="shared" si="17"/>
        <v/>
      </c>
      <c r="S164" s="82"/>
      <c r="T164" s="94" t="str">
        <f>IF(OR(D164="",S164=""),"",IF(D164="Buy",MROUND(S164*(1-Settings!$K$6),Settings!$K$10),MROUND(S164*(1+Settings!$K$6),Settings!$K$10)))</f>
        <v/>
      </c>
      <c r="U164" s="67"/>
      <c r="V164" s="211" t="str">
        <f t="shared" si="18"/>
        <v/>
      </c>
      <c r="W164" s="110"/>
      <c r="X164" s="211" t="str">
        <f t="shared" si="19"/>
        <v/>
      </c>
      <c r="Y164" s="211" t="str">
        <f t="shared" si="20"/>
        <v/>
      </c>
      <c r="Z164" s="82"/>
    </row>
    <row r="165" ht="20" customHeight="1" spans="1:26">
      <c r="A165" s="64">
        <v>152</v>
      </c>
      <c r="B165" s="65"/>
      <c r="C165" s="66"/>
      <c r="D165" s="67"/>
      <c r="E165" s="82"/>
      <c r="F165" s="82"/>
      <c r="G165" s="82"/>
      <c r="H165" s="82"/>
      <c r="I165" s="93" t="str">
        <f t="shared" si="14"/>
        <v/>
      </c>
      <c r="J165" s="82"/>
      <c r="K165" s="94" t="str">
        <f>IF(OR(D165="",E165=""),"",IF(J165="",G165,IF(D165="Buy",MROUND(MAX(E165*(1-Settings!$K$8),J165*(1-Settings!$K$6)),Settings!$K$10),MROUND(MIN(E165*(1+Settings!$K$8),J165*(1+Settings!$K$6)),Settings!$K$10))))</f>
        <v/>
      </c>
      <c r="L165" s="95" t="str">
        <f t="shared" si="15"/>
        <v/>
      </c>
      <c r="M165" s="82"/>
      <c r="N165" s="94" t="str">
        <f>IF(OR(D165="",E165=""),"",IF(M165="",H165,IF(D165="Buy",MROUND(MAX(E165*(1-Settings!$K$8),M165*(1-Settings!$K$6)),Settings!$K$10),MROUND(MIN(E165*(1+Settings!$K$8),M165*(1+Settings!$K$6)),Settings!$K$10))))</f>
        <v/>
      </c>
      <c r="O165" s="95" t="str">
        <f t="shared" si="16"/>
        <v/>
      </c>
      <c r="P165" s="82"/>
      <c r="Q165" s="94" t="str">
        <f>IF(OR(D165="",P165=""),"",IF(D165="Buy",MROUND(P165*(1-Settings!$K$6),Settings!$K$10),MROUND(P165*(1+Settings!$K$6),Settings!$K$10)))</f>
        <v/>
      </c>
      <c r="R165" s="95" t="str">
        <f t="shared" si="17"/>
        <v/>
      </c>
      <c r="S165" s="82"/>
      <c r="T165" s="94" t="str">
        <f>IF(OR(D165="",S165=""),"",IF(D165="Buy",MROUND(S165*(1-Settings!$K$6),Settings!$K$10),MROUND(S165*(1+Settings!$K$6),Settings!$K$10)))</f>
        <v/>
      </c>
      <c r="U165" s="67"/>
      <c r="V165" s="211" t="str">
        <f t="shared" si="18"/>
        <v/>
      </c>
      <c r="W165" s="110"/>
      <c r="X165" s="211" t="str">
        <f t="shared" si="19"/>
        <v/>
      </c>
      <c r="Y165" s="211" t="str">
        <f t="shared" si="20"/>
        <v/>
      </c>
      <c r="Z165" s="82"/>
    </row>
    <row r="166" ht="20" customHeight="1" spans="1:26">
      <c r="A166" s="64">
        <v>153</v>
      </c>
      <c r="B166" s="65"/>
      <c r="C166" s="66"/>
      <c r="D166" s="67"/>
      <c r="E166" s="82"/>
      <c r="F166" s="82"/>
      <c r="G166" s="82"/>
      <c r="H166" s="82"/>
      <c r="I166" s="93" t="str">
        <f t="shared" si="14"/>
        <v/>
      </c>
      <c r="J166" s="82"/>
      <c r="K166" s="94" t="str">
        <f>IF(OR(D166="",E166=""),"",IF(J166="",G166,IF(D166="Buy",MROUND(MAX(E166*(1-Settings!$K$8),J166*(1-Settings!$K$6)),Settings!$K$10),MROUND(MIN(E166*(1+Settings!$K$8),J166*(1+Settings!$K$6)),Settings!$K$10))))</f>
        <v/>
      </c>
      <c r="L166" s="95" t="str">
        <f t="shared" si="15"/>
        <v/>
      </c>
      <c r="M166" s="82"/>
      <c r="N166" s="94" t="str">
        <f>IF(OR(D166="",E166=""),"",IF(M166="",H166,IF(D166="Buy",MROUND(MAX(E166*(1-Settings!$K$8),M166*(1-Settings!$K$6)),Settings!$K$10),MROUND(MIN(E166*(1+Settings!$K$8),M166*(1+Settings!$K$6)),Settings!$K$10))))</f>
        <v/>
      </c>
      <c r="O166" s="95" t="str">
        <f t="shared" si="16"/>
        <v/>
      </c>
      <c r="P166" s="82"/>
      <c r="Q166" s="94" t="str">
        <f>IF(OR(D166="",P166=""),"",IF(D166="Buy",MROUND(P166*(1-Settings!$K$6),Settings!$K$10),MROUND(P166*(1+Settings!$K$6),Settings!$K$10)))</f>
        <v/>
      </c>
      <c r="R166" s="95" t="str">
        <f t="shared" si="17"/>
        <v/>
      </c>
      <c r="S166" s="82"/>
      <c r="T166" s="94" t="str">
        <f>IF(OR(D166="",S166=""),"",IF(D166="Buy",MROUND(S166*(1-Settings!$K$6),Settings!$K$10),MROUND(S166*(1+Settings!$K$6),Settings!$K$10)))</f>
        <v/>
      </c>
      <c r="U166" s="67"/>
      <c r="V166" s="211" t="str">
        <f t="shared" si="18"/>
        <v/>
      </c>
      <c r="W166" s="110"/>
      <c r="X166" s="211" t="str">
        <f t="shared" si="19"/>
        <v/>
      </c>
      <c r="Y166" s="211" t="str">
        <f t="shared" si="20"/>
        <v/>
      </c>
      <c r="Z166" s="82"/>
    </row>
    <row r="167" ht="20" customHeight="1" spans="1:26">
      <c r="A167" s="64">
        <v>154</v>
      </c>
      <c r="B167" s="65"/>
      <c r="C167" s="66"/>
      <c r="D167" s="67"/>
      <c r="E167" s="82"/>
      <c r="F167" s="82"/>
      <c r="G167" s="82"/>
      <c r="H167" s="82"/>
      <c r="I167" s="93" t="str">
        <f t="shared" si="14"/>
        <v/>
      </c>
      <c r="J167" s="82"/>
      <c r="K167" s="94" t="str">
        <f>IF(OR(D167="",E167=""),"",IF(J167="",G167,IF(D167="Buy",MROUND(MAX(E167*(1-Settings!$K$8),J167*(1-Settings!$K$6)),Settings!$K$10),MROUND(MIN(E167*(1+Settings!$K$8),J167*(1+Settings!$K$6)),Settings!$K$10))))</f>
        <v/>
      </c>
      <c r="L167" s="95" t="str">
        <f t="shared" si="15"/>
        <v/>
      </c>
      <c r="M167" s="82"/>
      <c r="N167" s="94" t="str">
        <f>IF(OR(D167="",E167=""),"",IF(M167="",H167,IF(D167="Buy",MROUND(MAX(E167*(1-Settings!$K$8),M167*(1-Settings!$K$6)),Settings!$K$10),MROUND(MIN(E167*(1+Settings!$K$8),M167*(1+Settings!$K$6)),Settings!$K$10))))</f>
        <v/>
      </c>
      <c r="O167" s="95" t="str">
        <f t="shared" si="16"/>
        <v/>
      </c>
      <c r="P167" s="82"/>
      <c r="Q167" s="94" t="str">
        <f>IF(OR(D167="",P167=""),"",IF(D167="Buy",MROUND(P167*(1-Settings!$K$6),Settings!$K$10),MROUND(P167*(1+Settings!$K$6),Settings!$K$10)))</f>
        <v/>
      </c>
      <c r="R167" s="95" t="str">
        <f t="shared" si="17"/>
        <v/>
      </c>
      <c r="S167" s="82"/>
      <c r="T167" s="94" t="str">
        <f>IF(OR(D167="",S167=""),"",IF(D167="Buy",MROUND(S167*(1-Settings!$K$6),Settings!$K$10),MROUND(S167*(1+Settings!$K$6),Settings!$K$10)))</f>
        <v/>
      </c>
      <c r="U167" s="67"/>
      <c r="V167" s="211" t="str">
        <f t="shared" si="18"/>
        <v/>
      </c>
      <c r="W167" s="110"/>
      <c r="X167" s="211" t="str">
        <f t="shared" si="19"/>
        <v/>
      </c>
      <c r="Y167" s="211" t="str">
        <f t="shared" si="20"/>
        <v/>
      </c>
      <c r="Z167" s="82"/>
    </row>
    <row r="168" ht="20" customHeight="1" spans="1:26">
      <c r="A168" s="64">
        <v>155</v>
      </c>
      <c r="B168" s="65"/>
      <c r="C168" s="66"/>
      <c r="D168" s="67"/>
      <c r="E168" s="82"/>
      <c r="F168" s="82"/>
      <c r="G168" s="82"/>
      <c r="H168" s="82"/>
      <c r="I168" s="93" t="str">
        <f t="shared" si="14"/>
        <v/>
      </c>
      <c r="J168" s="82"/>
      <c r="K168" s="94" t="str">
        <f>IF(OR(D168="",E168=""),"",IF(J168="",G168,IF(D168="Buy",MROUND(MAX(E168*(1-Settings!$K$8),J168*(1-Settings!$K$6)),Settings!$K$10),MROUND(MIN(E168*(1+Settings!$K$8),J168*(1+Settings!$K$6)),Settings!$K$10))))</f>
        <v/>
      </c>
      <c r="L168" s="95" t="str">
        <f t="shared" si="15"/>
        <v/>
      </c>
      <c r="M168" s="82"/>
      <c r="N168" s="94" t="str">
        <f>IF(OR(D168="",E168=""),"",IF(M168="",H168,IF(D168="Buy",MROUND(MAX(E168*(1-Settings!$K$8),M168*(1-Settings!$K$6)),Settings!$K$10),MROUND(MIN(E168*(1+Settings!$K$8),M168*(1+Settings!$K$6)),Settings!$K$10))))</f>
        <v/>
      </c>
      <c r="O168" s="95" t="str">
        <f t="shared" si="16"/>
        <v/>
      </c>
      <c r="P168" s="82"/>
      <c r="Q168" s="94" t="str">
        <f>IF(OR(D168="",P168=""),"",IF(D168="Buy",MROUND(P168*(1-Settings!$K$6),Settings!$K$10),MROUND(P168*(1+Settings!$K$6),Settings!$K$10)))</f>
        <v/>
      </c>
      <c r="R168" s="95" t="str">
        <f t="shared" si="17"/>
        <v/>
      </c>
      <c r="S168" s="82"/>
      <c r="T168" s="94" t="str">
        <f>IF(OR(D168="",S168=""),"",IF(D168="Buy",MROUND(S168*(1-Settings!$K$6),Settings!$K$10),MROUND(S168*(1+Settings!$K$6),Settings!$K$10)))</f>
        <v/>
      </c>
      <c r="U168" s="67"/>
      <c r="V168" s="211" t="str">
        <f t="shared" si="18"/>
        <v/>
      </c>
      <c r="W168" s="110"/>
      <c r="X168" s="211" t="str">
        <f t="shared" si="19"/>
        <v/>
      </c>
      <c r="Y168" s="211" t="str">
        <f t="shared" si="20"/>
        <v/>
      </c>
      <c r="Z168" s="82"/>
    </row>
    <row r="169" ht="20" customHeight="1" spans="1:26">
      <c r="A169" s="64">
        <v>156</v>
      </c>
      <c r="B169" s="65"/>
      <c r="C169" s="66"/>
      <c r="D169" s="67"/>
      <c r="E169" s="82"/>
      <c r="F169" s="82"/>
      <c r="G169" s="82"/>
      <c r="H169" s="82"/>
      <c r="I169" s="93" t="str">
        <f t="shared" si="14"/>
        <v/>
      </c>
      <c r="J169" s="82"/>
      <c r="K169" s="94" t="str">
        <f>IF(OR(D169="",E169=""),"",IF(J169="",G169,IF(D169="Buy",MROUND(MAX(E169*(1-Settings!$K$8),J169*(1-Settings!$K$6)),Settings!$K$10),MROUND(MIN(E169*(1+Settings!$K$8),J169*(1+Settings!$K$6)),Settings!$K$10))))</f>
        <v/>
      </c>
      <c r="L169" s="95" t="str">
        <f t="shared" si="15"/>
        <v/>
      </c>
      <c r="M169" s="82"/>
      <c r="N169" s="94" t="str">
        <f>IF(OR(D169="",E169=""),"",IF(M169="",H169,IF(D169="Buy",MROUND(MAX(E169*(1-Settings!$K$8),M169*(1-Settings!$K$6)),Settings!$K$10),MROUND(MIN(E169*(1+Settings!$K$8),M169*(1+Settings!$K$6)),Settings!$K$10))))</f>
        <v/>
      </c>
      <c r="O169" s="95" t="str">
        <f t="shared" si="16"/>
        <v/>
      </c>
      <c r="P169" s="82"/>
      <c r="Q169" s="94" t="str">
        <f>IF(OR(D169="",P169=""),"",IF(D169="Buy",MROUND(P169*(1-Settings!$K$6),Settings!$K$10),MROUND(P169*(1+Settings!$K$6),Settings!$K$10)))</f>
        <v/>
      </c>
      <c r="R169" s="95" t="str">
        <f t="shared" si="17"/>
        <v/>
      </c>
      <c r="S169" s="82"/>
      <c r="T169" s="94" t="str">
        <f>IF(OR(D169="",S169=""),"",IF(D169="Buy",MROUND(S169*(1-Settings!$K$6),Settings!$K$10),MROUND(S169*(1+Settings!$K$6),Settings!$K$10)))</f>
        <v/>
      </c>
      <c r="U169" s="67"/>
      <c r="V169" s="211" t="str">
        <f t="shared" si="18"/>
        <v/>
      </c>
      <c r="W169" s="110"/>
      <c r="X169" s="211" t="str">
        <f t="shared" si="19"/>
        <v/>
      </c>
      <c r="Y169" s="211" t="str">
        <f t="shared" si="20"/>
        <v/>
      </c>
      <c r="Z169" s="82"/>
    </row>
    <row r="170" ht="20" customHeight="1" spans="1:26">
      <c r="A170" s="64">
        <v>157</v>
      </c>
      <c r="B170" s="65"/>
      <c r="C170" s="66"/>
      <c r="D170" s="67"/>
      <c r="E170" s="82"/>
      <c r="F170" s="82"/>
      <c r="G170" s="82"/>
      <c r="H170" s="82"/>
      <c r="I170" s="93" t="str">
        <f t="shared" si="14"/>
        <v/>
      </c>
      <c r="J170" s="82"/>
      <c r="K170" s="94" t="str">
        <f>IF(OR(D170="",E170=""),"",IF(J170="",G170,IF(D170="Buy",MROUND(MAX(E170*(1-Settings!$K$8),J170*(1-Settings!$K$6)),Settings!$K$10),MROUND(MIN(E170*(1+Settings!$K$8),J170*(1+Settings!$K$6)),Settings!$K$10))))</f>
        <v/>
      </c>
      <c r="L170" s="95" t="str">
        <f t="shared" si="15"/>
        <v/>
      </c>
      <c r="M170" s="82"/>
      <c r="N170" s="94" t="str">
        <f>IF(OR(D170="",E170=""),"",IF(M170="",H170,IF(D170="Buy",MROUND(MAX(E170*(1-Settings!$K$8),M170*(1-Settings!$K$6)),Settings!$K$10),MROUND(MIN(E170*(1+Settings!$K$8),M170*(1+Settings!$K$6)),Settings!$K$10))))</f>
        <v/>
      </c>
      <c r="O170" s="95" t="str">
        <f t="shared" si="16"/>
        <v/>
      </c>
      <c r="P170" s="82"/>
      <c r="Q170" s="94" t="str">
        <f>IF(OR(D170="",P170=""),"",IF(D170="Buy",MROUND(P170*(1-Settings!$K$6),Settings!$K$10),MROUND(P170*(1+Settings!$K$6),Settings!$K$10)))</f>
        <v/>
      </c>
      <c r="R170" s="95" t="str">
        <f t="shared" si="17"/>
        <v/>
      </c>
      <c r="S170" s="82"/>
      <c r="T170" s="94" t="str">
        <f>IF(OR(D170="",S170=""),"",IF(D170="Buy",MROUND(S170*(1-Settings!$K$6),Settings!$K$10),MROUND(S170*(1+Settings!$K$6),Settings!$K$10)))</f>
        <v/>
      </c>
      <c r="U170" s="67"/>
      <c r="V170" s="211" t="str">
        <f t="shared" si="18"/>
        <v/>
      </c>
      <c r="W170" s="110"/>
      <c r="X170" s="211" t="str">
        <f t="shared" si="19"/>
        <v/>
      </c>
      <c r="Y170" s="211" t="str">
        <f t="shared" si="20"/>
        <v/>
      </c>
      <c r="Z170" s="82"/>
    </row>
    <row r="171" ht="20" customHeight="1" spans="1:26">
      <c r="A171" s="64">
        <v>158</v>
      </c>
      <c r="B171" s="65"/>
      <c r="C171" s="66"/>
      <c r="D171" s="67"/>
      <c r="E171" s="82"/>
      <c r="F171" s="82"/>
      <c r="G171" s="82"/>
      <c r="H171" s="82"/>
      <c r="I171" s="93" t="str">
        <f t="shared" si="14"/>
        <v/>
      </c>
      <c r="J171" s="82"/>
      <c r="K171" s="94" t="str">
        <f>IF(OR(D171="",E171=""),"",IF(J171="",G171,IF(D171="Buy",MROUND(MAX(E171*(1-Settings!$K$8),J171*(1-Settings!$K$6)),Settings!$K$10),MROUND(MIN(E171*(1+Settings!$K$8),J171*(1+Settings!$K$6)),Settings!$K$10))))</f>
        <v/>
      </c>
      <c r="L171" s="95" t="str">
        <f t="shared" si="15"/>
        <v/>
      </c>
      <c r="M171" s="82"/>
      <c r="N171" s="94" t="str">
        <f>IF(OR(D171="",E171=""),"",IF(M171="",H171,IF(D171="Buy",MROUND(MAX(E171*(1-Settings!$K$8),M171*(1-Settings!$K$6)),Settings!$K$10),MROUND(MIN(E171*(1+Settings!$K$8),M171*(1+Settings!$K$6)),Settings!$K$10))))</f>
        <v/>
      </c>
      <c r="O171" s="95" t="str">
        <f t="shared" si="16"/>
        <v/>
      </c>
      <c r="P171" s="82"/>
      <c r="Q171" s="94" t="str">
        <f>IF(OR(D171="",P171=""),"",IF(D171="Buy",MROUND(P171*(1-Settings!$K$6),Settings!$K$10),MROUND(P171*(1+Settings!$K$6),Settings!$K$10)))</f>
        <v/>
      </c>
      <c r="R171" s="95" t="str">
        <f t="shared" si="17"/>
        <v/>
      </c>
      <c r="S171" s="82"/>
      <c r="T171" s="94" t="str">
        <f>IF(OR(D171="",S171=""),"",IF(D171="Buy",MROUND(S171*(1-Settings!$K$6),Settings!$K$10),MROUND(S171*(1+Settings!$K$6),Settings!$K$10)))</f>
        <v/>
      </c>
      <c r="U171" s="67"/>
      <c r="V171" s="211" t="str">
        <f t="shared" si="18"/>
        <v/>
      </c>
      <c r="W171" s="110"/>
      <c r="X171" s="211" t="str">
        <f t="shared" si="19"/>
        <v/>
      </c>
      <c r="Y171" s="211" t="str">
        <f t="shared" si="20"/>
        <v/>
      </c>
      <c r="Z171" s="82"/>
    </row>
    <row r="172" ht="20" customHeight="1" spans="1:26">
      <c r="A172" s="64">
        <v>159</v>
      </c>
      <c r="B172" s="65"/>
      <c r="C172" s="66"/>
      <c r="D172" s="67"/>
      <c r="E172" s="82"/>
      <c r="F172" s="82"/>
      <c r="G172" s="82"/>
      <c r="H172" s="82"/>
      <c r="I172" s="93" t="str">
        <f t="shared" si="14"/>
        <v/>
      </c>
      <c r="J172" s="82"/>
      <c r="K172" s="94" t="str">
        <f>IF(OR(D172="",E172=""),"",IF(J172="",G172,IF(D172="Buy",MROUND(MAX(E172*(1-Settings!$K$8),J172*(1-Settings!$K$6)),Settings!$K$10),MROUND(MIN(E172*(1+Settings!$K$8),J172*(1+Settings!$K$6)),Settings!$K$10))))</f>
        <v/>
      </c>
      <c r="L172" s="95" t="str">
        <f t="shared" si="15"/>
        <v/>
      </c>
      <c r="M172" s="82"/>
      <c r="N172" s="94" t="str">
        <f>IF(OR(D172="",E172=""),"",IF(M172="",H172,IF(D172="Buy",MROUND(MAX(E172*(1-Settings!$K$8),M172*(1-Settings!$K$6)),Settings!$K$10),MROUND(MIN(E172*(1+Settings!$K$8),M172*(1+Settings!$K$6)),Settings!$K$10))))</f>
        <v/>
      </c>
      <c r="O172" s="95" t="str">
        <f t="shared" si="16"/>
        <v/>
      </c>
      <c r="P172" s="82"/>
      <c r="Q172" s="94" t="str">
        <f>IF(OR(D172="",P172=""),"",IF(D172="Buy",MROUND(P172*(1-Settings!$K$6),Settings!$K$10),MROUND(P172*(1+Settings!$K$6),Settings!$K$10)))</f>
        <v/>
      </c>
      <c r="R172" s="95" t="str">
        <f t="shared" si="17"/>
        <v/>
      </c>
      <c r="S172" s="82"/>
      <c r="T172" s="94" t="str">
        <f>IF(OR(D172="",S172=""),"",IF(D172="Buy",MROUND(S172*(1-Settings!$K$6),Settings!$K$10),MROUND(S172*(1+Settings!$K$6),Settings!$K$10)))</f>
        <v/>
      </c>
      <c r="U172" s="67"/>
      <c r="V172" s="211" t="str">
        <f t="shared" si="18"/>
        <v/>
      </c>
      <c r="W172" s="110"/>
      <c r="X172" s="211" t="str">
        <f t="shared" si="19"/>
        <v/>
      </c>
      <c r="Y172" s="211" t="str">
        <f t="shared" si="20"/>
        <v/>
      </c>
      <c r="Z172" s="82"/>
    </row>
    <row r="173" ht="20" customHeight="1" spans="1:26">
      <c r="A173" s="64">
        <v>160</v>
      </c>
      <c r="B173" s="65"/>
      <c r="C173" s="66"/>
      <c r="D173" s="67"/>
      <c r="E173" s="82"/>
      <c r="F173" s="82"/>
      <c r="G173" s="82"/>
      <c r="H173" s="82"/>
      <c r="I173" s="93" t="str">
        <f t="shared" si="14"/>
        <v/>
      </c>
      <c r="J173" s="82"/>
      <c r="K173" s="94" t="str">
        <f>IF(OR(D173="",E173=""),"",IF(J173="",G173,IF(D173="Buy",MROUND(MAX(E173*(1-Settings!$K$8),J173*(1-Settings!$K$6)),Settings!$K$10),MROUND(MIN(E173*(1+Settings!$K$8),J173*(1+Settings!$K$6)),Settings!$K$10))))</f>
        <v/>
      </c>
      <c r="L173" s="95" t="str">
        <f t="shared" si="15"/>
        <v/>
      </c>
      <c r="M173" s="82"/>
      <c r="N173" s="94" t="str">
        <f>IF(OR(D173="",E173=""),"",IF(M173="",H173,IF(D173="Buy",MROUND(MAX(E173*(1-Settings!$K$8),M173*(1-Settings!$K$6)),Settings!$K$10),MROUND(MIN(E173*(1+Settings!$K$8),M173*(1+Settings!$K$6)),Settings!$K$10))))</f>
        <v/>
      </c>
      <c r="O173" s="95" t="str">
        <f t="shared" si="16"/>
        <v/>
      </c>
      <c r="P173" s="82"/>
      <c r="Q173" s="94" t="str">
        <f>IF(OR(D173="",P173=""),"",IF(D173="Buy",MROUND(P173*(1-Settings!$K$6),Settings!$K$10),MROUND(P173*(1+Settings!$K$6),Settings!$K$10)))</f>
        <v/>
      </c>
      <c r="R173" s="95" t="str">
        <f t="shared" si="17"/>
        <v/>
      </c>
      <c r="S173" s="82"/>
      <c r="T173" s="94" t="str">
        <f>IF(OR(D173="",S173=""),"",IF(D173="Buy",MROUND(S173*(1-Settings!$K$6),Settings!$K$10),MROUND(S173*(1+Settings!$K$6),Settings!$K$10)))</f>
        <v/>
      </c>
      <c r="U173" s="67"/>
      <c r="V173" s="211" t="str">
        <f t="shared" si="18"/>
        <v/>
      </c>
      <c r="W173" s="110"/>
      <c r="X173" s="211" t="str">
        <f t="shared" si="19"/>
        <v/>
      </c>
      <c r="Y173" s="211" t="str">
        <f t="shared" si="20"/>
        <v/>
      </c>
      <c r="Z173" s="82"/>
    </row>
    <row r="174" ht="20" customHeight="1" spans="1:26">
      <c r="A174" s="64">
        <v>161</v>
      </c>
      <c r="B174" s="65"/>
      <c r="C174" s="66"/>
      <c r="D174" s="67"/>
      <c r="E174" s="82"/>
      <c r="F174" s="82"/>
      <c r="G174" s="82"/>
      <c r="H174" s="82"/>
      <c r="I174" s="93" t="str">
        <f t="shared" si="14"/>
        <v/>
      </c>
      <c r="J174" s="82"/>
      <c r="K174" s="94" t="str">
        <f>IF(OR(D174="",E174=""),"",IF(J174="",G174,IF(D174="Buy",MROUND(MAX(E174*(1-Settings!$K$8),J174*(1-Settings!$K$6)),Settings!$K$10),MROUND(MIN(E174*(1+Settings!$K$8),J174*(1+Settings!$K$6)),Settings!$K$10))))</f>
        <v/>
      </c>
      <c r="L174" s="95" t="str">
        <f t="shared" si="15"/>
        <v/>
      </c>
      <c r="M174" s="82"/>
      <c r="N174" s="94" t="str">
        <f>IF(OR(D174="",E174=""),"",IF(M174="",H174,IF(D174="Buy",MROUND(MAX(E174*(1-Settings!$K$8),M174*(1-Settings!$K$6)),Settings!$K$10),MROUND(MIN(E174*(1+Settings!$K$8),M174*(1+Settings!$K$6)),Settings!$K$10))))</f>
        <v/>
      </c>
      <c r="O174" s="95" t="str">
        <f t="shared" si="16"/>
        <v/>
      </c>
      <c r="P174" s="82"/>
      <c r="Q174" s="94" t="str">
        <f>IF(OR(D174="",P174=""),"",IF(D174="Buy",MROUND(P174*(1-Settings!$K$6),Settings!$K$10),MROUND(P174*(1+Settings!$K$6),Settings!$K$10)))</f>
        <v/>
      </c>
      <c r="R174" s="95" t="str">
        <f t="shared" si="17"/>
        <v/>
      </c>
      <c r="S174" s="82"/>
      <c r="T174" s="94" t="str">
        <f>IF(OR(D174="",S174=""),"",IF(D174="Buy",MROUND(S174*(1-Settings!$K$6),Settings!$K$10),MROUND(S174*(1+Settings!$K$6),Settings!$K$10)))</f>
        <v/>
      </c>
      <c r="U174" s="67"/>
      <c r="V174" s="211" t="str">
        <f t="shared" si="18"/>
        <v/>
      </c>
      <c r="W174" s="110"/>
      <c r="X174" s="211" t="str">
        <f t="shared" si="19"/>
        <v/>
      </c>
      <c r="Y174" s="211" t="str">
        <f t="shared" si="20"/>
        <v/>
      </c>
      <c r="Z174" s="82"/>
    </row>
    <row r="175" ht="20" customHeight="1" spans="1:26">
      <c r="A175" s="64">
        <v>162</v>
      </c>
      <c r="B175" s="65"/>
      <c r="C175" s="66"/>
      <c r="D175" s="67"/>
      <c r="E175" s="82"/>
      <c r="F175" s="82"/>
      <c r="G175" s="82"/>
      <c r="H175" s="82"/>
      <c r="I175" s="93" t="str">
        <f t="shared" si="14"/>
        <v/>
      </c>
      <c r="J175" s="82"/>
      <c r="K175" s="94" t="str">
        <f>IF(OR(D175="",E175=""),"",IF(J175="",G175,IF(D175="Buy",MROUND(MAX(E175*(1-Settings!$K$8),J175*(1-Settings!$K$6)),Settings!$K$10),MROUND(MIN(E175*(1+Settings!$K$8),J175*(1+Settings!$K$6)),Settings!$K$10))))</f>
        <v/>
      </c>
      <c r="L175" s="95" t="str">
        <f t="shared" si="15"/>
        <v/>
      </c>
      <c r="M175" s="82"/>
      <c r="N175" s="94" t="str">
        <f>IF(OR(D175="",E175=""),"",IF(M175="",H175,IF(D175="Buy",MROUND(MAX(E175*(1-Settings!$K$8),M175*(1-Settings!$K$6)),Settings!$K$10),MROUND(MIN(E175*(1+Settings!$K$8),M175*(1+Settings!$K$6)),Settings!$K$10))))</f>
        <v/>
      </c>
      <c r="O175" s="95" t="str">
        <f t="shared" si="16"/>
        <v/>
      </c>
      <c r="P175" s="82"/>
      <c r="Q175" s="94" t="str">
        <f>IF(OR(D175="",P175=""),"",IF(D175="Buy",MROUND(P175*(1-Settings!$K$6),Settings!$K$10),MROUND(P175*(1+Settings!$K$6),Settings!$K$10)))</f>
        <v/>
      </c>
      <c r="R175" s="95" t="str">
        <f t="shared" si="17"/>
        <v/>
      </c>
      <c r="S175" s="82"/>
      <c r="T175" s="94" t="str">
        <f>IF(OR(D175="",S175=""),"",IF(D175="Buy",MROUND(S175*(1-Settings!$K$6),Settings!$K$10),MROUND(S175*(1+Settings!$K$6),Settings!$K$10)))</f>
        <v/>
      </c>
      <c r="U175" s="67"/>
      <c r="V175" s="211" t="str">
        <f t="shared" si="18"/>
        <v/>
      </c>
      <c r="W175" s="110"/>
      <c r="X175" s="211" t="str">
        <f t="shared" si="19"/>
        <v/>
      </c>
      <c r="Y175" s="211" t="str">
        <f t="shared" si="20"/>
        <v/>
      </c>
      <c r="Z175" s="82"/>
    </row>
    <row r="176" ht="20" customHeight="1" spans="1:26">
      <c r="A176" s="64">
        <v>163</v>
      </c>
      <c r="B176" s="65"/>
      <c r="C176" s="66"/>
      <c r="D176" s="67"/>
      <c r="E176" s="82"/>
      <c r="F176" s="82"/>
      <c r="G176" s="82"/>
      <c r="H176" s="82"/>
      <c r="I176" s="93" t="str">
        <f t="shared" si="14"/>
        <v/>
      </c>
      <c r="J176" s="82"/>
      <c r="K176" s="94" t="str">
        <f>IF(OR(D176="",E176=""),"",IF(J176="",G176,IF(D176="Buy",MROUND(MAX(E176*(1-Settings!$K$8),J176*(1-Settings!$K$6)),Settings!$K$10),MROUND(MIN(E176*(1+Settings!$K$8),J176*(1+Settings!$K$6)),Settings!$K$10))))</f>
        <v/>
      </c>
      <c r="L176" s="95" t="str">
        <f t="shared" si="15"/>
        <v/>
      </c>
      <c r="M176" s="82"/>
      <c r="N176" s="94" t="str">
        <f>IF(OR(D176="",E176=""),"",IF(M176="",H176,IF(D176="Buy",MROUND(MAX(E176*(1-Settings!$K$8),M176*(1-Settings!$K$6)),Settings!$K$10),MROUND(MIN(E176*(1+Settings!$K$8),M176*(1+Settings!$K$6)),Settings!$K$10))))</f>
        <v/>
      </c>
      <c r="O176" s="95" t="str">
        <f t="shared" si="16"/>
        <v/>
      </c>
      <c r="P176" s="82"/>
      <c r="Q176" s="94" t="str">
        <f>IF(OR(D176="",P176=""),"",IF(D176="Buy",MROUND(P176*(1-Settings!$K$6),Settings!$K$10),MROUND(P176*(1+Settings!$K$6),Settings!$K$10)))</f>
        <v/>
      </c>
      <c r="R176" s="95" t="str">
        <f t="shared" si="17"/>
        <v/>
      </c>
      <c r="S176" s="82"/>
      <c r="T176" s="94" t="str">
        <f>IF(OR(D176="",S176=""),"",IF(D176="Buy",MROUND(S176*(1-Settings!$K$6),Settings!$K$10),MROUND(S176*(1+Settings!$K$6),Settings!$K$10)))</f>
        <v/>
      </c>
      <c r="U176" s="67"/>
      <c r="V176" s="211" t="str">
        <f t="shared" si="18"/>
        <v/>
      </c>
      <c r="W176" s="110"/>
      <c r="X176" s="211" t="str">
        <f t="shared" si="19"/>
        <v/>
      </c>
      <c r="Y176" s="211" t="str">
        <f t="shared" si="20"/>
        <v/>
      </c>
      <c r="Z176" s="82"/>
    </row>
    <row r="177" ht="20" customHeight="1" spans="1:26">
      <c r="A177" s="64">
        <v>164</v>
      </c>
      <c r="B177" s="65"/>
      <c r="C177" s="66"/>
      <c r="D177" s="67"/>
      <c r="E177" s="82"/>
      <c r="F177" s="82"/>
      <c r="G177" s="82"/>
      <c r="H177" s="82"/>
      <c r="I177" s="93" t="str">
        <f t="shared" si="14"/>
        <v/>
      </c>
      <c r="J177" s="82"/>
      <c r="K177" s="94" t="str">
        <f>IF(OR(D177="",E177=""),"",IF(J177="",G177,IF(D177="Buy",MROUND(MAX(E177*(1-Settings!$K$8),J177*(1-Settings!$K$6)),Settings!$K$10),MROUND(MIN(E177*(1+Settings!$K$8),J177*(1+Settings!$K$6)),Settings!$K$10))))</f>
        <v/>
      </c>
      <c r="L177" s="95" t="str">
        <f t="shared" si="15"/>
        <v/>
      </c>
      <c r="M177" s="82"/>
      <c r="N177" s="94" t="str">
        <f>IF(OR(D177="",E177=""),"",IF(M177="",H177,IF(D177="Buy",MROUND(MAX(E177*(1-Settings!$K$8),M177*(1-Settings!$K$6)),Settings!$K$10),MROUND(MIN(E177*(1+Settings!$K$8),M177*(1+Settings!$K$6)),Settings!$K$10))))</f>
        <v/>
      </c>
      <c r="O177" s="95" t="str">
        <f t="shared" si="16"/>
        <v/>
      </c>
      <c r="P177" s="82"/>
      <c r="Q177" s="94" t="str">
        <f>IF(OR(D177="",P177=""),"",IF(D177="Buy",MROUND(P177*(1-Settings!$K$6),Settings!$K$10),MROUND(P177*(1+Settings!$K$6),Settings!$K$10)))</f>
        <v/>
      </c>
      <c r="R177" s="95" t="str">
        <f t="shared" si="17"/>
        <v/>
      </c>
      <c r="S177" s="82"/>
      <c r="T177" s="94" t="str">
        <f>IF(OR(D177="",S177=""),"",IF(D177="Buy",MROUND(S177*(1-Settings!$K$6),Settings!$K$10),MROUND(S177*(1+Settings!$K$6),Settings!$K$10)))</f>
        <v/>
      </c>
      <c r="U177" s="67"/>
      <c r="V177" s="211" t="str">
        <f t="shared" si="18"/>
        <v/>
      </c>
      <c r="W177" s="110"/>
      <c r="X177" s="211" t="str">
        <f t="shared" si="19"/>
        <v/>
      </c>
      <c r="Y177" s="211" t="str">
        <f t="shared" si="20"/>
        <v/>
      </c>
      <c r="Z177" s="82"/>
    </row>
    <row r="178" ht="20" customHeight="1" spans="1:26">
      <c r="A178" s="64">
        <v>165</v>
      </c>
      <c r="B178" s="65"/>
      <c r="C178" s="66"/>
      <c r="D178" s="67"/>
      <c r="E178" s="82"/>
      <c r="F178" s="82"/>
      <c r="G178" s="82"/>
      <c r="H178" s="82"/>
      <c r="I178" s="93" t="str">
        <f t="shared" si="14"/>
        <v/>
      </c>
      <c r="J178" s="82"/>
      <c r="K178" s="94" t="str">
        <f>IF(OR(D178="",E178=""),"",IF(J178="",G178,IF(D178="Buy",MROUND(MAX(E178*(1-Settings!$K$8),J178*(1-Settings!$K$6)),Settings!$K$10),MROUND(MIN(E178*(1+Settings!$K$8),J178*(1+Settings!$K$6)),Settings!$K$10))))</f>
        <v/>
      </c>
      <c r="L178" s="95" t="str">
        <f t="shared" si="15"/>
        <v/>
      </c>
      <c r="M178" s="82"/>
      <c r="N178" s="94" t="str">
        <f>IF(OR(D178="",E178=""),"",IF(M178="",H178,IF(D178="Buy",MROUND(MAX(E178*(1-Settings!$K$8),M178*(1-Settings!$K$6)),Settings!$K$10),MROUND(MIN(E178*(1+Settings!$K$8),M178*(1+Settings!$K$6)),Settings!$K$10))))</f>
        <v/>
      </c>
      <c r="O178" s="95" t="str">
        <f t="shared" si="16"/>
        <v/>
      </c>
      <c r="P178" s="82"/>
      <c r="Q178" s="94" t="str">
        <f>IF(OR(D178="",P178=""),"",IF(D178="Buy",MROUND(P178*(1-Settings!$K$6),Settings!$K$10),MROUND(P178*(1+Settings!$K$6),Settings!$K$10)))</f>
        <v/>
      </c>
      <c r="R178" s="95" t="str">
        <f t="shared" si="17"/>
        <v/>
      </c>
      <c r="S178" s="82"/>
      <c r="T178" s="94" t="str">
        <f>IF(OR(D178="",S178=""),"",IF(D178="Buy",MROUND(S178*(1-Settings!$K$6),Settings!$K$10),MROUND(S178*(1+Settings!$K$6),Settings!$K$10)))</f>
        <v/>
      </c>
      <c r="U178" s="67"/>
      <c r="V178" s="211" t="str">
        <f t="shared" si="18"/>
        <v/>
      </c>
      <c r="W178" s="110"/>
      <c r="X178" s="211" t="str">
        <f t="shared" si="19"/>
        <v/>
      </c>
      <c r="Y178" s="211" t="str">
        <f t="shared" si="20"/>
        <v/>
      </c>
      <c r="Z178" s="82"/>
    </row>
    <row r="179" ht="20" customHeight="1" spans="1:26">
      <c r="A179" s="64">
        <v>166</v>
      </c>
      <c r="B179" s="65"/>
      <c r="C179" s="66"/>
      <c r="D179" s="67"/>
      <c r="E179" s="82"/>
      <c r="F179" s="82"/>
      <c r="G179" s="82"/>
      <c r="H179" s="82"/>
      <c r="I179" s="93" t="str">
        <f t="shared" si="14"/>
        <v/>
      </c>
      <c r="J179" s="82"/>
      <c r="K179" s="94" t="str">
        <f>IF(OR(D179="",E179=""),"",IF(J179="",G179,IF(D179="Buy",MROUND(MAX(E179*(1-Settings!$K$8),J179*(1-Settings!$K$6)),Settings!$K$10),MROUND(MIN(E179*(1+Settings!$K$8),J179*(1+Settings!$K$6)),Settings!$K$10))))</f>
        <v/>
      </c>
      <c r="L179" s="95" t="str">
        <f t="shared" si="15"/>
        <v/>
      </c>
      <c r="M179" s="82"/>
      <c r="N179" s="94" t="str">
        <f>IF(OR(D179="",E179=""),"",IF(M179="",H179,IF(D179="Buy",MROUND(MAX(E179*(1-Settings!$K$8),M179*(1-Settings!$K$6)),Settings!$K$10),MROUND(MIN(E179*(1+Settings!$K$8),M179*(1+Settings!$K$6)),Settings!$K$10))))</f>
        <v/>
      </c>
      <c r="O179" s="95" t="str">
        <f t="shared" si="16"/>
        <v/>
      </c>
      <c r="P179" s="82"/>
      <c r="Q179" s="94" t="str">
        <f>IF(OR(D179="",P179=""),"",IF(D179="Buy",MROUND(P179*(1-Settings!$K$6),Settings!$K$10),MROUND(P179*(1+Settings!$K$6),Settings!$K$10)))</f>
        <v/>
      </c>
      <c r="R179" s="95" t="str">
        <f t="shared" si="17"/>
        <v/>
      </c>
      <c r="S179" s="82"/>
      <c r="T179" s="94" t="str">
        <f>IF(OR(D179="",S179=""),"",IF(D179="Buy",MROUND(S179*(1-Settings!$K$6),Settings!$K$10),MROUND(S179*(1+Settings!$K$6),Settings!$K$10)))</f>
        <v/>
      </c>
      <c r="U179" s="67"/>
      <c r="V179" s="211" t="str">
        <f t="shared" si="18"/>
        <v/>
      </c>
      <c r="W179" s="110"/>
      <c r="X179" s="211" t="str">
        <f t="shared" si="19"/>
        <v/>
      </c>
      <c r="Y179" s="211" t="str">
        <f t="shared" si="20"/>
        <v/>
      </c>
      <c r="Z179" s="82"/>
    </row>
    <row r="180" ht="20" customHeight="1" spans="1:26">
      <c r="A180" s="64">
        <v>167</v>
      </c>
      <c r="B180" s="65"/>
      <c r="C180" s="66"/>
      <c r="D180" s="67"/>
      <c r="E180" s="82"/>
      <c r="F180" s="82"/>
      <c r="G180" s="82"/>
      <c r="H180" s="82"/>
      <c r="I180" s="93" t="str">
        <f t="shared" si="14"/>
        <v/>
      </c>
      <c r="J180" s="82"/>
      <c r="K180" s="94" t="str">
        <f>IF(OR(D180="",E180=""),"",IF(J180="",G180,IF(D180="Buy",MROUND(MAX(E180*(1-Settings!$K$8),J180*(1-Settings!$K$6)),Settings!$K$10),MROUND(MIN(E180*(1+Settings!$K$8),J180*(1+Settings!$K$6)),Settings!$K$10))))</f>
        <v/>
      </c>
      <c r="L180" s="95" t="str">
        <f t="shared" si="15"/>
        <v/>
      </c>
      <c r="M180" s="82"/>
      <c r="N180" s="94" t="str">
        <f>IF(OR(D180="",E180=""),"",IF(M180="",H180,IF(D180="Buy",MROUND(MAX(E180*(1-Settings!$K$8),M180*(1-Settings!$K$6)),Settings!$K$10),MROUND(MIN(E180*(1+Settings!$K$8),M180*(1+Settings!$K$6)),Settings!$K$10))))</f>
        <v/>
      </c>
      <c r="O180" s="95" t="str">
        <f t="shared" si="16"/>
        <v/>
      </c>
      <c r="P180" s="82"/>
      <c r="Q180" s="94" t="str">
        <f>IF(OR(D180="",P180=""),"",IF(D180="Buy",MROUND(P180*(1-Settings!$K$6),Settings!$K$10),MROUND(P180*(1+Settings!$K$6),Settings!$K$10)))</f>
        <v/>
      </c>
      <c r="R180" s="95" t="str">
        <f t="shared" si="17"/>
        <v/>
      </c>
      <c r="S180" s="82"/>
      <c r="T180" s="94" t="str">
        <f>IF(OR(D180="",S180=""),"",IF(D180="Buy",MROUND(S180*(1-Settings!$K$6),Settings!$K$10),MROUND(S180*(1+Settings!$K$6),Settings!$K$10)))</f>
        <v/>
      </c>
      <c r="U180" s="67"/>
      <c r="V180" s="211" t="str">
        <f t="shared" si="18"/>
        <v/>
      </c>
      <c r="W180" s="110"/>
      <c r="X180" s="211" t="str">
        <f t="shared" si="19"/>
        <v/>
      </c>
      <c r="Y180" s="211" t="str">
        <f t="shared" si="20"/>
        <v/>
      </c>
      <c r="Z180" s="82"/>
    </row>
    <row r="181" ht="20" customHeight="1" spans="1:26">
      <c r="A181" s="64">
        <v>168</v>
      </c>
      <c r="B181" s="65"/>
      <c r="C181" s="66"/>
      <c r="D181" s="67"/>
      <c r="E181" s="82"/>
      <c r="F181" s="82"/>
      <c r="G181" s="82"/>
      <c r="H181" s="82"/>
      <c r="I181" s="93" t="str">
        <f t="shared" si="14"/>
        <v/>
      </c>
      <c r="J181" s="82"/>
      <c r="K181" s="94" t="str">
        <f>IF(OR(D181="",E181=""),"",IF(J181="",G181,IF(D181="Buy",MROUND(MAX(E181*(1-Settings!$K$8),J181*(1-Settings!$K$6)),Settings!$K$10),MROUND(MIN(E181*(1+Settings!$K$8),J181*(1+Settings!$K$6)),Settings!$K$10))))</f>
        <v/>
      </c>
      <c r="L181" s="95" t="str">
        <f t="shared" si="15"/>
        <v/>
      </c>
      <c r="M181" s="82"/>
      <c r="N181" s="94" t="str">
        <f>IF(OR(D181="",E181=""),"",IF(M181="",H181,IF(D181="Buy",MROUND(MAX(E181*(1-Settings!$K$8),M181*(1-Settings!$K$6)),Settings!$K$10),MROUND(MIN(E181*(1+Settings!$K$8),M181*(1+Settings!$K$6)),Settings!$K$10))))</f>
        <v/>
      </c>
      <c r="O181" s="95" t="str">
        <f t="shared" si="16"/>
        <v/>
      </c>
      <c r="P181" s="82"/>
      <c r="Q181" s="94" t="str">
        <f>IF(OR(D181="",P181=""),"",IF(D181="Buy",MROUND(P181*(1-Settings!$K$6),Settings!$K$10),MROUND(P181*(1+Settings!$K$6),Settings!$K$10)))</f>
        <v/>
      </c>
      <c r="R181" s="95" t="str">
        <f t="shared" si="17"/>
        <v/>
      </c>
      <c r="S181" s="82"/>
      <c r="T181" s="94" t="str">
        <f>IF(OR(D181="",S181=""),"",IF(D181="Buy",MROUND(S181*(1-Settings!$K$6),Settings!$K$10),MROUND(S181*(1+Settings!$K$6),Settings!$K$10)))</f>
        <v/>
      </c>
      <c r="U181" s="67"/>
      <c r="V181" s="211" t="str">
        <f t="shared" si="18"/>
        <v/>
      </c>
      <c r="W181" s="110"/>
      <c r="X181" s="211" t="str">
        <f t="shared" si="19"/>
        <v/>
      </c>
      <c r="Y181" s="211" t="str">
        <f t="shared" si="20"/>
        <v/>
      </c>
      <c r="Z181" s="82"/>
    </row>
    <row r="182" ht="20" customHeight="1" spans="1:26">
      <c r="A182" s="64">
        <v>169</v>
      </c>
      <c r="B182" s="65"/>
      <c r="C182" s="66"/>
      <c r="D182" s="67"/>
      <c r="E182" s="82"/>
      <c r="F182" s="82"/>
      <c r="G182" s="82"/>
      <c r="H182" s="82"/>
      <c r="I182" s="93" t="str">
        <f t="shared" si="14"/>
        <v/>
      </c>
      <c r="J182" s="82"/>
      <c r="K182" s="94" t="str">
        <f>IF(OR(D182="",E182=""),"",IF(J182="",G182,IF(D182="Buy",MROUND(MAX(E182*(1-Settings!$K$8),J182*(1-Settings!$K$6)),Settings!$K$10),MROUND(MIN(E182*(1+Settings!$K$8),J182*(1+Settings!$K$6)),Settings!$K$10))))</f>
        <v/>
      </c>
      <c r="L182" s="95" t="str">
        <f t="shared" si="15"/>
        <v/>
      </c>
      <c r="M182" s="82"/>
      <c r="N182" s="94" t="str">
        <f>IF(OR(D182="",E182=""),"",IF(M182="",H182,IF(D182="Buy",MROUND(MAX(E182*(1-Settings!$K$8),M182*(1-Settings!$K$6)),Settings!$K$10),MROUND(MIN(E182*(1+Settings!$K$8),M182*(1+Settings!$K$6)),Settings!$K$10))))</f>
        <v/>
      </c>
      <c r="O182" s="95" t="str">
        <f t="shared" si="16"/>
        <v/>
      </c>
      <c r="P182" s="82"/>
      <c r="Q182" s="94" t="str">
        <f>IF(OR(D182="",P182=""),"",IF(D182="Buy",MROUND(P182*(1-Settings!$K$6),Settings!$K$10),MROUND(P182*(1+Settings!$K$6),Settings!$K$10)))</f>
        <v/>
      </c>
      <c r="R182" s="95" t="str">
        <f t="shared" si="17"/>
        <v/>
      </c>
      <c r="S182" s="82"/>
      <c r="T182" s="94" t="str">
        <f>IF(OR(D182="",S182=""),"",IF(D182="Buy",MROUND(S182*(1-Settings!$K$6),Settings!$K$10),MROUND(S182*(1+Settings!$K$6),Settings!$K$10)))</f>
        <v/>
      </c>
      <c r="U182" s="67"/>
      <c r="V182" s="211" t="str">
        <f t="shared" si="18"/>
        <v/>
      </c>
      <c r="W182" s="110"/>
      <c r="X182" s="211" t="str">
        <f t="shared" si="19"/>
        <v/>
      </c>
      <c r="Y182" s="211" t="str">
        <f t="shared" si="20"/>
        <v/>
      </c>
      <c r="Z182" s="82"/>
    </row>
    <row r="183" ht="20" customHeight="1" spans="1:26">
      <c r="A183" s="64">
        <v>170</v>
      </c>
      <c r="B183" s="65"/>
      <c r="C183" s="66"/>
      <c r="D183" s="67"/>
      <c r="E183" s="82"/>
      <c r="F183" s="82"/>
      <c r="G183" s="82"/>
      <c r="H183" s="82"/>
      <c r="I183" s="93" t="str">
        <f t="shared" si="14"/>
        <v/>
      </c>
      <c r="J183" s="82"/>
      <c r="K183" s="94" t="str">
        <f>IF(OR(D183="",E183=""),"",IF(J183="",G183,IF(D183="Buy",MROUND(MAX(E183*(1-Settings!$K$8),J183*(1-Settings!$K$6)),Settings!$K$10),MROUND(MIN(E183*(1+Settings!$K$8),J183*(1+Settings!$K$6)),Settings!$K$10))))</f>
        <v/>
      </c>
      <c r="L183" s="95" t="str">
        <f t="shared" si="15"/>
        <v/>
      </c>
      <c r="M183" s="82"/>
      <c r="N183" s="94" t="str">
        <f>IF(OR(D183="",E183=""),"",IF(M183="",H183,IF(D183="Buy",MROUND(MAX(E183*(1-Settings!$K$8),M183*(1-Settings!$K$6)),Settings!$K$10),MROUND(MIN(E183*(1+Settings!$K$8),M183*(1+Settings!$K$6)),Settings!$K$10))))</f>
        <v/>
      </c>
      <c r="O183" s="95" t="str">
        <f t="shared" si="16"/>
        <v/>
      </c>
      <c r="P183" s="82"/>
      <c r="Q183" s="94" t="str">
        <f>IF(OR(D183="",P183=""),"",IF(D183="Buy",MROUND(P183*(1-Settings!$K$6),Settings!$K$10),MROUND(P183*(1+Settings!$K$6),Settings!$K$10)))</f>
        <v/>
      </c>
      <c r="R183" s="95" t="str">
        <f t="shared" si="17"/>
        <v/>
      </c>
      <c r="S183" s="82"/>
      <c r="T183" s="94" t="str">
        <f>IF(OR(D183="",S183=""),"",IF(D183="Buy",MROUND(S183*(1-Settings!$K$6),Settings!$K$10),MROUND(S183*(1+Settings!$K$6),Settings!$K$10)))</f>
        <v/>
      </c>
      <c r="U183" s="67"/>
      <c r="V183" s="211" t="str">
        <f t="shared" si="18"/>
        <v/>
      </c>
      <c r="W183" s="110"/>
      <c r="X183" s="211" t="str">
        <f t="shared" si="19"/>
        <v/>
      </c>
      <c r="Y183" s="211" t="str">
        <f t="shared" si="20"/>
        <v/>
      </c>
      <c r="Z183" s="82"/>
    </row>
    <row r="184" ht="20" customHeight="1" spans="1:26">
      <c r="A184" s="64">
        <v>171</v>
      </c>
      <c r="B184" s="65"/>
      <c r="C184" s="66"/>
      <c r="D184" s="67"/>
      <c r="E184" s="82"/>
      <c r="F184" s="82"/>
      <c r="G184" s="82"/>
      <c r="H184" s="82"/>
      <c r="I184" s="93" t="str">
        <f t="shared" si="14"/>
        <v/>
      </c>
      <c r="J184" s="82"/>
      <c r="K184" s="94" t="str">
        <f>IF(OR(D184="",E184=""),"",IF(J184="",G184,IF(D184="Buy",MROUND(MAX(E184*(1-Settings!$K$8),J184*(1-Settings!$K$6)),Settings!$K$10),MROUND(MIN(E184*(1+Settings!$K$8),J184*(1+Settings!$K$6)),Settings!$K$10))))</f>
        <v/>
      </c>
      <c r="L184" s="95" t="str">
        <f t="shared" si="15"/>
        <v/>
      </c>
      <c r="M184" s="82"/>
      <c r="N184" s="94" t="str">
        <f>IF(OR(D184="",E184=""),"",IF(M184="",H184,IF(D184="Buy",MROUND(MAX(E184*(1-Settings!$K$8),M184*(1-Settings!$K$6)),Settings!$K$10),MROUND(MIN(E184*(1+Settings!$K$8),M184*(1+Settings!$K$6)),Settings!$K$10))))</f>
        <v/>
      </c>
      <c r="O184" s="95" t="str">
        <f t="shared" si="16"/>
        <v/>
      </c>
      <c r="P184" s="82"/>
      <c r="Q184" s="94" t="str">
        <f>IF(OR(D184="",P184=""),"",IF(D184="Buy",MROUND(P184*(1-Settings!$K$6),Settings!$K$10),MROUND(P184*(1+Settings!$K$6),Settings!$K$10)))</f>
        <v/>
      </c>
      <c r="R184" s="95" t="str">
        <f t="shared" si="17"/>
        <v/>
      </c>
      <c r="S184" s="82"/>
      <c r="T184" s="94" t="str">
        <f>IF(OR(D184="",S184=""),"",IF(D184="Buy",MROUND(S184*(1-Settings!$K$6),Settings!$K$10),MROUND(S184*(1+Settings!$K$6),Settings!$K$10)))</f>
        <v/>
      </c>
      <c r="U184" s="67"/>
      <c r="V184" s="211" t="str">
        <f t="shared" si="18"/>
        <v/>
      </c>
      <c r="W184" s="110"/>
      <c r="X184" s="211" t="str">
        <f t="shared" si="19"/>
        <v/>
      </c>
      <c r="Y184" s="211" t="str">
        <f t="shared" si="20"/>
        <v/>
      </c>
      <c r="Z184" s="82"/>
    </row>
    <row r="185" ht="20" customHeight="1" spans="1:26">
      <c r="A185" s="64">
        <v>172</v>
      </c>
      <c r="B185" s="65"/>
      <c r="C185" s="66"/>
      <c r="D185" s="67"/>
      <c r="E185" s="82"/>
      <c r="F185" s="82"/>
      <c r="G185" s="82"/>
      <c r="H185" s="82"/>
      <c r="I185" s="93" t="str">
        <f t="shared" si="14"/>
        <v/>
      </c>
      <c r="J185" s="82"/>
      <c r="K185" s="94" t="str">
        <f>IF(OR(D185="",E185=""),"",IF(J185="",G185,IF(D185="Buy",MROUND(MAX(E185*(1-Settings!$K$8),J185*(1-Settings!$K$6)),Settings!$K$10),MROUND(MIN(E185*(1+Settings!$K$8),J185*(1+Settings!$K$6)),Settings!$K$10))))</f>
        <v/>
      </c>
      <c r="L185" s="95" t="str">
        <f t="shared" si="15"/>
        <v/>
      </c>
      <c r="M185" s="82"/>
      <c r="N185" s="94" t="str">
        <f>IF(OR(D185="",E185=""),"",IF(M185="",H185,IF(D185="Buy",MROUND(MAX(E185*(1-Settings!$K$8),M185*(1-Settings!$K$6)),Settings!$K$10),MROUND(MIN(E185*(1+Settings!$K$8),M185*(1+Settings!$K$6)),Settings!$K$10))))</f>
        <v/>
      </c>
      <c r="O185" s="95" t="str">
        <f t="shared" si="16"/>
        <v/>
      </c>
      <c r="P185" s="82"/>
      <c r="Q185" s="94" t="str">
        <f>IF(OR(D185="",P185=""),"",IF(D185="Buy",MROUND(P185*(1-Settings!$K$6),Settings!$K$10),MROUND(P185*(1+Settings!$K$6),Settings!$K$10)))</f>
        <v/>
      </c>
      <c r="R185" s="95" t="str">
        <f t="shared" si="17"/>
        <v/>
      </c>
      <c r="S185" s="82"/>
      <c r="T185" s="94" t="str">
        <f>IF(OR(D185="",S185=""),"",IF(D185="Buy",MROUND(S185*(1-Settings!$K$6),Settings!$K$10),MROUND(S185*(1+Settings!$K$6),Settings!$K$10)))</f>
        <v/>
      </c>
      <c r="U185" s="67"/>
      <c r="V185" s="211" t="str">
        <f t="shared" si="18"/>
        <v/>
      </c>
      <c r="W185" s="110"/>
      <c r="X185" s="211" t="str">
        <f t="shared" si="19"/>
        <v/>
      </c>
      <c r="Y185" s="211" t="str">
        <f t="shared" si="20"/>
        <v/>
      </c>
      <c r="Z185" s="82"/>
    </row>
    <row r="186" ht="20" customHeight="1" spans="1:26">
      <c r="A186" s="64">
        <v>173</v>
      </c>
      <c r="B186" s="65"/>
      <c r="C186" s="66"/>
      <c r="D186" s="67"/>
      <c r="E186" s="82"/>
      <c r="F186" s="82"/>
      <c r="G186" s="82"/>
      <c r="H186" s="82"/>
      <c r="I186" s="93" t="str">
        <f t="shared" si="14"/>
        <v/>
      </c>
      <c r="J186" s="82"/>
      <c r="K186" s="94" t="str">
        <f>IF(OR(D186="",E186=""),"",IF(J186="",G186,IF(D186="Buy",MROUND(MAX(E186*(1-Settings!$K$8),J186*(1-Settings!$K$6)),Settings!$K$10),MROUND(MIN(E186*(1+Settings!$K$8),J186*(1+Settings!$K$6)),Settings!$K$10))))</f>
        <v/>
      </c>
      <c r="L186" s="95" t="str">
        <f t="shared" si="15"/>
        <v/>
      </c>
      <c r="M186" s="82"/>
      <c r="N186" s="94" t="str">
        <f>IF(OR(D186="",E186=""),"",IF(M186="",H186,IF(D186="Buy",MROUND(MAX(E186*(1-Settings!$K$8),M186*(1-Settings!$K$6)),Settings!$K$10),MROUND(MIN(E186*(1+Settings!$K$8),M186*(1+Settings!$K$6)),Settings!$K$10))))</f>
        <v/>
      </c>
      <c r="O186" s="95" t="str">
        <f t="shared" si="16"/>
        <v/>
      </c>
      <c r="P186" s="82"/>
      <c r="Q186" s="94" t="str">
        <f>IF(OR(D186="",P186=""),"",IF(D186="Buy",MROUND(P186*(1-Settings!$K$6),Settings!$K$10),MROUND(P186*(1+Settings!$K$6),Settings!$K$10)))</f>
        <v/>
      </c>
      <c r="R186" s="95" t="str">
        <f t="shared" si="17"/>
        <v/>
      </c>
      <c r="S186" s="82"/>
      <c r="T186" s="94" t="str">
        <f>IF(OR(D186="",S186=""),"",IF(D186="Buy",MROUND(S186*(1-Settings!$K$6),Settings!$K$10),MROUND(S186*(1+Settings!$K$6),Settings!$K$10)))</f>
        <v/>
      </c>
      <c r="U186" s="67"/>
      <c r="V186" s="211" t="str">
        <f t="shared" si="18"/>
        <v/>
      </c>
      <c r="W186" s="110"/>
      <c r="X186" s="211" t="str">
        <f t="shared" si="19"/>
        <v/>
      </c>
      <c r="Y186" s="211" t="str">
        <f t="shared" si="20"/>
        <v/>
      </c>
      <c r="Z186" s="82"/>
    </row>
    <row r="187" ht="20" customHeight="1" spans="1:26">
      <c r="A187" s="64">
        <v>174</v>
      </c>
      <c r="B187" s="65"/>
      <c r="C187" s="66"/>
      <c r="D187" s="67"/>
      <c r="E187" s="82"/>
      <c r="F187" s="82"/>
      <c r="G187" s="82"/>
      <c r="H187" s="82"/>
      <c r="I187" s="93" t="str">
        <f t="shared" si="14"/>
        <v/>
      </c>
      <c r="J187" s="82"/>
      <c r="K187" s="94" t="str">
        <f>IF(OR(D187="",E187=""),"",IF(J187="",G187,IF(D187="Buy",MROUND(MAX(E187*(1-Settings!$K$8),J187*(1-Settings!$K$6)),Settings!$K$10),MROUND(MIN(E187*(1+Settings!$K$8),J187*(1+Settings!$K$6)),Settings!$K$10))))</f>
        <v/>
      </c>
      <c r="L187" s="95" t="str">
        <f t="shared" si="15"/>
        <v/>
      </c>
      <c r="M187" s="82"/>
      <c r="N187" s="94" t="str">
        <f>IF(OR(D187="",E187=""),"",IF(M187="",H187,IF(D187="Buy",MROUND(MAX(E187*(1-Settings!$K$8),M187*(1-Settings!$K$6)),Settings!$K$10),MROUND(MIN(E187*(1+Settings!$K$8),M187*(1+Settings!$K$6)),Settings!$K$10))))</f>
        <v/>
      </c>
      <c r="O187" s="95" t="str">
        <f t="shared" si="16"/>
        <v/>
      </c>
      <c r="P187" s="82"/>
      <c r="Q187" s="94" t="str">
        <f>IF(OR(D187="",P187=""),"",IF(D187="Buy",MROUND(P187*(1-Settings!$K$6),Settings!$K$10),MROUND(P187*(1+Settings!$K$6),Settings!$K$10)))</f>
        <v/>
      </c>
      <c r="R187" s="95" t="str">
        <f t="shared" si="17"/>
        <v/>
      </c>
      <c r="S187" s="82"/>
      <c r="T187" s="94" t="str">
        <f>IF(OR(D187="",S187=""),"",IF(D187="Buy",MROUND(S187*(1-Settings!$K$6),Settings!$K$10),MROUND(S187*(1+Settings!$K$6),Settings!$K$10)))</f>
        <v/>
      </c>
      <c r="U187" s="67"/>
      <c r="V187" s="211" t="str">
        <f t="shared" si="18"/>
        <v/>
      </c>
      <c r="W187" s="110"/>
      <c r="X187" s="211" t="str">
        <f t="shared" si="19"/>
        <v/>
      </c>
      <c r="Y187" s="211" t="str">
        <f t="shared" si="20"/>
        <v/>
      </c>
      <c r="Z187" s="82"/>
    </row>
    <row r="188" ht="20" customHeight="1" spans="1:26">
      <c r="A188" s="64">
        <v>175</v>
      </c>
      <c r="B188" s="65"/>
      <c r="C188" s="66"/>
      <c r="D188" s="67"/>
      <c r="E188" s="82"/>
      <c r="F188" s="82"/>
      <c r="G188" s="82"/>
      <c r="H188" s="82"/>
      <c r="I188" s="93" t="str">
        <f t="shared" si="14"/>
        <v/>
      </c>
      <c r="J188" s="82"/>
      <c r="K188" s="94" t="str">
        <f>IF(OR(D188="",E188=""),"",IF(J188="",G188,IF(D188="Buy",MROUND(MAX(E188*(1-Settings!$K$8),J188*(1-Settings!$K$6)),Settings!$K$10),MROUND(MIN(E188*(1+Settings!$K$8),J188*(1+Settings!$K$6)),Settings!$K$10))))</f>
        <v/>
      </c>
      <c r="L188" s="95" t="str">
        <f t="shared" si="15"/>
        <v/>
      </c>
      <c r="M188" s="82"/>
      <c r="N188" s="94" t="str">
        <f>IF(OR(D188="",E188=""),"",IF(M188="",H188,IF(D188="Buy",MROUND(MAX(E188*(1-Settings!$K$8),M188*(1-Settings!$K$6)),Settings!$K$10),MROUND(MIN(E188*(1+Settings!$K$8),M188*(1+Settings!$K$6)),Settings!$K$10))))</f>
        <v/>
      </c>
      <c r="O188" s="95" t="str">
        <f t="shared" si="16"/>
        <v/>
      </c>
      <c r="P188" s="82"/>
      <c r="Q188" s="94" t="str">
        <f>IF(OR(D188="",P188=""),"",IF(D188="Buy",MROUND(P188*(1-Settings!$K$6),Settings!$K$10),MROUND(P188*(1+Settings!$K$6),Settings!$K$10)))</f>
        <v/>
      </c>
      <c r="R188" s="95" t="str">
        <f t="shared" si="17"/>
        <v/>
      </c>
      <c r="S188" s="82"/>
      <c r="T188" s="94" t="str">
        <f>IF(OR(D188="",S188=""),"",IF(D188="Buy",MROUND(S188*(1-Settings!$K$6),Settings!$K$10),MROUND(S188*(1+Settings!$K$6),Settings!$K$10)))</f>
        <v/>
      </c>
      <c r="U188" s="67"/>
      <c r="V188" s="211" t="str">
        <f t="shared" si="18"/>
        <v/>
      </c>
      <c r="W188" s="110"/>
      <c r="X188" s="211" t="str">
        <f t="shared" si="19"/>
        <v/>
      </c>
      <c r="Y188" s="211" t="str">
        <f t="shared" si="20"/>
        <v/>
      </c>
      <c r="Z188" s="82"/>
    </row>
    <row r="189" ht="20" customHeight="1" spans="1:26">
      <c r="A189" s="64">
        <v>176</v>
      </c>
      <c r="B189" s="65"/>
      <c r="C189" s="66"/>
      <c r="D189" s="67"/>
      <c r="E189" s="82"/>
      <c r="F189" s="82"/>
      <c r="G189" s="82"/>
      <c r="H189" s="82"/>
      <c r="I189" s="93" t="str">
        <f t="shared" si="14"/>
        <v/>
      </c>
      <c r="J189" s="82"/>
      <c r="K189" s="94" t="str">
        <f>IF(OR(D189="",E189=""),"",IF(J189="",G189,IF(D189="Buy",MROUND(MAX(E189*(1-Settings!$K$8),J189*(1-Settings!$K$6)),Settings!$K$10),MROUND(MIN(E189*(1+Settings!$K$8),J189*(1+Settings!$K$6)),Settings!$K$10))))</f>
        <v/>
      </c>
      <c r="L189" s="95" t="str">
        <f t="shared" si="15"/>
        <v/>
      </c>
      <c r="M189" s="82"/>
      <c r="N189" s="94" t="str">
        <f>IF(OR(D189="",E189=""),"",IF(M189="",H189,IF(D189="Buy",MROUND(MAX(E189*(1-Settings!$K$8),M189*(1-Settings!$K$6)),Settings!$K$10),MROUND(MIN(E189*(1+Settings!$K$8),M189*(1+Settings!$K$6)),Settings!$K$10))))</f>
        <v/>
      </c>
      <c r="O189" s="95" t="str">
        <f t="shared" si="16"/>
        <v/>
      </c>
      <c r="P189" s="82"/>
      <c r="Q189" s="94" t="str">
        <f>IF(OR(D189="",P189=""),"",IF(D189="Buy",MROUND(P189*(1-Settings!$K$6),Settings!$K$10),MROUND(P189*(1+Settings!$K$6),Settings!$K$10)))</f>
        <v/>
      </c>
      <c r="R189" s="95" t="str">
        <f t="shared" si="17"/>
        <v/>
      </c>
      <c r="S189" s="82"/>
      <c r="T189" s="94" t="str">
        <f>IF(OR(D189="",S189=""),"",IF(D189="Buy",MROUND(S189*(1-Settings!$K$6),Settings!$K$10),MROUND(S189*(1+Settings!$K$6),Settings!$K$10)))</f>
        <v/>
      </c>
      <c r="U189" s="67"/>
      <c r="V189" s="211" t="str">
        <f t="shared" si="18"/>
        <v/>
      </c>
      <c r="W189" s="110"/>
      <c r="X189" s="211" t="str">
        <f t="shared" si="19"/>
        <v/>
      </c>
      <c r="Y189" s="211" t="str">
        <f t="shared" si="20"/>
        <v/>
      </c>
      <c r="Z189" s="82"/>
    </row>
    <row r="190" ht="20" customHeight="1" spans="1:26">
      <c r="A190" s="64">
        <v>177</v>
      </c>
      <c r="B190" s="65"/>
      <c r="C190" s="66"/>
      <c r="D190" s="67"/>
      <c r="E190" s="82"/>
      <c r="F190" s="82"/>
      <c r="G190" s="82"/>
      <c r="H190" s="82"/>
      <c r="I190" s="93" t="str">
        <f t="shared" si="14"/>
        <v/>
      </c>
      <c r="J190" s="82"/>
      <c r="K190" s="94" t="str">
        <f>IF(OR(D190="",E190=""),"",IF(J190="",G190,IF(D190="Buy",MROUND(MAX(E190*(1-Settings!$K$8),J190*(1-Settings!$K$6)),Settings!$K$10),MROUND(MIN(E190*(1+Settings!$K$8),J190*(1+Settings!$K$6)),Settings!$K$10))))</f>
        <v/>
      </c>
      <c r="L190" s="95" t="str">
        <f t="shared" si="15"/>
        <v/>
      </c>
      <c r="M190" s="82"/>
      <c r="N190" s="94" t="str">
        <f>IF(OR(D190="",E190=""),"",IF(M190="",H190,IF(D190="Buy",MROUND(MAX(E190*(1-Settings!$K$8),M190*(1-Settings!$K$6)),Settings!$K$10),MROUND(MIN(E190*(1+Settings!$K$8),M190*(1+Settings!$K$6)),Settings!$K$10))))</f>
        <v/>
      </c>
      <c r="O190" s="95" t="str">
        <f t="shared" si="16"/>
        <v/>
      </c>
      <c r="P190" s="82"/>
      <c r="Q190" s="94" t="str">
        <f>IF(OR(D190="",P190=""),"",IF(D190="Buy",MROUND(P190*(1-Settings!$K$6),Settings!$K$10),MROUND(P190*(1+Settings!$K$6),Settings!$K$10)))</f>
        <v/>
      </c>
      <c r="R190" s="95" t="str">
        <f t="shared" si="17"/>
        <v/>
      </c>
      <c r="S190" s="82"/>
      <c r="T190" s="94" t="str">
        <f>IF(OR(D190="",S190=""),"",IF(D190="Buy",MROUND(S190*(1-Settings!$K$6),Settings!$K$10),MROUND(S190*(1+Settings!$K$6),Settings!$K$10)))</f>
        <v/>
      </c>
      <c r="U190" s="67"/>
      <c r="V190" s="211" t="str">
        <f t="shared" si="18"/>
        <v/>
      </c>
      <c r="W190" s="110"/>
      <c r="X190" s="211" t="str">
        <f t="shared" si="19"/>
        <v/>
      </c>
      <c r="Y190" s="211" t="str">
        <f t="shared" si="20"/>
        <v/>
      </c>
      <c r="Z190" s="82"/>
    </row>
    <row r="191" ht="20" customHeight="1" spans="1:26">
      <c r="A191" s="64">
        <v>178</v>
      </c>
      <c r="B191" s="65"/>
      <c r="C191" s="66"/>
      <c r="D191" s="67"/>
      <c r="E191" s="82"/>
      <c r="F191" s="82"/>
      <c r="G191" s="82"/>
      <c r="H191" s="82"/>
      <c r="I191" s="93" t="str">
        <f t="shared" si="14"/>
        <v/>
      </c>
      <c r="J191" s="82"/>
      <c r="K191" s="94" t="str">
        <f>IF(OR(D191="",E191=""),"",IF(J191="",G191,IF(D191="Buy",MROUND(MAX(E191*(1-Settings!$K$8),J191*(1-Settings!$K$6)),Settings!$K$10),MROUND(MIN(E191*(1+Settings!$K$8),J191*(1+Settings!$K$6)),Settings!$K$10))))</f>
        <v/>
      </c>
      <c r="L191" s="95" t="str">
        <f t="shared" si="15"/>
        <v/>
      </c>
      <c r="M191" s="82"/>
      <c r="N191" s="94" t="str">
        <f>IF(OR(D191="",E191=""),"",IF(M191="",H191,IF(D191="Buy",MROUND(MAX(E191*(1-Settings!$K$8),M191*(1-Settings!$K$6)),Settings!$K$10),MROUND(MIN(E191*(1+Settings!$K$8),M191*(1+Settings!$K$6)),Settings!$K$10))))</f>
        <v/>
      </c>
      <c r="O191" s="95" t="str">
        <f t="shared" si="16"/>
        <v/>
      </c>
      <c r="P191" s="82"/>
      <c r="Q191" s="94" t="str">
        <f>IF(OR(D191="",P191=""),"",IF(D191="Buy",MROUND(P191*(1-Settings!$K$6),Settings!$K$10),MROUND(P191*(1+Settings!$K$6),Settings!$K$10)))</f>
        <v/>
      </c>
      <c r="R191" s="95" t="str">
        <f t="shared" si="17"/>
        <v/>
      </c>
      <c r="S191" s="82"/>
      <c r="T191" s="94" t="str">
        <f>IF(OR(D191="",S191=""),"",IF(D191="Buy",MROUND(S191*(1-Settings!$K$6),Settings!$K$10),MROUND(S191*(1+Settings!$K$6),Settings!$K$10)))</f>
        <v/>
      </c>
      <c r="U191" s="67"/>
      <c r="V191" s="211" t="str">
        <f t="shared" si="18"/>
        <v/>
      </c>
      <c r="W191" s="110"/>
      <c r="X191" s="211" t="str">
        <f t="shared" si="19"/>
        <v/>
      </c>
      <c r="Y191" s="211" t="str">
        <f t="shared" si="20"/>
        <v/>
      </c>
      <c r="Z191" s="82"/>
    </row>
    <row r="192" ht="20" customHeight="1" spans="1:26">
      <c r="A192" s="64">
        <v>179</v>
      </c>
      <c r="B192" s="65"/>
      <c r="C192" s="66"/>
      <c r="D192" s="67"/>
      <c r="E192" s="82"/>
      <c r="F192" s="82"/>
      <c r="G192" s="82"/>
      <c r="H192" s="82"/>
      <c r="I192" s="93" t="str">
        <f t="shared" si="14"/>
        <v/>
      </c>
      <c r="J192" s="82"/>
      <c r="K192" s="94" t="str">
        <f>IF(OR(D192="",E192=""),"",IF(J192="",G192,IF(D192="Buy",MROUND(MAX(E192*(1-Settings!$K$8),J192*(1-Settings!$K$6)),Settings!$K$10),MROUND(MIN(E192*(1+Settings!$K$8),J192*(1+Settings!$K$6)),Settings!$K$10))))</f>
        <v/>
      </c>
      <c r="L192" s="95" t="str">
        <f t="shared" si="15"/>
        <v/>
      </c>
      <c r="M192" s="82"/>
      <c r="N192" s="94" t="str">
        <f>IF(OR(D192="",E192=""),"",IF(M192="",H192,IF(D192="Buy",MROUND(MAX(E192*(1-Settings!$K$8),M192*(1-Settings!$K$6)),Settings!$K$10),MROUND(MIN(E192*(1+Settings!$K$8),M192*(1+Settings!$K$6)),Settings!$K$10))))</f>
        <v/>
      </c>
      <c r="O192" s="95" t="str">
        <f t="shared" si="16"/>
        <v/>
      </c>
      <c r="P192" s="82"/>
      <c r="Q192" s="94" t="str">
        <f>IF(OR(D192="",P192=""),"",IF(D192="Buy",MROUND(P192*(1-Settings!$K$6),Settings!$K$10),MROUND(P192*(1+Settings!$K$6),Settings!$K$10)))</f>
        <v/>
      </c>
      <c r="R192" s="95" t="str">
        <f t="shared" si="17"/>
        <v/>
      </c>
      <c r="S192" s="82"/>
      <c r="T192" s="94" t="str">
        <f>IF(OR(D192="",S192=""),"",IF(D192="Buy",MROUND(S192*(1-Settings!$K$6),Settings!$K$10),MROUND(S192*(1+Settings!$K$6),Settings!$K$10)))</f>
        <v/>
      </c>
      <c r="U192" s="67"/>
      <c r="V192" s="211" t="str">
        <f t="shared" si="18"/>
        <v/>
      </c>
      <c r="W192" s="110"/>
      <c r="X192" s="211" t="str">
        <f t="shared" si="19"/>
        <v/>
      </c>
      <c r="Y192" s="211" t="str">
        <f t="shared" si="20"/>
        <v/>
      </c>
      <c r="Z192" s="82"/>
    </row>
    <row r="193" ht="20" customHeight="1" spans="1:26">
      <c r="A193" s="64">
        <v>180</v>
      </c>
      <c r="B193" s="65"/>
      <c r="C193" s="66"/>
      <c r="D193" s="67"/>
      <c r="E193" s="82"/>
      <c r="F193" s="82"/>
      <c r="G193" s="82"/>
      <c r="H193" s="82"/>
      <c r="I193" s="93" t="str">
        <f t="shared" si="14"/>
        <v/>
      </c>
      <c r="J193" s="82"/>
      <c r="K193" s="94" t="str">
        <f>IF(OR(D193="",E193=""),"",IF(J193="",G193,IF(D193="Buy",MROUND(MAX(E193*(1-Settings!$K$8),J193*(1-Settings!$K$6)),Settings!$K$10),MROUND(MIN(E193*(1+Settings!$K$8),J193*(1+Settings!$K$6)),Settings!$K$10))))</f>
        <v/>
      </c>
      <c r="L193" s="95" t="str">
        <f t="shared" si="15"/>
        <v/>
      </c>
      <c r="M193" s="82"/>
      <c r="N193" s="94" t="str">
        <f>IF(OR(D193="",E193=""),"",IF(M193="",H193,IF(D193="Buy",MROUND(MAX(E193*(1-Settings!$K$8),M193*(1-Settings!$K$6)),Settings!$K$10),MROUND(MIN(E193*(1+Settings!$K$8),M193*(1+Settings!$K$6)),Settings!$K$10))))</f>
        <v/>
      </c>
      <c r="O193" s="95" t="str">
        <f t="shared" si="16"/>
        <v/>
      </c>
      <c r="P193" s="82"/>
      <c r="Q193" s="94" t="str">
        <f>IF(OR(D193="",P193=""),"",IF(D193="Buy",MROUND(P193*(1-Settings!$K$6),Settings!$K$10),MROUND(P193*(1+Settings!$K$6),Settings!$K$10)))</f>
        <v/>
      </c>
      <c r="R193" s="95" t="str">
        <f t="shared" si="17"/>
        <v/>
      </c>
      <c r="S193" s="82"/>
      <c r="T193" s="94" t="str">
        <f>IF(OR(D193="",S193=""),"",IF(D193="Buy",MROUND(S193*(1-Settings!$K$6),Settings!$K$10),MROUND(S193*(1+Settings!$K$6),Settings!$K$10)))</f>
        <v/>
      </c>
      <c r="U193" s="67"/>
      <c r="V193" s="211" t="str">
        <f t="shared" si="18"/>
        <v/>
      </c>
      <c r="W193" s="110"/>
      <c r="X193" s="211" t="str">
        <f t="shared" si="19"/>
        <v/>
      </c>
      <c r="Y193" s="211" t="str">
        <f t="shared" si="20"/>
        <v/>
      </c>
      <c r="Z193" s="82"/>
    </row>
    <row r="194" ht="20" customHeight="1" spans="1:26">
      <c r="A194" s="64">
        <v>181</v>
      </c>
      <c r="B194" s="65"/>
      <c r="C194" s="66"/>
      <c r="D194" s="67"/>
      <c r="E194" s="82"/>
      <c r="F194" s="82"/>
      <c r="G194" s="82"/>
      <c r="H194" s="82"/>
      <c r="I194" s="93" t="str">
        <f t="shared" si="14"/>
        <v/>
      </c>
      <c r="J194" s="82"/>
      <c r="K194" s="94" t="str">
        <f>IF(OR(D194="",E194=""),"",IF(J194="",G194,IF(D194="Buy",MROUND(MAX(E194*(1-Settings!$K$8),J194*(1-Settings!$K$6)),Settings!$K$10),MROUND(MIN(E194*(1+Settings!$K$8),J194*(1+Settings!$K$6)),Settings!$K$10))))</f>
        <v/>
      </c>
      <c r="L194" s="95" t="str">
        <f t="shared" si="15"/>
        <v/>
      </c>
      <c r="M194" s="82"/>
      <c r="N194" s="94" t="str">
        <f>IF(OR(D194="",E194=""),"",IF(M194="",H194,IF(D194="Buy",MROUND(MAX(E194*(1-Settings!$K$8),M194*(1-Settings!$K$6)),Settings!$K$10),MROUND(MIN(E194*(1+Settings!$K$8),M194*(1+Settings!$K$6)),Settings!$K$10))))</f>
        <v/>
      </c>
      <c r="O194" s="95" t="str">
        <f t="shared" si="16"/>
        <v/>
      </c>
      <c r="P194" s="82"/>
      <c r="Q194" s="94" t="str">
        <f>IF(OR(D194="",P194=""),"",IF(D194="Buy",MROUND(P194*(1-Settings!$K$6),Settings!$K$10),MROUND(P194*(1+Settings!$K$6),Settings!$K$10)))</f>
        <v/>
      </c>
      <c r="R194" s="95" t="str">
        <f t="shared" si="17"/>
        <v/>
      </c>
      <c r="S194" s="82"/>
      <c r="T194" s="94" t="str">
        <f>IF(OR(D194="",S194=""),"",IF(D194="Buy",MROUND(S194*(1-Settings!$K$6),Settings!$K$10),MROUND(S194*(1+Settings!$K$6),Settings!$K$10)))</f>
        <v/>
      </c>
      <c r="U194" s="67"/>
      <c r="V194" s="211" t="str">
        <f t="shared" si="18"/>
        <v/>
      </c>
      <c r="W194" s="110"/>
      <c r="X194" s="211" t="str">
        <f t="shared" si="19"/>
        <v/>
      </c>
      <c r="Y194" s="211" t="str">
        <f t="shared" si="20"/>
        <v/>
      </c>
      <c r="Z194" s="82"/>
    </row>
    <row r="195" ht="20" customHeight="1" spans="1:26">
      <c r="A195" s="64">
        <v>182</v>
      </c>
      <c r="B195" s="65"/>
      <c r="C195" s="66"/>
      <c r="D195" s="67"/>
      <c r="E195" s="82"/>
      <c r="F195" s="82"/>
      <c r="G195" s="82"/>
      <c r="H195" s="82"/>
      <c r="I195" s="93" t="str">
        <f t="shared" si="14"/>
        <v/>
      </c>
      <c r="J195" s="82"/>
      <c r="K195" s="94" t="str">
        <f>IF(OR(D195="",E195=""),"",IF(J195="",G195,IF(D195="Buy",MROUND(MAX(E195*(1-Settings!$K$8),J195*(1-Settings!$K$6)),Settings!$K$10),MROUND(MIN(E195*(1+Settings!$K$8),J195*(1+Settings!$K$6)),Settings!$K$10))))</f>
        <v/>
      </c>
      <c r="L195" s="95" t="str">
        <f t="shared" si="15"/>
        <v/>
      </c>
      <c r="M195" s="82"/>
      <c r="N195" s="94" t="str">
        <f>IF(OR(D195="",E195=""),"",IF(M195="",H195,IF(D195="Buy",MROUND(MAX(E195*(1-Settings!$K$8),M195*(1-Settings!$K$6)),Settings!$K$10),MROUND(MIN(E195*(1+Settings!$K$8),M195*(1+Settings!$K$6)),Settings!$K$10))))</f>
        <v/>
      </c>
      <c r="O195" s="95" t="str">
        <f t="shared" si="16"/>
        <v/>
      </c>
      <c r="P195" s="82"/>
      <c r="Q195" s="94" t="str">
        <f>IF(OR(D195="",P195=""),"",IF(D195="Buy",MROUND(P195*(1-Settings!$K$6),Settings!$K$10),MROUND(P195*(1+Settings!$K$6),Settings!$K$10)))</f>
        <v/>
      </c>
      <c r="R195" s="95" t="str">
        <f t="shared" si="17"/>
        <v/>
      </c>
      <c r="S195" s="82"/>
      <c r="T195" s="94" t="str">
        <f>IF(OR(D195="",S195=""),"",IF(D195="Buy",MROUND(S195*(1-Settings!$K$6),Settings!$K$10),MROUND(S195*(1+Settings!$K$6),Settings!$K$10)))</f>
        <v/>
      </c>
      <c r="U195" s="67"/>
      <c r="V195" s="211" t="str">
        <f t="shared" si="18"/>
        <v/>
      </c>
      <c r="W195" s="110"/>
      <c r="X195" s="211" t="str">
        <f t="shared" si="19"/>
        <v/>
      </c>
      <c r="Y195" s="211" t="str">
        <f t="shared" si="20"/>
        <v/>
      </c>
      <c r="Z195" s="82"/>
    </row>
    <row r="196" ht="20" customHeight="1" spans="1:26">
      <c r="A196" s="64">
        <v>183</v>
      </c>
      <c r="B196" s="65"/>
      <c r="C196" s="66"/>
      <c r="D196" s="67"/>
      <c r="E196" s="82"/>
      <c r="F196" s="82"/>
      <c r="G196" s="82"/>
      <c r="H196" s="82"/>
      <c r="I196" s="93" t="str">
        <f t="shared" si="14"/>
        <v/>
      </c>
      <c r="J196" s="82"/>
      <c r="K196" s="94" t="str">
        <f>IF(OR(D196="",E196=""),"",IF(J196="",G196,IF(D196="Buy",MROUND(MAX(E196*(1-Settings!$K$8),J196*(1-Settings!$K$6)),Settings!$K$10),MROUND(MIN(E196*(1+Settings!$K$8),J196*(1+Settings!$K$6)),Settings!$K$10))))</f>
        <v/>
      </c>
      <c r="L196" s="95" t="str">
        <f t="shared" si="15"/>
        <v/>
      </c>
      <c r="M196" s="82"/>
      <c r="N196" s="94" t="str">
        <f>IF(OR(D196="",E196=""),"",IF(M196="",H196,IF(D196="Buy",MROUND(MAX(E196*(1-Settings!$K$8),M196*(1-Settings!$K$6)),Settings!$K$10),MROUND(MIN(E196*(1+Settings!$K$8),M196*(1+Settings!$K$6)),Settings!$K$10))))</f>
        <v/>
      </c>
      <c r="O196" s="95" t="str">
        <f t="shared" si="16"/>
        <v/>
      </c>
      <c r="P196" s="82"/>
      <c r="Q196" s="94" t="str">
        <f>IF(OR(D196="",P196=""),"",IF(D196="Buy",MROUND(P196*(1-Settings!$K$6),Settings!$K$10),MROUND(P196*(1+Settings!$K$6),Settings!$K$10)))</f>
        <v/>
      </c>
      <c r="R196" s="95" t="str">
        <f t="shared" si="17"/>
        <v/>
      </c>
      <c r="S196" s="82"/>
      <c r="T196" s="94" t="str">
        <f>IF(OR(D196="",S196=""),"",IF(D196="Buy",MROUND(S196*(1-Settings!$K$6),Settings!$K$10),MROUND(S196*(1+Settings!$K$6),Settings!$K$10)))</f>
        <v/>
      </c>
      <c r="U196" s="67"/>
      <c r="V196" s="211" t="str">
        <f t="shared" si="18"/>
        <v/>
      </c>
      <c r="W196" s="110"/>
      <c r="X196" s="211" t="str">
        <f t="shared" si="19"/>
        <v/>
      </c>
      <c r="Y196" s="211" t="str">
        <f t="shared" si="20"/>
        <v/>
      </c>
      <c r="Z196" s="82"/>
    </row>
    <row r="197" ht="20" customHeight="1" spans="1:26">
      <c r="A197" s="64">
        <v>184</v>
      </c>
      <c r="B197" s="65"/>
      <c r="C197" s="66"/>
      <c r="D197" s="67"/>
      <c r="E197" s="82"/>
      <c r="F197" s="82"/>
      <c r="G197" s="82"/>
      <c r="H197" s="82"/>
      <c r="I197" s="93" t="str">
        <f t="shared" si="14"/>
        <v/>
      </c>
      <c r="J197" s="82"/>
      <c r="K197" s="94" t="str">
        <f>IF(OR(D197="",E197=""),"",IF(J197="",G197,IF(D197="Buy",MROUND(MAX(E197*(1-Settings!$K$8),J197*(1-Settings!$K$6)),Settings!$K$10),MROUND(MIN(E197*(1+Settings!$K$8),J197*(1+Settings!$K$6)),Settings!$K$10))))</f>
        <v/>
      </c>
      <c r="L197" s="95" t="str">
        <f t="shared" si="15"/>
        <v/>
      </c>
      <c r="M197" s="82"/>
      <c r="N197" s="94" t="str">
        <f>IF(OR(D197="",E197=""),"",IF(M197="",H197,IF(D197="Buy",MROUND(MAX(E197*(1-Settings!$K$8),M197*(1-Settings!$K$6)),Settings!$K$10),MROUND(MIN(E197*(1+Settings!$K$8),M197*(1+Settings!$K$6)),Settings!$K$10))))</f>
        <v/>
      </c>
      <c r="O197" s="95" t="str">
        <f t="shared" si="16"/>
        <v/>
      </c>
      <c r="P197" s="82"/>
      <c r="Q197" s="94" t="str">
        <f>IF(OR(D197="",P197=""),"",IF(D197="Buy",MROUND(P197*(1-Settings!$K$6),Settings!$K$10),MROUND(P197*(1+Settings!$K$6),Settings!$K$10)))</f>
        <v/>
      </c>
      <c r="R197" s="95" t="str">
        <f t="shared" si="17"/>
        <v/>
      </c>
      <c r="S197" s="82"/>
      <c r="T197" s="94" t="str">
        <f>IF(OR(D197="",S197=""),"",IF(D197="Buy",MROUND(S197*(1-Settings!$K$6),Settings!$K$10),MROUND(S197*(1+Settings!$K$6),Settings!$K$10)))</f>
        <v/>
      </c>
      <c r="U197" s="67"/>
      <c r="V197" s="211" t="str">
        <f t="shared" si="18"/>
        <v/>
      </c>
      <c r="W197" s="110"/>
      <c r="X197" s="211" t="str">
        <f t="shared" si="19"/>
        <v/>
      </c>
      <c r="Y197" s="211" t="str">
        <f t="shared" si="20"/>
        <v/>
      </c>
      <c r="Z197" s="82"/>
    </row>
    <row r="198" ht="20" customHeight="1" spans="1:26">
      <c r="A198" s="64">
        <v>185</v>
      </c>
      <c r="B198" s="65"/>
      <c r="C198" s="66"/>
      <c r="D198" s="67"/>
      <c r="E198" s="82"/>
      <c r="F198" s="82"/>
      <c r="G198" s="82"/>
      <c r="H198" s="82"/>
      <c r="I198" s="93" t="str">
        <f t="shared" si="14"/>
        <v/>
      </c>
      <c r="J198" s="82"/>
      <c r="K198" s="94" t="str">
        <f>IF(OR(D198="",E198=""),"",IF(J198="",G198,IF(D198="Buy",MROUND(MAX(E198*(1-Settings!$K$8),J198*(1-Settings!$K$6)),Settings!$K$10),MROUND(MIN(E198*(1+Settings!$K$8),J198*(1+Settings!$K$6)),Settings!$K$10))))</f>
        <v/>
      </c>
      <c r="L198" s="95" t="str">
        <f t="shared" si="15"/>
        <v/>
      </c>
      <c r="M198" s="82"/>
      <c r="N198" s="94" t="str">
        <f>IF(OR(D198="",E198=""),"",IF(M198="",H198,IF(D198="Buy",MROUND(MAX(E198*(1-Settings!$K$8),M198*(1-Settings!$K$6)),Settings!$K$10),MROUND(MIN(E198*(1+Settings!$K$8),M198*(1+Settings!$K$6)),Settings!$K$10))))</f>
        <v/>
      </c>
      <c r="O198" s="95" t="str">
        <f t="shared" si="16"/>
        <v/>
      </c>
      <c r="P198" s="82"/>
      <c r="Q198" s="94" t="str">
        <f>IF(OR(D198="",P198=""),"",IF(D198="Buy",MROUND(P198*(1-Settings!$K$6),Settings!$K$10),MROUND(P198*(1+Settings!$K$6),Settings!$K$10)))</f>
        <v/>
      </c>
      <c r="R198" s="95" t="str">
        <f t="shared" si="17"/>
        <v/>
      </c>
      <c r="S198" s="82"/>
      <c r="T198" s="94" t="str">
        <f>IF(OR(D198="",S198=""),"",IF(D198="Buy",MROUND(S198*(1-Settings!$K$6),Settings!$K$10),MROUND(S198*(1+Settings!$K$6),Settings!$K$10)))</f>
        <v/>
      </c>
      <c r="U198" s="67"/>
      <c r="V198" s="211" t="str">
        <f t="shared" si="18"/>
        <v/>
      </c>
      <c r="W198" s="110"/>
      <c r="X198" s="211" t="str">
        <f t="shared" si="19"/>
        <v/>
      </c>
      <c r="Y198" s="211" t="str">
        <f t="shared" si="20"/>
        <v/>
      </c>
      <c r="Z198" s="82"/>
    </row>
    <row r="199" ht="20" customHeight="1" spans="1:26">
      <c r="A199" s="64">
        <v>186</v>
      </c>
      <c r="B199" s="65"/>
      <c r="C199" s="66"/>
      <c r="D199" s="67"/>
      <c r="E199" s="82"/>
      <c r="F199" s="82"/>
      <c r="G199" s="82"/>
      <c r="H199" s="82"/>
      <c r="I199" s="93" t="str">
        <f t="shared" si="14"/>
        <v/>
      </c>
      <c r="J199" s="82"/>
      <c r="K199" s="94" t="str">
        <f>IF(OR(D199="",E199=""),"",IF(J199="",G199,IF(D199="Buy",MROUND(MAX(E199*(1-Settings!$K$8),J199*(1-Settings!$K$6)),Settings!$K$10),MROUND(MIN(E199*(1+Settings!$K$8),J199*(1+Settings!$K$6)),Settings!$K$10))))</f>
        <v/>
      </c>
      <c r="L199" s="95" t="str">
        <f t="shared" si="15"/>
        <v/>
      </c>
      <c r="M199" s="82"/>
      <c r="N199" s="94" t="str">
        <f>IF(OR(D199="",E199=""),"",IF(M199="",H199,IF(D199="Buy",MROUND(MAX(E199*(1-Settings!$K$8),M199*(1-Settings!$K$6)),Settings!$K$10),MROUND(MIN(E199*(1+Settings!$K$8),M199*(1+Settings!$K$6)),Settings!$K$10))))</f>
        <v/>
      </c>
      <c r="O199" s="95" t="str">
        <f t="shared" si="16"/>
        <v/>
      </c>
      <c r="P199" s="82"/>
      <c r="Q199" s="94" t="str">
        <f>IF(OR(D199="",P199=""),"",IF(D199="Buy",MROUND(P199*(1-Settings!$K$6),Settings!$K$10),MROUND(P199*(1+Settings!$K$6),Settings!$K$10)))</f>
        <v/>
      </c>
      <c r="R199" s="95" t="str">
        <f t="shared" si="17"/>
        <v/>
      </c>
      <c r="S199" s="82"/>
      <c r="T199" s="94" t="str">
        <f>IF(OR(D199="",S199=""),"",IF(D199="Buy",MROUND(S199*(1-Settings!$K$6),Settings!$K$10),MROUND(S199*(1+Settings!$K$6),Settings!$K$10)))</f>
        <v/>
      </c>
      <c r="U199" s="67"/>
      <c r="V199" s="211" t="str">
        <f t="shared" si="18"/>
        <v/>
      </c>
      <c r="W199" s="110"/>
      <c r="X199" s="211" t="str">
        <f t="shared" si="19"/>
        <v/>
      </c>
      <c r="Y199" s="211" t="str">
        <f t="shared" si="20"/>
        <v/>
      </c>
      <c r="Z199" s="82"/>
    </row>
    <row r="200" ht="20" customHeight="1" spans="1:26">
      <c r="A200" s="64">
        <v>187</v>
      </c>
      <c r="B200" s="65"/>
      <c r="C200" s="66"/>
      <c r="D200" s="67"/>
      <c r="E200" s="82"/>
      <c r="F200" s="82"/>
      <c r="G200" s="82"/>
      <c r="H200" s="82"/>
      <c r="I200" s="93" t="str">
        <f t="shared" si="14"/>
        <v/>
      </c>
      <c r="J200" s="82"/>
      <c r="K200" s="94" t="str">
        <f>IF(OR(D200="",E200=""),"",IF(J200="",G200,IF(D200="Buy",MROUND(MAX(E200*(1-Settings!$K$8),J200*(1-Settings!$K$6)),Settings!$K$10),MROUND(MIN(E200*(1+Settings!$K$8),J200*(1+Settings!$K$6)),Settings!$K$10))))</f>
        <v/>
      </c>
      <c r="L200" s="95" t="str">
        <f t="shared" si="15"/>
        <v/>
      </c>
      <c r="M200" s="82"/>
      <c r="N200" s="94" t="str">
        <f>IF(OR(D200="",E200=""),"",IF(M200="",H200,IF(D200="Buy",MROUND(MAX(E200*(1-Settings!$K$8),M200*(1-Settings!$K$6)),Settings!$K$10),MROUND(MIN(E200*(1+Settings!$K$8),M200*(1+Settings!$K$6)),Settings!$K$10))))</f>
        <v/>
      </c>
      <c r="O200" s="95" t="str">
        <f t="shared" si="16"/>
        <v/>
      </c>
      <c r="P200" s="82"/>
      <c r="Q200" s="94" t="str">
        <f>IF(OR(D200="",P200=""),"",IF(D200="Buy",MROUND(P200*(1-Settings!$K$6),Settings!$K$10),MROUND(P200*(1+Settings!$K$6),Settings!$K$10)))</f>
        <v/>
      </c>
      <c r="R200" s="95" t="str">
        <f t="shared" si="17"/>
        <v/>
      </c>
      <c r="S200" s="82"/>
      <c r="T200" s="94" t="str">
        <f>IF(OR(D200="",S200=""),"",IF(D200="Buy",MROUND(S200*(1-Settings!$K$6),Settings!$K$10),MROUND(S200*(1+Settings!$K$6),Settings!$K$10)))</f>
        <v/>
      </c>
      <c r="U200" s="67"/>
      <c r="V200" s="211" t="str">
        <f t="shared" si="18"/>
        <v/>
      </c>
      <c r="W200" s="110"/>
      <c r="X200" s="211" t="str">
        <f t="shared" si="19"/>
        <v/>
      </c>
      <c r="Y200" s="211" t="str">
        <f t="shared" si="20"/>
        <v/>
      </c>
      <c r="Z200" s="82"/>
    </row>
    <row r="201" ht="20" customHeight="1" spans="1:26">
      <c r="A201" s="64">
        <v>188</v>
      </c>
      <c r="B201" s="65"/>
      <c r="C201" s="66"/>
      <c r="D201" s="67"/>
      <c r="E201" s="82"/>
      <c r="F201" s="82"/>
      <c r="G201" s="82"/>
      <c r="H201" s="82"/>
      <c r="I201" s="93" t="str">
        <f t="shared" si="14"/>
        <v/>
      </c>
      <c r="J201" s="82"/>
      <c r="K201" s="94" t="str">
        <f>IF(OR(D201="",E201=""),"",IF(J201="",G201,IF(D201="Buy",MROUND(MAX(E201*(1-Settings!$K$8),J201*(1-Settings!$K$6)),Settings!$K$10),MROUND(MIN(E201*(1+Settings!$K$8),J201*(1+Settings!$K$6)),Settings!$K$10))))</f>
        <v/>
      </c>
      <c r="L201" s="95" t="str">
        <f t="shared" si="15"/>
        <v/>
      </c>
      <c r="M201" s="82"/>
      <c r="N201" s="94" t="str">
        <f>IF(OR(D201="",E201=""),"",IF(M201="",H201,IF(D201="Buy",MROUND(MAX(E201*(1-Settings!$K$8),M201*(1-Settings!$K$6)),Settings!$K$10),MROUND(MIN(E201*(1+Settings!$K$8),M201*(1+Settings!$K$6)),Settings!$K$10))))</f>
        <v/>
      </c>
      <c r="O201" s="95" t="str">
        <f t="shared" si="16"/>
        <v/>
      </c>
      <c r="P201" s="82"/>
      <c r="Q201" s="94" t="str">
        <f>IF(OR(D201="",P201=""),"",IF(D201="Buy",MROUND(P201*(1-Settings!$K$6),Settings!$K$10),MROUND(P201*(1+Settings!$K$6),Settings!$K$10)))</f>
        <v/>
      </c>
      <c r="R201" s="95" t="str">
        <f t="shared" si="17"/>
        <v/>
      </c>
      <c r="S201" s="82"/>
      <c r="T201" s="94" t="str">
        <f>IF(OR(D201="",S201=""),"",IF(D201="Buy",MROUND(S201*(1-Settings!$K$6),Settings!$K$10),MROUND(S201*(1+Settings!$K$6),Settings!$K$10)))</f>
        <v/>
      </c>
      <c r="U201" s="67"/>
      <c r="V201" s="211" t="str">
        <f t="shared" si="18"/>
        <v/>
      </c>
      <c r="W201" s="110"/>
      <c r="X201" s="211" t="str">
        <f t="shared" si="19"/>
        <v/>
      </c>
      <c r="Y201" s="211" t="str">
        <f t="shared" si="20"/>
        <v/>
      </c>
      <c r="Z201" s="82"/>
    </row>
    <row r="202" ht="20" customHeight="1" spans="1:26">
      <c r="A202" s="64">
        <v>189</v>
      </c>
      <c r="B202" s="65"/>
      <c r="C202" s="66"/>
      <c r="D202" s="67"/>
      <c r="E202" s="82"/>
      <c r="F202" s="82"/>
      <c r="G202" s="82"/>
      <c r="H202" s="82"/>
      <c r="I202" s="93" t="str">
        <f t="shared" si="14"/>
        <v/>
      </c>
      <c r="J202" s="82"/>
      <c r="K202" s="94" t="str">
        <f>IF(OR(D202="",E202=""),"",IF(J202="",G202,IF(D202="Buy",MROUND(MAX(E202*(1-Settings!$K$8),J202*(1-Settings!$K$6)),Settings!$K$10),MROUND(MIN(E202*(1+Settings!$K$8),J202*(1+Settings!$K$6)),Settings!$K$10))))</f>
        <v/>
      </c>
      <c r="L202" s="95" t="str">
        <f t="shared" si="15"/>
        <v/>
      </c>
      <c r="M202" s="82"/>
      <c r="N202" s="94" t="str">
        <f>IF(OR(D202="",E202=""),"",IF(M202="",H202,IF(D202="Buy",MROUND(MAX(E202*(1-Settings!$K$8),M202*(1-Settings!$K$6)),Settings!$K$10),MROUND(MIN(E202*(1+Settings!$K$8),M202*(1+Settings!$K$6)),Settings!$K$10))))</f>
        <v/>
      </c>
      <c r="O202" s="95" t="str">
        <f t="shared" si="16"/>
        <v/>
      </c>
      <c r="P202" s="82"/>
      <c r="Q202" s="94" t="str">
        <f>IF(OR(D202="",P202=""),"",IF(D202="Buy",MROUND(P202*(1-Settings!$K$6),Settings!$K$10),MROUND(P202*(1+Settings!$K$6),Settings!$K$10)))</f>
        <v/>
      </c>
      <c r="R202" s="95" t="str">
        <f t="shared" si="17"/>
        <v/>
      </c>
      <c r="S202" s="82"/>
      <c r="T202" s="94" t="str">
        <f>IF(OR(D202="",S202=""),"",IF(D202="Buy",MROUND(S202*(1-Settings!$K$6),Settings!$K$10),MROUND(S202*(1+Settings!$K$6),Settings!$K$10)))</f>
        <v/>
      </c>
      <c r="U202" s="67"/>
      <c r="V202" s="211" t="str">
        <f t="shared" si="18"/>
        <v/>
      </c>
      <c r="W202" s="110"/>
      <c r="X202" s="211" t="str">
        <f t="shared" si="19"/>
        <v/>
      </c>
      <c r="Y202" s="211" t="str">
        <f t="shared" si="20"/>
        <v/>
      </c>
      <c r="Z202" s="82"/>
    </row>
    <row r="203" ht="20" customHeight="1" spans="1:26">
      <c r="A203" s="64">
        <v>190</v>
      </c>
      <c r="B203" s="65"/>
      <c r="C203" s="66"/>
      <c r="D203" s="67"/>
      <c r="E203" s="82"/>
      <c r="F203" s="82"/>
      <c r="G203" s="82"/>
      <c r="H203" s="82"/>
      <c r="I203" s="93" t="str">
        <f t="shared" si="14"/>
        <v/>
      </c>
      <c r="J203" s="82"/>
      <c r="K203" s="94" t="str">
        <f>IF(OR(D203="",E203=""),"",IF(J203="",G203,IF(D203="Buy",MROUND(MAX(E203*(1-Settings!$K$8),J203*(1-Settings!$K$6)),Settings!$K$10),MROUND(MIN(E203*(1+Settings!$K$8),J203*(1+Settings!$K$6)),Settings!$K$10))))</f>
        <v/>
      </c>
      <c r="L203" s="95" t="str">
        <f t="shared" si="15"/>
        <v/>
      </c>
      <c r="M203" s="82"/>
      <c r="N203" s="94" t="str">
        <f>IF(OR(D203="",E203=""),"",IF(M203="",H203,IF(D203="Buy",MROUND(MAX(E203*(1-Settings!$K$8),M203*(1-Settings!$K$6)),Settings!$K$10),MROUND(MIN(E203*(1+Settings!$K$8),M203*(1+Settings!$K$6)),Settings!$K$10))))</f>
        <v/>
      </c>
      <c r="O203" s="95" t="str">
        <f t="shared" si="16"/>
        <v/>
      </c>
      <c r="P203" s="82"/>
      <c r="Q203" s="94" t="str">
        <f>IF(OR(D203="",P203=""),"",IF(D203="Buy",MROUND(P203*(1-Settings!$K$6),Settings!$K$10),MROUND(P203*(1+Settings!$K$6),Settings!$K$10)))</f>
        <v/>
      </c>
      <c r="R203" s="95" t="str">
        <f t="shared" si="17"/>
        <v/>
      </c>
      <c r="S203" s="82"/>
      <c r="T203" s="94" t="str">
        <f>IF(OR(D203="",S203=""),"",IF(D203="Buy",MROUND(S203*(1-Settings!$K$6),Settings!$K$10),MROUND(S203*(1+Settings!$K$6),Settings!$K$10)))</f>
        <v/>
      </c>
      <c r="U203" s="67"/>
      <c r="V203" s="211" t="str">
        <f t="shared" si="18"/>
        <v/>
      </c>
      <c r="W203" s="110"/>
      <c r="X203" s="211" t="str">
        <f t="shared" si="19"/>
        <v/>
      </c>
      <c r="Y203" s="211" t="str">
        <f t="shared" si="20"/>
        <v/>
      </c>
      <c r="Z203" s="82"/>
    </row>
    <row r="204" ht="20" customHeight="1" spans="1:26">
      <c r="A204" s="64">
        <v>191</v>
      </c>
      <c r="B204" s="65"/>
      <c r="C204" s="66"/>
      <c r="D204" s="67"/>
      <c r="E204" s="82"/>
      <c r="F204" s="82"/>
      <c r="G204" s="82"/>
      <c r="H204" s="82"/>
      <c r="I204" s="93" t="str">
        <f t="shared" si="14"/>
        <v/>
      </c>
      <c r="J204" s="82"/>
      <c r="K204" s="94" t="str">
        <f>IF(OR(D204="",E204=""),"",IF(J204="",G204,IF(D204="Buy",MROUND(MAX(E204*(1-Settings!$K$8),J204*(1-Settings!$K$6)),Settings!$K$10),MROUND(MIN(E204*(1+Settings!$K$8),J204*(1+Settings!$K$6)),Settings!$K$10))))</f>
        <v/>
      </c>
      <c r="L204" s="95" t="str">
        <f t="shared" si="15"/>
        <v/>
      </c>
      <c r="M204" s="82"/>
      <c r="N204" s="94" t="str">
        <f>IF(OR(D204="",E204=""),"",IF(M204="",H204,IF(D204="Buy",MROUND(MAX(E204*(1-Settings!$K$8),M204*(1-Settings!$K$6)),Settings!$K$10),MROUND(MIN(E204*(1+Settings!$K$8),M204*(1+Settings!$K$6)),Settings!$K$10))))</f>
        <v/>
      </c>
      <c r="O204" s="95" t="str">
        <f t="shared" si="16"/>
        <v/>
      </c>
      <c r="P204" s="82"/>
      <c r="Q204" s="94" t="str">
        <f>IF(OR(D204="",P204=""),"",IF(D204="Buy",MROUND(P204*(1-Settings!$K$6),Settings!$K$10),MROUND(P204*(1+Settings!$K$6),Settings!$K$10)))</f>
        <v/>
      </c>
      <c r="R204" s="95" t="str">
        <f t="shared" si="17"/>
        <v/>
      </c>
      <c r="S204" s="82"/>
      <c r="T204" s="94" t="str">
        <f>IF(OR(D204="",S204=""),"",IF(D204="Buy",MROUND(S204*(1-Settings!$K$6),Settings!$K$10),MROUND(S204*(1+Settings!$K$6),Settings!$K$10)))</f>
        <v/>
      </c>
      <c r="U204" s="67"/>
      <c r="V204" s="211" t="str">
        <f t="shared" si="18"/>
        <v/>
      </c>
      <c r="W204" s="110"/>
      <c r="X204" s="211" t="str">
        <f t="shared" si="19"/>
        <v/>
      </c>
      <c r="Y204" s="211" t="str">
        <f t="shared" si="20"/>
        <v/>
      </c>
      <c r="Z204" s="82"/>
    </row>
    <row r="205" ht="20" customHeight="1" spans="1:26">
      <c r="A205" s="64">
        <v>192</v>
      </c>
      <c r="B205" s="65"/>
      <c r="C205" s="66"/>
      <c r="D205" s="67"/>
      <c r="E205" s="82"/>
      <c r="F205" s="82"/>
      <c r="G205" s="82"/>
      <c r="H205" s="82"/>
      <c r="I205" s="93" t="str">
        <f t="shared" si="14"/>
        <v/>
      </c>
      <c r="J205" s="82"/>
      <c r="K205" s="94" t="str">
        <f>IF(OR(D205="",E205=""),"",IF(J205="",G205,IF(D205="Buy",MROUND(MAX(E205*(1-Settings!$K$8),J205*(1-Settings!$K$6)),Settings!$K$10),MROUND(MIN(E205*(1+Settings!$K$8),J205*(1+Settings!$K$6)),Settings!$K$10))))</f>
        <v/>
      </c>
      <c r="L205" s="95" t="str">
        <f t="shared" si="15"/>
        <v/>
      </c>
      <c r="M205" s="82"/>
      <c r="N205" s="94" t="str">
        <f>IF(OR(D205="",E205=""),"",IF(M205="",H205,IF(D205="Buy",MROUND(MAX(E205*(1-Settings!$K$8),M205*(1-Settings!$K$6)),Settings!$K$10),MROUND(MIN(E205*(1+Settings!$K$8),M205*(1+Settings!$K$6)),Settings!$K$10))))</f>
        <v/>
      </c>
      <c r="O205" s="95" t="str">
        <f t="shared" si="16"/>
        <v/>
      </c>
      <c r="P205" s="82"/>
      <c r="Q205" s="94" t="str">
        <f>IF(OR(D205="",P205=""),"",IF(D205="Buy",MROUND(P205*(1-Settings!$K$6),Settings!$K$10),MROUND(P205*(1+Settings!$K$6),Settings!$K$10)))</f>
        <v/>
      </c>
      <c r="R205" s="95" t="str">
        <f t="shared" si="17"/>
        <v/>
      </c>
      <c r="S205" s="82"/>
      <c r="T205" s="94" t="str">
        <f>IF(OR(D205="",S205=""),"",IF(D205="Buy",MROUND(S205*(1-Settings!$K$6),Settings!$K$10),MROUND(S205*(1+Settings!$K$6),Settings!$K$10)))</f>
        <v/>
      </c>
      <c r="U205" s="67"/>
      <c r="V205" s="211" t="str">
        <f t="shared" si="18"/>
        <v/>
      </c>
      <c r="W205" s="110"/>
      <c r="X205" s="211" t="str">
        <f t="shared" si="19"/>
        <v/>
      </c>
      <c r="Y205" s="211" t="str">
        <f t="shared" si="20"/>
        <v/>
      </c>
      <c r="Z205" s="82"/>
    </row>
    <row r="206" ht="20" customHeight="1" spans="1:26">
      <c r="A206" s="64">
        <v>193</v>
      </c>
      <c r="B206" s="65"/>
      <c r="C206" s="66"/>
      <c r="D206" s="67"/>
      <c r="E206" s="82"/>
      <c r="F206" s="82"/>
      <c r="G206" s="82"/>
      <c r="H206" s="82"/>
      <c r="I206" s="93" t="str">
        <f t="shared" ref="I206:I213" si="21">IF(D206="Buy","Enter New 2DLL",IF(D206="Sell","Enter New 2DHH",""))</f>
        <v/>
      </c>
      <c r="J206" s="82"/>
      <c r="K206" s="94" t="str">
        <f>IF(OR(D206="",E206=""),"",IF(J206="",G206,IF(D206="Buy",MROUND(MAX(E206*(1-Settings!$K$8),J206*(1-Settings!$K$6)),Settings!$K$10),MROUND(MIN(E206*(1+Settings!$K$8),J206*(1+Settings!$K$6)),Settings!$K$10))))</f>
        <v/>
      </c>
      <c r="L206" s="95" t="str">
        <f t="shared" ref="L206:L213" si="22">IF(D206="Buy","Enter New 4DLL",IF(D206="Sell","Enter New 4DHH",""))</f>
        <v/>
      </c>
      <c r="M206" s="82"/>
      <c r="N206" s="94" t="str">
        <f>IF(OR(D206="",E206=""),"",IF(M206="",H206,IF(D206="Buy",MROUND(MAX(E206*(1-Settings!$K$8),M206*(1-Settings!$K$6)),Settings!$K$10),MROUND(MIN(E206*(1+Settings!$K$8),M206*(1+Settings!$K$6)),Settings!$K$10))))</f>
        <v/>
      </c>
      <c r="O206" s="95" t="str">
        <f t="shared" ref="O206:O213" si="23">IF(D206="Buy","Enter First 15-Minute Low",IF(D206="Sell","Enter First 15-Minute High",""))</f>
        <v/>
      </c>
      <c r="P206" s="82"/>
      <c r="Q206" s="94" t="str">
        <f>IF(OR(D206="",P206=""),"",IF(D206="Buy",MROUND(P206*(1-Settings!$K$6),Settings!$K$10),MROUND(P206*(1+Settings!$K$6),Settings!$K$10)))</f>
        <v/>
      </c>
      <c r="R206" s="95" t="str">
        <f t="shared" ref="R206:R213" si="24">IF(D206="Buy","Enter First 15-Minute Low",IF(D206="Sell","Enter First 15-Minute High",""))</f>
        <v/>
      </c>
      <c r="S206" s="82"/>
      <c r="T206" s="94" t="str">
        <f>IF(OR(D206="",S206=""),"",IF(D206="Buy",MROUND(S206*(1-Settings!$K$6),Settings!$K$10),MROUND(S206*(1+Settings!$K$6),Settings!$K$10)))</f>
        <v/>
      </c>
      <c r="U206" s="67"/>
      <c r="V206" s="211" t="str">
        <f t="shared" ref="V206:V213" si="25">IF(OR(D206="",E206="",U206="",$C$8="",$C$9=""),"",IF(U206="Target Hit",IF(F206="","",IF(D206="Buy",(F206-E206)*($C$8/2)*$C$9,(E206-F206)*($C$8/2)*$C$9)),IF(U206="Rollover",IF(Z206="","",IF(D206="Buy",(Z206-E206)*$C$8*$C$9,(E206-Z206)*$C$8*$C$9)),IF(U206="Stoploss 1 Hit",IF(K206="","",IF(D206="Buy",(K206-E206)*$C$8*$C$9,(E206-K206)*$C$8*$C$9)),IF(OR(AND(D206="Buy",U206="Gap Down Stoploss 1 Hit"),AND(D206="Sell",U206="Gap Up Stoploss 1 Hit")),IF(Q206="","",IF(D206="Buy",(Q206-E206)*$C$8*$C$9,(E206-Q206)*$C$8*$C$9)),"")))))</f>
        <v/>
      </c>
      <c r="W206" s="110"/>
      <c r="X206" s="211" t="str">
        <f t="shared" ref="X206:X213" si="26">IF(OR(D206="",E206="",U206&lt;&gt;"Target Hit",W206="",$C$8="",$C$9=""),"",IF(W206="Stoploss 2 Hit",IF(N206="","",IF(D206="Buy",(N206-E206)*($C$8/2)*$C$9,(E206-N206)*($C$8/2)*$C$9)),IF(W206="Rollover",IF(Z206="","",IF(D206="Buy",(Z206-E206)*($C$8/2)*$C$9,(E206-Z206)*($C$8/2)*$C$9)),IF(OR(AND(D206="Buy",W206="Gap Down Stoploss 2 Hit"),AND(D206="Sell",W206="Gap Up Stoploss 2 Hit")),IF(T206="","",IF(D206="Buy",(T206-E206)*($C$8/2)*$C$9,(E206-T206)*($C$8/2)*$C$9)),""))))</f>
        <v/>
      </c>
      <c r="Y206" s="211" t="str">
        <f t="shared" ref="Y206:Y213" si="27">IF(AND(V206="",X206=""),"",SUM(V206,X206))</f>
        <v/>
      </c>
      <c r="Z206" s="82"/>
    </row>
    <row r="207" ht="20" customHeight="1" spans="1:26">
      <c r="A207" s="64">
        <v>194</v>
      </c>
      <c r="B207" s="65"/>
      <c r="C207" s="66"/>
      <c r="D207" s="67"/>
      <c r="E207" s="82"/>
      <c r="F207" s="82"/>
      <c r="G207" s="82"/>
      <c r="H207" s="82"/>
      <c r="I207" s="93" t="str">
        <f t="shared" si="21"/>
        <v/>
      </c>
      <c r="J207" s="82"/>
      <c r="K207" s="94" t="str">
        <f>IF(OR(D207="",E207=""),"",IF(J207="",G207,IF(D207="Buy",MROUND(MAX(E207*(1-Settings!$K$8),J207*(1-Settings!$K$6)),Settings!$K$10),MROUND(MIN(E207*(1+Settings!$K$8),J207*(1+Settings!$K$6)),Settings!$K$10))))</f>
        <v/>
      </c>
      <c r="L207" s="95" t="str">
        <f t="shared" si="22"/>
        <v/>
      </c>
      <c r="M207" s="82"/>
      <c r="N207" s="94" t="str">
        <f>IF(OR(D207="",E207=""),"",IF(M207="",H207,IF(D207="Buy",MROUND(MAX(E207*(1-Settings!$K$8),M207*(1-Settings!$K$6)),Settings!$K$10),MROUND(MIN(E207*(1+Settings!$K$8),M207*(1+Settings!$K$6)),Settings!$K$10))))</f>
        <v/>
      </c>
      <c r="O207" s="95" t="str">
        <f t="shared" si="23"/>
        <v/>
      </c>
      <c r="P207" s="82"/>
      <c r="Q207" s="94" t="str">
        <f>IF(OR(D207="",P207=""),"",IF(D207="Buy",MROUND(P207*(1-Settings!$K$6),Settings!$K$10),MROUND(P207*(1+Settings!$K$6),Settings!$K$10)))</f>
        <v/>
      </c>
      <c r="R207" s="95" t="str">
        <f t="shared" si="24"/>
        <v/>
      </c>
      <c r="S207" s="82"/>
      <c r="T207" s="94" t="str">
        <f>IF(OR(D207="",S207=""),"",IF(D207="Buy",MROUND(S207*(1-Settings!$K$6),Settings!$K$10),MROUND(S207*(1+Settings!$K$6),Settings!$K$10)))</f>
        <v/>
      </c>
      <c r="U207" s="67"/>
      <c r="V207" s="211" t="str">
        <f t="shared" si="25"/>
        <v/>
      </c>
      <c r="W207" s="110"/>
      <c r="X207" s="211" t="str">
        <f t="shared" si="26"/>
        <v/>
      </c>
      <c r="Y207" s="211" t="str">
        <f t="shared" si="27"/>
        <v/>
      </c>
      <c r="Z207" s="82"/>
    </row>
    <row r="208" ht="20" customHeight="1" spans="1:26">
      <c r="A208" s="64">
        <v>195</v>
      </c>
      <c r="B208" s="65"/>
      <c r="C208" s="66"/>
      <c r="D208" s="67"/>
      <c r="E208" s="82"/>
      <c r="F208" s="82"/>
      <c r="G208" s="82"/>
      <c r="H208" s="82"/>
      <c r="I208" s="93" t="str">
        <f t="shared" si="21"/>
        <v/>
      </c>
      <c r="J208" s="82"/>
      <c r="K208" s="94" t="str">
        <f>IF(OR(D208="",E208=""),"",IF(J208="",G208,IF(D208="Buy",MROUND(MAX(E208*(1-Settings!$K$8),J208*(1-Settings!$K$6)),Settings!$K$10),MROUND(MIN(E208*(1+Settings!$K$8),J208*(1+Settings!$K$6)),Settings!$K$10))))</f>
        <v/>
      </c>
      <c r="L208" s="95" t="str">
        <f t="shared" si="22"/>
        <v/>
      </c>
      <c r="M208" s="82"/>
      <c r="N208" s="94" t="str">
        <f>IF(OR(D208="",E208=""),"",IF(M208="",H208,IF(D208="Buy",MROUND(MAX(E208*(1-Settings!$K$8),M208*(1-Settings!$K$6)),Settings!$K$10),MROUND(MIN(E208*(1+Settings!$K$8),M208*(1+Settings!$K$6)),Settings!$K$10))))</f>
        <v/>
      </c>
      <c r="O208" s="95" t="str">
        <f t="shared" si="23"/>
        <v/>
      </c>
      <c r="P208" s="82"/>
      <c r="Q208" s="94" t="str">
        <f>IF(OR(D208="",P208=""),"",IF(D208="Buy",MROUND(P208*(1-Settings!$K$6),Settings!$K$10),MROUND(P208*(1+Settings!$K$6),Settings!$K$10)))</f>
        <v/>
      </c>
      <c r="R208" s="95" t="str">
        <f t="shared" si="24"/>
        <v/>
      </c>
      <c r="S208" s="82"/>
      <c r="T208" s="94" t="str">
        <f>IF(OR(D208="",S208=""),"",IF(D208="Buy",MROUND(S208*(1-Settings!$K$6),Settings!$K$10),MROUND(S208*(1+Settings!$K$6),Settings!$K$10)))</f>
        <v/>
      </c>
      <c r="U208" s="67"/>
      <c r="V208" s="211" t="str">
        <f t="shared" si="25"/>
        <v/>
      </c>
      <c r="W208" s="110"/>
      <c r="X208" s="211" t="str">
        <f t="shared" si="26"/>
        <v/>
      </c>
      <c r="Y208" s="211" t="str">
        <f t="shared" si="27"/>
        <v/>
      </c>
      <c r="Z208" s="82"/>
    </row>
    <row r="209" ht="20" customHeight="1" spans="1:26">
      <c r="A209" s="64">
        <v>196</v>
      </c>
      <c r="B209" s="65"/>
      <c r="C209" s="66"/>
      <c r="D209" s="67"/>
      <c r="E209" s="82"/>
      <c r="F209" s="82"/>
      <c r="G209" s="82"/>
      <c r="H209" s="82"/>
      <c r="I209" s="93" t="str">
        <f t="shared" si="21"/>
        <v/>
      </c>
      <c r="J209" s="82"/>
      <c r="K209" s="94" t="str">
        <f>IF(OR(D209="",E209=""),"",IF(J209="",G209,IF(D209="Buy",MROUND(MAX(E209*(1-Settings!$K$8),J209*(1-Settings!$K$6)),Settings!$K$10),MROUND(MIN(E209*(1+Settings!$K$8),J209*(1+Settings!$K$6)),Settings!$K$10))))</f>
        <v/>
      </c>
      <c r="L209" s="95" t="str">
        <f t="shared" si="22"/>
        <v/>
      </c>
      <c r="M209" s="82"/>
      <c r="N209" s="94" t="str">
        <f>IF(OR(D209="",E209=""),"",IF(M209="",H209,IF(D209="Buy",MROUND(MAX(E209*(1-Settings!$K$8),M209*(1-Settings!$K$6)),Settings!$K$10),MROUND(MIN(E209*(1+Settings!$K$8),M209*(1+Settings!$K$6)),Settings!$K$10))))</f>
        <v/>
      </c>
      <c r="O209" s="95" t="str">
        <f t="shared" si="23"/>
        <v/>
      </c>
      <c r="P209" s="82"/>
      <c r="Q209" s="94" t="str">
        <f>IF(OR(D209="",P209=""),"",IF(D209="Buy",MROUND(P209*(1-Settings!$K$6),Settings!$K$10),MROUND(P209*(1+Settings!$K$6),Settings!$K$10)))</f>
        <v/>
      </c>
      <c r="R209" s="95" t="str">
        <f t="shared" si="24"/>
        <v/>
      </c>
      <c r="S209" s="82"/>
      <c r="T209" s="94" t="str">
        <f>IF(OR(D209="",S209=""),"",IF(D209="Buy",MROUND(S209*(1-Settings!$K$6),Settings!$K$10),MROUND(S209*(1+Settings!$K$6),Settings!$K$10)))</f>
        <v/>
      </c>
      <c r="U209" s="67"/>
      <c r="V209" s="211" t="str">
        <f t="shared" si="25"/>
        <v/>
      </c>
      <c r="W209" s="110"/>
      <c r="X209" s="211" t="str">
        <f t="shared" si="26"/>
        <v/>
      </c>
      <c r="Y209" s="211" t="str">
        <f t="shared" si="27"/>
        <v/>
      </c>
      <c r="Z209" s="82"/>
    </row>
    <row r="210" ht="20" customHeight="1" spans="1:26">
      <c r="A210" s="64">
        <v>197</v>
      </c>
      <c r="B210" s="65"/>
      <c r="C210" s="66"/>
      <c r="D210" s="67"/>
      <c r="E210" s="82"/>
      <c r="F210" s="82"/>
      <c r="G210" s="82"/>
      <c r="H210" s="82"/>
      <c r="I210" s="93" t="str">
        <f t="shared" si="21"/>
        <v/>
      </c>
      <c r="J210" s="82"/>
      <c r="K210" s="94" t="str">
        <f>IF(OR(D210="",E210=""),"",IF(J210="",G210,IF(D210="Buy",MROUND(MAX(E210*(1-Settings!$K$8),J210*(1-Settings!$K$6)),Settings!$K$10),MROUND(MIN(E210*(1+Settings!$K$8),J210*(1+Settings!$K$6)),Settings!$K$10))))</f>
        <v/>
      </c>
      <c r="L210" s="95" t="str">
        <f t="shared" si="22"/>
        <v/>
      </c>
      <c r="M210" s="82"/>
      <c r="N210" s="94" t="str">
        <f>IF(OR(D210="",E210=""),"",IF(M210="",H210,IF(D210="Buy",MROUND(MAX(E210*(1-Settings!$K$8),M210*(1-Settings!$K$6)),Settings!$K$10),MROUND(MIN(E210*(1+Settings!$K$8),M210*(1+Settings!$K$6)),Settings!$K$10))))</f>
        <v/>
      </c>
      <c r="O210" s="95" t="str">
        <f t="shared" si="23"/>
        <v/>
      </c>
      <c r="P210" s="82"/>
      <c r="Q210" s="94" t="str">
        <f>IF(OR(D210="",P210=""),"",IF(D210="Buy",MROUND(P210*(1-Settings!$K$6),Settings!$K$10),MROUND(P210*(1+Settings!$K$6),Settings!$K$10)))</f>
        <v/>
      </c>
      <c r="R210" s="95" t="str">
        <f t="shared" si="24"/>
        <v/>
      </c>
      <c r="S210" s="82"/>
      <c r="T210" s="94" t="str">
        <f>IF(OR(D210="",S210=""),"",IF(D210="Buy",MROUND(S210*(1-Settings!$K$6),Settings!$K$10),MROUND(S210*(1+Settings!$K$6),Settings!$K$10)))</f>
        <v/>
      </c>
      <c r="U210" s="67"/>
      <c r="V210" s="211" t="str">
        <f t="shared" si="25"/>
        <v/>
      </c>
      <c r="W210" s="110"/>
      <c r="X210" s="211" t="str">
        <f t="shared" si="26"/>
        <v/>
      </c>
      <c r="Y210" s="211" t="str">
        <f t="shared" si="27"/>
        <v/>
      </c>
      <c r="Z210" s="82"/>
    </row>
    <row r="211" ht="20" customHeight="1" spans="1:26">
      <c r="A211" s="64">
        <v>198</v>
      </c>
      <c r="B211" s="65"/>
      <c r="C211" s="66"/>
      <c r="D211" s="67"/>
      <c r="E211" s="82"/>
      <c r="F211" s="82"/>
      <c r="G211" s="82"/>
      <c r="H211" s="82"/>
      <c r="I211" s="93" t="str">
        <f t="shared" si="21"/>
        <v/>
      </c>
      <c r="J211" s="82"/>
      <c r="K211" s="94" t="str">
        <f>IF(OR(D211="",E211=""),"",IF(J211="",G211,IF(D211="Buy",MROUND(MAX(E211*(1-Settings!$K$8),J211*(1-Settings!$K$6)),Settings!$K$10),MROUND(MIN(E211*(1+Settings!$K$8),J211*(1+Settings!$K$6)),Settings!$K$10))))</f>
        <v/>
      </c>
      <c r="L211" s="95" t="str">
        <f t="shared" si="22"/>
        <v/>
      </c>
      <c r="M211" s="82"/>
      <c r="N211" s="94" t="str">
        <f>IF(OR(D211="",E211=""),"",IF(M211="",H211,IF(D211="Buy",MROUND(MAX(E211*(1-Settings!$K$8),M211*(1-Settings!$K$6)),Settings!$K$10),MROUND(MIN(E211*(1+Settings!$K$8),M211*(1+Settings!$K$6)),Settings!$K$10))))</f>
        <v/>
      </c>
      <c r="O211" s="95" t="str">
        <f t="shared" si="23"/>
        <v/>
      </c>
      <c r="P211" s="82"/>
      <c r="Q211" s="94" t="str">
        <f>IF(OR(D211="",P211=""),"",IF(D211="Buy",MROUND(P211*(1-Settings!$K$6),Settings!$K$10),MROUND(P211*(1+Settings!$K$6),Settings!$K$10)))</f>
        <v/>
      </c>
      <c r="R211" s="95" t="str">
        <f t="shared" si="24"/>
        <v/>
      </c>
      <c r="S211" s="82"/>
      <c r="T211" s="94" t="str">
        <f>IF(OR(D211="",S211=""),"",IF(D211="Buy",MROUND(S211*(1-Settings!$K$6),Settings!$K$10),MROUND(S211*(1+Settings!$K$6),Settings!$K$10)))</f>
        <v/>
      </c>
      <c r="U211" s="67"/>
      <c r="V211" s="211" t="str">
        <f t="shared" si="25"/>
        <v/>
      </c>
      <c r="W211" s="110"/>
      <c r="X211" s="211" t="str">
        <f t="shared" si="26"/>
        <v/>
      </c>
      <c r="Y211" s="211" t="str">
        <f t="shared" si="27"/>
        <v/>
      </c>
      <c r="Z211" s="82"/>
    </row>
    <row r="212" ht="20" customHeight="1" spans="1:26">
      <c r="A212" s="64">
        <v>199</v>
      </c>
      <c r="B212" s="65"/>
      <c r="C212" s="66"/>
      <c r="D212" s="67"/>
      <c r="E212" s="82"/>
      <c r="F212" s="82"/>
      <c r="G212" s="82"/>
      <c r="H212" s="82"/>
      <c r="I212" s="93" t="str">
        <f t="shared" si="21"/>
        <v/>
      </c>
      <c r="J212" s="82"/>
      <c r="K212" s="94" t="str">
        <f>IF(OR(D212="",E212=""),"",IF(J212="",G212,IF(D212="Buy",MROUND(MAX(E212*(1-Settings!$K$8),J212*(1-Settings!$K$6)),Settings!$K$10),MROUND(MIN(E212*(1+Settings!$K$8),J212*(1+Settings!$K$6)),Settings!$K$10))))</f>
        <v/>
      </c>
      <c r="L212" s="95" t="str">
        <f t="shared" si="22"/>
        <v/>
      </c>
      <c r="M212" s="82"/>
      <c r="N212" s="94" t="str">
        <f>IF(OR(D212="",E212=""),"",IF(M212="",H212,IF(D212="Buy",MROUND(MAX(E212*(1-Settings!$K$8),M212*(1-Settings!$K$6)),Settings!$K$10),MROUND(MIN(E212*(1+Settings!$K$8),M212*(1+Settings!$K$6)),Settings!$K$10))))</f>
        <v/>
      </c>
      <c r="O212" s="95" t="str">
        <f t="shared" si="23"/>
        <v/>
      </c>
      <c r="P212" s="82"/>
      <c r="Q212" s="94" t="str">
        <f>IF(OR(D212="",P212=""),"",IF(D212="Buy",MROUND(P212*(1-Settings!$K$6),Settings!$K$10),MROUND(P212*(1+Settings!$K$6),Settings!$K$10)))</f>
        <v/>
      </c>
      <c r="R212" s="95" t="str">
        <f t="shared" si="24"/>
        <v/>
      </c>
      <c r="S212" s="82"/>
      <c r="T212" s="94" t="str">
        <f>IF(OR(D212="",S212=""),"",IF(D212="Buy",MROUND(S212*(1-Settings!$K$6),Settings!$K$10),MROUND(S212*(1+Settings!$K$6),Settings!$K$10)))</f>
        <v/>
      </c>
      <c r="U212" s="67"/>
      <c r="V212" s="211" t="str">
        <f t="shared" si="25"/>
        <v/>
      </c>
      <c r="W212" s="110"/>
      <c r="X212" s="211" t="str">
        <f t="shared" si="26"/>
        <v/>
      </c>
      <c r="Y212" s="211" t="str">
        <f t="shared" si="27"/>
        <v/>
      </c>
      <c r="Z212" s="82"/>
    </row>
    <row r="213" ht="20" customHeight="1" spans="1:26">
      <c r="A213" s="64">
        <v>200</v>
      </c>
      <c r="B213" s="65"/>
      <c r="C213" s="66"/>
      <c r="D213" s="67"/>
      <c r="E213" s="82"/>
      <c r="F213" s="82"/>
      <c r="G213" s="82"/>
      <c r="H213" s="82"/>
      <c r="I213" s="93" t="str">
        <f t="shared" si="21"/>
        <v/>
      </c>
      <c r="J213" s="82"/>
      <c r="K213" s="94" t="str">
        <f>IF(OR(D213="",E213=""),"",IF(J213="",G213,IF(D213="Buy",MROUND(MAX(E213*(1-Settings!$K$8),J213*(1-Settings!$K$6)),Settings!$K$10),MROUND(MIN(E213*(1+Settings!$K$8),J213*(1+Settings!$K$6)),Settings!$K$10))))</f>
        <v/>
      </c>
      <c r="L213" s="95" t="str">
        <f t="shared" si="22"/>
        <v/>
      </c>
      <c r="M213" s="82"/>
      <c r="N213" s="94" t="str">
        <f>IF(OR(D213="",E213=""),"",IF(M213="",H213,IF(D213="Buy",MROUND(MAX(E213*(1-Settings!$K$8),M213*(1-Settings!$K$6)),Settings!$K$10),MROUND(MIN(E213*(1+Settings!$K$8),M213*(1+Settings!$K$6)),Settings!$K$10))))</f>
        <v/>
      </c>
      <c r="O213" s="95" t="str">
        <f t="shared" si="23"/>
        <v/>
      </c>
      <c r="P213" s="82"/>
      <c r="Q213" s="94" t="str">
        <f>IF(OR(D213="",P213=""),"",IF(D213="Buy",MROUND(P213*(1-Settings!$K$6),Settings!$K$10),MROUND(P213*(1+Settings!$K$6),Settings!$K$10)))</f>
        <v/>
      </c>
      <c r="R213" s="95" t="str">
        <f t="shared" si="24"/>
        <v/>
      </c>
      <c r="S213" s="82"/>
      <c r="T213" s="94" t="str">
        <f>IF(OR(D213="",S213=""),"",IF(D213="Buy",MROUND(S213*(1-Settings!$K$6),Settings!$K$10),MROUND(S213*(1+Settings!$K$6),Settings!$K$10)))</f>
        <v/>
      </c>
      <c r="U213" s="67"/>
      <c r="V213" s="211" t="str">
        <f t="shared" si="25"/>
        <v/>
      </c>
      <c r="W213" s="110"/>
      <c r="X213" s="211" t="str">
        <f t="shared" si="26"/>
        <v/>
      </c>
      <c r="Y213" s="211" t="str">
        <f t="shared" si="27"/>
        <v/>
      </c>
      <c r="Z213" s="82"/>
    </row>
    <row r="214" spans="1:26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8" customHeight="1" spans="1:26">
      <c r="A216" s="123" t="s">
        <v>34</v>
      </c>
      <c r="B216" s="123" t="s">
        <v>34</v>
      </c>
      <c r="C216" s="123" t="s">
        <v>34</v>
      </c>
      <c r="D216" s="123" t="s">
        <v>34</v>
      </c>
      <c r="E216" s="123" t="s">
        <v>34</v>
      </c>
      <c r="F216" s="123" t="s">
        <v>34</v>
      </c>
      <c r="G216" s="123" t="s">
        <v>34</v>
      </c>
      <c r="H216" s="123" t="s">
        <v>34</v>
      </c>
      <c r="I216" s="123" t="s">
        <v>34</v>
      </c>
      <c r="J216" s="123" t="s">
        <v>34</v>
      </c>
      <c r="K216" s="123" t="s">
        <v>34</v>
      </c>
      <c r="L216" s="123" t="s">
        <v>34</v>
      </c>
      <c r="M216" s="123" t="s">
        <v>34</v>
      </c>
      <c r="N216" s="123" t="s">
        <v>34</v>
      </c>
      <c r="O216" s="123" t="s">
        <v>34</v>
      </c>
      <c r="P216" s="123" t="s">
        <v>34</v>
      </c>
      <c r="Q216" s="123" t="s">
        <v>34</v>
      </c>
      <c r="R216" s="123" t="s">
        <v>34</v>
      </c>
      <c r="S216" s="123" t="s">
        <v>34</v>
      </c>
      <c r="T216" s="123" t="s">
        <v>34</v>
      </c>
      <c r="U216" s="123" t="s">
        <v>34</v>
      </c>
      <c r="V216" s="123" t="s">
        <v>34</v>
      </c>
      <c r="W216" s="123" t="s">
        <v>34</v>
      </c>
      <c r="X216" s="123" t="s">
        <v>34</v>
      </c>
      <c r="Y216" s="123" t="s">
        <v>34</v>
      </c>
      <c r="Z216" s="126"/>
    </row>
    <row r="217" ht="18" customHeight="1" spans="1:26">
      <c r="A217" s="124" t="s">
        <v>35</v>
      </c>
      <c r="B217" s="124" t="s">
        <v>35</v>
      </c>
      <c r="C217" s="124" t="s">
        <v>35</v>
      </c>
      <c r="D217" s="124" t="s">
        <v>35</v>
      </c>
      <c r="E217" s="124" t="s">
        <v>35</v>
      </c>
      <c r="F217" s="124" t="s">
        <v>35</v>
      </c>
      <c r="G217" s="124" t="s">
        <v>35</v>
      </c>
      <c r="H217" s="124" t="s">
        <v>35</v>
      </c>
      <c r="I217" s="124" t="s">
        <v>35</v>
      </c>
      <c r="J217" s="124" t="s">
        <v>35</v>
      </c>
      <c r="K217" s="124" t="s">
        <v>35</v>
      </c>
      <c r="L217" s="124" t="s">
        <v>35</v>
      </c>
      <c r="M217" s="124" t="s">
        <v>35</v>
      </c>
      <c r="N217" s="124" t="s">
        <v>35</v>
      </c>
      <c r="O217" s="124" t="s">
        <v>35</v>
      </c>
      <c r="P217" s="124" t="s">
        <v>35</v>
      </c>
      <c r="Q217" s="124" t="s">
        <v>35</v>
      </c>
      <c r="R217" s="124" t="s">
        <v>35</v>
      </c>
      <c r="S217" s="124" t="s">
        <v>35</v>
      </c>
      <c r="T217" s="124" t="s">
        <v>35</v>
      </c>
      <c r="U217" s="124" t="s">
        <v>35</v>
      </c>
      <c r="V217" s="124" t="s">
        <v>35</v>
      </c>
      <c r="W217" s="124" t="s">
        <v>35</v>
      </c>
      <c r="X217" s="124" t="s">
        <v>35</v>
      </c>
      <c r="Y217" s="124" t="s">
        <v>35</v>
      </c>
      <c r="Z217" s="126"/>
    </row>
    <row r="218" ht="18" customHeight="1" spans="1:26">
      <c r="A218" s="124" t="s">
        <v>36</v>
      </c>
      <c r="B218" s="124" t="s">
        <v>36</v>
      </c>
      <c r="C218" s="124" t="s">
        <v>36</v>
      </c>
      <c r="D218" s="124" t="s">
        <v>36</v>
      </c>
      <c r="E218" s="124" t="s">
        <v>36</v>
      </c>
      <c r="F218" s="124" t="s">
        <v>36</v>
      </c>
      <c r="G218" s="124" t="s">
        <v>36</v>
      </c>
      <c r="H218" s="124" t="s">
        <v>36</v>
      </c>
      <c r="I218" s="124" t="s">
        <v>36</v>
      </c>
      <c r="J218" s="124" t="s">
        <v>36</v>
      </c>
      <c r="K218" s="124" t="s">
        <v>36</v>
      </c>
      <c r="L218" s="124" t="s">
        <v>36</v>
      </c>
      <c r="M218" s="124" t="s">
        <v>36</v>
      </c>
      <c r="N218" s="124" t="s">
        <v>36</v>
      </c>
      <c r="O218" s="124" t="s">
        <v>36</v>
      </c>
      <c r="P218" s="124" t="s">
        <v>36</v>
      </c>
      <c r="Q218" s="124" t="s">
        <v>36</v>
      </c>
      <c r="R218" s="124" t="s">
        <v>36</v>
      </c>
      <c r="S218" s="124" t="s">
        <v>36</v>
      </c>
      <c r="T218" s="124" t="s">
        <v>36</v>
      </c>
      <c r="U218" s="124" t="s">
        <v>36</v>
      </c>
      <c r="V218" s="124" t="s">
        <v>36</v>
      </c>
      <c r="W218" s="124" t="s">
        <v>36</v>
      </c>
      <c r="X218" s="124" t="s">
        <v>36</v>
      </c>
      <c r="Y218" s="124" t="s">
        <v>36</v>
      </c>
      <c r="Z218" s="126"/>
    </row>
    <row r="219" ht="18" customHeight="1" spans="1:26">
      <c r="A219" s="125" t="s">
        <v>37</v>
      </c>
      <c r="B219" s="125" t="s">
        <v>37</v>
      </c>
      <c r="C219" s="125" t="s">
        <v>37</v>
      </c>
      <c r="D219" s="125" t="s">
        <v>37</v>
      </c>
      <c r="E219" s="125" t="s">
        <v>37</v>
      </c>
      <c r="F219" s="125" t="s">
        <v>37</v>
      </c>
      <c r="G219" s="125" t="s">
        <v>37</v>
      </c>
      <c r="H219" s="125" t="s">
        <v>37</v>
      </c>
      <c r="I219" s="125" t="s">
        <v>37</v>
      </c>
      <c r="J219" s="125" t="s">
        <v>37</v>
      </c>
      <c r="K219" s="125" t="s">
        <v>37</v>
      </c>
      <c r="L219" s="125" t="s">
        <v>37</v>
      </c>
      <c r="M219" s="125" t="s">
        <v>37</v>
      </c>
      <c r="N219" s="125" t="s">
        <v>37</v>
      </c>
      <c r="O219" s="125" t="s">
        <v>37</v>
      </c>
      <c r="P219" s="125" t="s">
        <v>37</v>
      </c>
      <c r="Q219" s="125" t="s">
        <v>37</v>
      </c>
      <c r="R219" s="125" t="s">
        <v>37</v>
      </c>
      <c r="S219" s="125" t="s">
        <v>37</v>
      </c>
      <c r="T219" s="125" t="s">
        <v>37</v>
      </c>
      <c r="U219" s="125" t="s">
        <v>37</v>
      </c>
      <c r="V219" s="125" t="s">
        <v>37</v>
      </c>
      <c r="W219" s="125" t="s">
        <v>37</v>
      </c>
      <c r="X219" s="125" t="s">
        <v>37</v>
      </c>
      <c r="Y219" s="125" t="s">
        <v>37</v>
      </c>
      <c r="Z219" s="126"/>
    </row>
  </sheetData>
  <sheetProtection algorithmName="SHA-512" hashValue="Vj5dHNr+xtThhjKexTX7P2MScrBRASp5xHnjGjsDTmhuqMhKw7UxejqnjnFLNRKGtFG267iH7gGiohQPhlmpJA==" saltValue="7m+8QCVC5zS1KezhwVZeSA==" spinCount="100000" sheet="1" objects="1"/>
  <mergeCells count="29">
    <mergeCell ref="C1:W1"/>
    <mergeCell ref="C2:W2"/>
    <mergeCell ref="C3:W3"/>
    <mergeCell ref="A4:Z4"/>
    <mergeCell ref="F6:H6"/>
    <mergeCell ref="J6:L6"/>
    <mergeCell ref="A7:D7"/>
    <mergeCell ref="F7:G7"/>
    <mergeCell ref="J7:K7"/>
    <mergeCell ref="A8:B8"/>
    <mergeCell ref="C8:D8"/>
    <mergeCell ref="F8:G8"/>
    <mergeCell ref="J8:K8"/>
    <mergeCell ref="A9:B9"/>
    <mergeCell ref="C9:D9"/>
    <mergeCell ref="F9:G9"/>
    <mergeCell ref="J9:K9"/>
    <mergeCell ref="F10:G10"/>
    <mergeCell ref="J10:K10"/>
    <mergeCell ref="A12:H12"/>
    <mergeCell ref="I12:T12"/>
    <mergeCell ref="U12:X12"/>
    <mergeCell ref="Y12:Z12"/>
    <mergeCell ref="A216:Y216"/>
    <mergeCell ref="A217:Y217"/>
    <mergeCell ref="A218:Y218"/>
    <mergeCell ref="A219:Y219"/>
    <mergeCell ref="X1:Z3"/>
    <mergeCell ref="N5:Z9"/>
  </mergeCells>
  <conditionalFormatting sqref="D14:H213">
    <cfRule type="expression" dxfId="2" priority="1">
      <formula>$D14="Buy"</formula>
    </cfRule>
    <cfRule type="expression" dxfId="3" priority="2">
      <formula>$D14="Sell"</formula>
    </cfRule>
  </conditionalFormatting>
  <conditionalFormatting sqref="V14:Y213">
    <cfRule type="cellIs" dxfId="1" priority="3" operator="greaterThan">
      <formula>0</formula>
    </cfRule>
    <cfRule type="cellIs" dxfId="0" priority="4" operator="lessThan">
      <formula>0</formula>
    </cfRule>
  </conditionalFormatting>
  <dataValidations count="6">
    <dataValidation type="decimal" operator="greaterThan" sqref="H7 C9 E14:H213">
      <formula1>0</formula1>
    </dataValidation>
    <dataValidation type="list" sqref="C8">
      <formula1>Settings!$A$7:$A$16</formula1>
    </dataValidation>
    <dataValidation type="date" operator="greaterThan" sqref="B14:B213">
      <formula1>1</formula1>
    </dataValidation>
    <dataValidation type="list" sqref="D14:D213">
      <formula1>Settings!$C$7:$C$8</formula1>
    </dataValidation>
    <dataValidation type="list" sqref="U14:U213">
      <formula1>Settings!$F$7:$F$11</formula1>
    </dataValidation>
    <dataValidation type="list" sqref="W14:W213">
      <formula1>Settings!$G$7:$G$10</formula1>
    </dataValidation>
  </dataValidation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J52"/>
  <sheetViews>
    <sheetView showGridLines="0" workbookViewId="0">
      <pane ySplit="4" topLeftCell="A5" activePane="bottomLeft" state="frozen"/>
      <selection/>
      <selection pane="bottomLeft" activeCell="G35" sqref="G35:J35"/>
    </sheetView>
  </sheetViews>
  <sheetFormatPr defaultColWidth="9" defaultRowHeight="16.8"/>
  <cols>
    <col min="1" max="1" width="22" customWidth="1"/>
    <col min="2" max="2" width="20.1826923076923" customWidth="1"/>
    <col min="3" max="5" width="15" customWidth="1"/>
    <col min="6" max="6" width="22" customWidth="1"/>
    <col min="7" max="8" width="15" customWidth="1"/>
    <col min="9" max="10" width="14" customWidth="1"/>
  </cols>
  <sheetData>
    <row r="1" ht="23" customHeight="1" spans="1:10">
      <c r="A1" s="127" t="s">
        <v>0</v>
      </c>
      <c r="B1" s="127"/>
      <c r="C1" s="127"/>
      <c r="D1" s="127"/>
      <c r="E1" s="127"/>
      <c r="F1" s="127"/>
      <c r="G1" s="127"/>
      <c r="H1" s="113" t="s">
        <v>195</v>
      </c>
      <c r="I1" s="113" t="s">
        <v>38</v>
      </c>
      <c r="J1" s="113" t="s">
        <v>38</v>
      </c>
    </row>
    <row r="2" ht="21" customHeight="1" spans="1:10">
      <c r="A2" s="128" t="s">
        <v>2</v>
      </c>
      <c r="B2" s="128"/>
      <c r="C2" s="128"/>
      <c r="D2" s="128"/>
      <c r="E2" s="128"/>
      <c r="F2" s="128"/>
      <c r="G2" s="128"/>
      <c r="H2" s="113" t="s">
        <v>38</v>
      </c>
      <c r="I2" s="113" t="s">
        <v>38</v>
      </c>
      <c r="J2" s="113" t="s">
        <v>38</v>
      </c>
    </row>
    <row r="3" ht="23" customHeight="1" spans="1:10">
      <c r="A3" s="129" t="s">
        <v>39</v>
      </c>
      <c r="B3" s="129"/>
      <c r="C3" s="129"/>
      <c r="D3" s="129"/>
      <c r="E3" s="129"/>
      <c r="F3" s="129"/>
      <c r="G3" s="129"/>
      <c r="H3" s="113" t="s">
        <v>38</v>
      </c>
      <c r="I3" s="113" t="s">
        <v>38</v>
      </c>
      <c r="J3" s="113" t="s">
        <v>38</v>
      </c>
    </row>
    <row r="4" spans="1:10">
      <c r="A4" s="260" t="inlineStr">
        <is>
          <t xml:space="preserve">Licence Number: TSA-MURU-2419    |    Name: MURUGAN M    |    Mail ID: muruganm56789@gmail.com    |    Contact Number: 8610022419</t>
        </is>
      </c>
      <c r="B4" s="184"/>
      <c r="C4" s="184"/>
      <c r="D4" s="184"/>
      <c r="E4" s="184"/>
      <c r="F4" s="184"/>
      <c r="G4" s="184"/>
      <c r="H4" s="184"/>
      <c r="I4" s="184"/>
      <c r="J4" s="184"/>
    </row>
    <row r="5" spans="1:10">
      <c r="A5" s="185" t="s">
        <v>40</v>
      </c>
      <c r="B5" s="185" t="s">
        <v>40</v>
      </c>
      <c r="C5" s="185" t="s">
        <v>40</v>
      </c>
      <c r="D5" s="185" t="s">
        <v>40</v>
      </c>
      <c r="E5" s="48"/>
      <c r="F5" s="199"/>
      <c r="G5" s="199"/>
      <c r="H5" s="199"/>
      <c r="I5" s="199"/>
      <c r="J5" s="199"/>
    </row>
    <row r="6" spans="1:10">
      <c r="A6" s="186" t="s">
        <v>41</v>
      </c>
      <c r="B6" s="187">
        <v>46275</v>
      </c>
      <c r="C6" s="187"/>
      <c r="D6" s="187"/>
      <c r="E6" s="48"/>
      <c r="F6" s="200"/>
      <c r="G6" s="201"/>
      <c r="H6" s="201"/>
      <c r="I6" s="201"/>
      <c r="J6" s="201"/>
    </row>
    <row r="7" spans="1:10">
      <c r="A7" s="186" t="s">
        <v>42</v>
      </c>
      <c r="B7" s="188" t="s">
        <v>46</v>
      </c>
      <c r="C7" s="188"/>
      <c r="D7" s="188"/>
      <c r="E7" s="48"/>
      <c r="F7" s="200"/>
      <c r="G7" s="201"/>
      <c r="H7" s="201"/>
      <c r="I7" s="201"/>
      <c r="J7" s="201"/>
    </row>
    <row r="8" spans="1:10">
      <c r="A8" s="186" t="s">
        <v>44</v>
      </c>
      <c r="B8" s="187">
        <v>46300</v>
      </c>
      <c r="C8" s="187"/>
      <c r="D8" s="187"/>
      <c r="E8" s="48"/>
      <c r="F8" s="200"/>
      <c r="G8" s="201"/>
      <c r="H8" s="201"/>
      <c r="I8" s="201"/>
      <c r="J8" s="201"/>
    </row>
    <row r="9" spans="1:10">
      <c r="A9" s="186" t="s">
        <v>45</v>
      </c>
      <c r="B9" s="188" t="s">
        <v>196</v>
      </c>
      <c r="C9" s="188"/>
      <c r="D9" s="188"/>
      <c r="E9" s="48"/>
      <c r="F9" s="200"/>
      <c r="G9" s="202"/>
      <c r="H9" s="202"/>
      <c r="I9" s="202"/>
      <c r="J9" s="202"/>
    </row>
    <row r="10" spans="1:10">
      <c r="A10" s="186" t="s">
        <v>47</v>
      </c>
      <c r="B10" s="187">
        <v>46360</v>
      </c>
      <c r="C10" s="187"/>
      <c r="D10" s="187"/>
      <c r="E10" s="48"/>
      <c r="F10" s="200"/>
      <c r="G10" s="202"/>
      <c r="H10" s="202"/>
      <c r="I10" s="202"/>
      <c r="J10" s="202"/>
    </row>
    <row r="11" spans="1:10">
      <c r="A11" s="186" t="s">
        <v>48</v>
      </c>
      <c r="B11" s="189">
        <f>IF(B8="","",WORKDAY(B8,-Settings!$K$11))</f>
        <v>46287</v>
      </c>
      <c r="C11" s="189"/>
      <c r="D11" s="189"/>
      <c r="E11" s="48"/>
      <c r="F11" s="200"/>
      <c r="G11" s="203"/>
      <c r="H11" s="203"/>
      <c r="I11" s="203"/>
      <c r="J11" s="203"/>
    </row>
    <row r="12" spans="1:10">
      <c r="A12" s="186" t="s">
        <v>49</v>
      </c>
      <c r="B12" s="190" t="str">
        <f>IF(OR(B6="",B11=""),"",IF(B6&gt;=B11,B9,B7))</f>
        <v>OCT</v>
      </c>
      <c r="C12" s="190"/>
      <c r="D12" s="190"/>
      <c r="E12" s="48"/>
      <c r="F12" s="200"/>
      <c r="G12" s="203"/>
      <c r="H12" s="203"/>
      <c r="I12" s="203"/>
      <c r="J12" s="203"/>
    </row>
    <row r="13" ht="17.55" spans="1:10">
      <c r="A13" s="48"/>
      <c r="B13" s="48"/>
      <c r="C13" s="48"/>
      <c r="D13" s="48"/>
      <c r="E13" s="48"/>
      <c r="F13" s="48"/>
      <c r="G13" s="48"/>
      <c r="H13" s="48"/>
      <c r="I13" s="48"/>
      <c r="J13" s="48"/>
    </row>
    <row r="14" ht="17.55" spans="1:10">
      <c r="A14" s="61" t="s">
        <v>50</v>
      </c>
      <c r="B14" s="62" t="s">
        <v>50</v>
      </c>
      <c r="C14" s="62" t="s">
        <v>50</v>
      </c>
      <c r="D14" s="62" t="s">
        <v>50</v>
      </c>
      <c r="E14" s="62" t="s">
        <v>50</v>
      </c>
      <c r="F14" s="62" t="s">
        <v>50</v>
      </c>
      <c r="G14" s="62" t="s">
        <v>50</v>
      </c>
      <c r="H14" s="62" t="s">
        <v>50</v>
      </c>
      <c r="I14" s="62" t="s">
        <v>50</v>
      </c>
      <c r="J14" s="81" t="s">
        <v>50</v>
      </c>
    </row>
    <row r="15" spans="1:10">
      <c r="A15" s="48"/>
      <c r="B15" s="48"/>
      <c r="C15" s="48"/>
      <c r="D15" s="48"/>
      <c r="E15" s="48"/>
      <c r="F15" s="48"/>
      <c r="G15" s="48"/>
      <c r="H15" s="48"/>
      <c r="I15" s="48"/>
      <c r="J15" s="48"/>
    </row>
    <row r="16" spans="1:10">
      <c r="A16" s="63" t="s">
        <v>51</v>
      </c>
      <c r="B16" s="63" t="s">
        <v>52</v>
      </c>
      <c r="C16" s="63" t="s">
        <v>53</v>
      </c>
      <c r="D16" s="63" t="s">
        <v>54</v>
      </c>
      <c r="E16" s="48"/>
      <c r="F16" s="63" t="s">
        <v>55</v>
      </c>
      <c r="G16" s="63" t="s">
        <v>56</v>
      </c>
      <c r="H16" s="48"/>
      <c r="I16" s="208"/>
      <c r="J16" s="208"/>
    </row>
    <row r="17" spans="1:10">
      <c r="A17" s="191" t="s">
        <v>57</v>
      </c>
      <c r="B17" s="65">
        <v>46269</v>
      </c>
      <c r="C17" s="82">
        <v>157075</v>
      </c>
      <c r="D17" s="82">
        <v>151262</v>
      </c>
      <c r="E17" s="48"/>
      <c r="F17" s="204" t="s">
        <v>58</v>
      </c>
      <c r="G17" s="179">
        <f>IF(COUNT(C17:C20)&lt;4,"",MAX(C17:C20))</f>
        <v>157075</v>
      </c>
      <c r="H17" s="48"/>
      <c r="I17" s="208"/>
      <c r="J17" s="208"/>
    </row>
    <row r="18" spans="1:10">
      <c r="A18" s="191" t="s">
        <v>59</v>
      </c>
      <c r="B18" s="65">
        <v>46272</v>
      </c>
      <c r="C18" s="82">
        <v>153295</v>
      </c>
      <c r="D18" s="82">
        <v>151850</v>
      </c>
      <c r="E18" s="48"/>
      <c r="F18" s="204" t="s">
        <v>60</v>
      </c>
      <c r="G18" s="179">
        <f>IF(COUNT(D17:D20)&lt;4,"",MIN(D17:D20))</f>
        <v>151262</v>
      </c>
      <c r="H18" s="48"/>
      <c r="I18" s="208"/>
      <c r="J18" s="208"/>
    </row>
    <row r="19" spans="1:10">
      <c r="A19" s="191" t="s">
        <v>61</v>
      </c>
      <c r="B19" s="65">
        <v>46273</v>
      </c>
      <c r="C19" s="82">
        <v>154125</v>
      </c>
      <c r="D19" s="82">
        <v>152401</v>
      </c>
      <c r="E19" s="48"/>
      <c r="F19" s="204" t="s">
        <v>62</v>
      </c>
      <c r="G19" s="179">
        <f>IF(COUNT(C19:C20)&lt;2,"",MAX(C19:C20))</f>
        <v>154294</v>
      </c>
      <c r="H19" s="48"/>
      <c r="I19" s="208"/>
      <c r="J19" s="208"/>
    </row>
    <row r="20" spans="1:10">
      <c r="A20" s="191" t="s">
        <v>63</v>
      </c>
      <c r="B20" s="65">
        <v>46274</v>
      </c>
      <c r="C20" s="82">
        <v>154294</v>
      </c>
      <c r="D20" s="82">
        <v>152101</v>
      </c>
      <c r="E20" s="48"/>
      <c r="F20" s="204" t="s">
        <v>64</v>
      </c>
      <c r="G20" s="179">
        <f>IF(COUNT(D19:D20)&lt;2,"",MIN(D19:D20))</f>
        <v>152101</v>
      </c>
      <c r="H20" s="48"/>
      <c r="I20" s="208"/>
      <c r="J20" s="208"/>
    </row>
    <row r="21" ht="17.55" spans="1:10">
      <c r="A21" s="48"/>
      <c r="B21" s="48"/>
      <c r="C21" s="48"/>
      <c r="D21" s="48"/>
      <c r="E21" s="48"/>
      <c r="F21" s="48"/>
      <c r="G21" s="48"/>
      <c r="H21" s="48"/>
      <c r="I21" s="48"/>
      <c r="J21" s="48"/>
    </row>
    <row r="22" ht="17.55" spans="1:10">
      <c r="A22" s="106" t="s">
        <v>65</v>
      </c>
      <c r="B22" s="69" t="s">
        <v>65</v>
      </c>
      <c r="C22" s="69" t="s">
        <v>65</v>
      </c>
      <c r="D22" s="70" t="s">
        <v>65</v>
      </c>
      <c r="E22" s="48"/>
      <c r="F22" s="156" t="s">
        <v>66</v>
      </c>
      <c r="G22" s="205" t="s">
        <v>66</v>
      </c>
      <c r="H22" s="205" t="s">
        <v>66</v>
      </c>
      <c r="I22" s="205" t="s">
        <v>66</v>
      </c>
      <c r="J22" s="209" t="s">
        <v>66</v>
      </c>
    </row>
    <row r="23" spans="1:10">
      <c r="A23" s="192" t="s">
        <v>67</v>
      </c>
      <c r="B23" s="193">
        <f>IF(G17="","",G17*(1+Settings!$K$6))</f>
        <v>157263.49</v>
      </c>
      <c r="C23" s="193"/>
      <c r="D23" s="193"/>
      <c r="E23" s="48"/>
      <c r="F23" s="206" t="s">
        <v>67</v>
      </c>
      <c r="G23" s="207">
        <f>IF(G18="","",G18*(1-Settings!$K$6))</f>
        <v>151080.4856</v>
      </c>
      <c r="H23" s="207"/>
      <c r="I23" s="207"/>
      <c r="J23" s="207"/>
    </row>
    <row r="24" spans="1:10">
      <c r="A24" s="192" t="s">
        <v>68</v>
      </c>
      <c r="B24" s="193">
        <f>IF(B23="","",B23*(1+Settings!$K$7))</f>
        <v>159622.44235</v>
      </c>
      <c r="C24" s="193"/>
      <c r="D24" s="193"/>
      <c r="E24" s="48"/>
      <c r="F24" s="206" t="s">
        <v>68</v>
      </c>
      <c r="G24" s="207">
        <f>IF(G23="","",G23*(1-Settings!$K$7))</f>
        <v>148814.278316</v>
      </c>
      <c r="H24" s="207"/>
      <c r="I24" s="207"/>
      <c r="J24" s="207"/>
    </row>
    <row r="25" spans="1:10">
      <c r="A25" s="192" t="s">
        <v>69</v>
      </c>
      <c r="B25" s="193">
        <f>IF(OR(B23="",G20=""),"",MAX(B23*(1-Settings!$K$8),G20*(1-Settings!$K$6)))</f>
        <v>154904.53765</v>
      </c>
      <c r="C25" s="193"/>
      <c r="D25" s="193"/>
      <c r="E25" s="48"/>
      <c r="F25" s="206" t="s">
        <v>69</v>
      </c>
      <c r="G25" s="207">
        <f>IF(OR(G23="",G19=""),"",MIN(G23*(1+Settings!$K$8),G19*(1+Settings!$K$6)))</f>
        <v>153346.692884</v>
      </c>
      <c r="H25" s="207"/>
      <c r="I25" s="207"/>
      <c r="J25" s="207"/>
    </row>
    <row r="26" spans="1:10">
      <c r="A26" s="192" t="s">
        <v>70</v>
      </c>
      <c r="B26" s="193">
        <f>IF(OR(B23="",G18=""),"",MAX(B23*(1-Settings!$K$8),G18*(1-Settings!$K$6)))</f>
        <v>154904.53765</v>
      </c>
      <c r="C26" s="193"/>
      <c r="D26" s="193"/>
      <c r="E26" s="48"/>
      <c r="F26" s="206" t="s">
        <v>70</v>
      </c>
      <c r="G26" s="207">
        <f>IF(OR(G23="",G17=""),"",MIN(G23*(1+Settings!$K$8),G17*(1+Settings!$K$6)))</f>
        <v>153346.692884</v>
      </c>
      <c r="H26" s="207"/>
      <c r="I26" s="207"/>
      <c r="J26" s="207"/>
    </row>
    <row r="27" spans="1:10">
      <c r="A27" s="48"/>
      <c r="B27" s="48"/>
      <c r="C27" s="48"/>
      <c r="D27" s="48"/>
      <c r="E27" s="48"/>
      <c r="F27" s="48"/>
      <c r="G27" s="48"/>
      <c r="H27" s="48"/>
      <c r="I27" s="48"/>
      <c r="J27" s="48"/>
    </row>
    <row r="28" ht="17.55" spans="1:10">
      <c r="A28" s="48"/>
      <c r="B28" s="48"/>
      <c r="C28" s="48"/>
      <c r="D28" s="48"/>
      <c r="E28" s="48"/>
      <c r="F28" s="48"/>
      <c r="G28" s="48"/>
      <c r="H28" s="48"/>
      <c r="I28" s="48"/>
      <c r="J28" s="48"/>
    </row>
    <row r="29" ht="17.55" spans="1:10">
      <c r="A29" s="61" t="s">
        <v>71</v>
      </c>
      <c r="B29" s="62" t="s">
        <v>71</v>
      </c>
      <c r="C29" s="62" t="s">
        <v>71</v>
      </c>
      <c r="D29" s="62" t="s">
        <v>71</v>
      </c>
      <c r="E29" s="62" t="s">
        <v>71</v>
      </c>
      <c r="F29" s="62" t="s">
        <v>71</v>
      </c>
      <c r="G29" s="62" t="s">
        <v>71</v>
      </c>
      <c r="H29" s="81" t="s">
        <v>71</v>
      </c>
      <c r="I29" s="48"/>
      <c r="J29" s="48"/>
    </row>
    <row r="30" spans="1:10">
      <c r="A30" s="63" t="s">
        <v>72</v>
      </c>
      <c r="B30" s="63" t="s">
        <v>73</v>
      </c>
      <c r="C30" s="63" t="s">
        <v>74</v>
      </c>
      <c r="D30" s="63" t="s">
        <v>75</v>
      </c>
      <c r="E30" s="63" t="s">
        <v>67</v>
      </c>
      <c r="F30" s="63" t="s">
        <v>68</v>
      </c>
      <c r="G30" s="63" t="s">
        <v>69</v>
      </c>
      <c r="H30" s="63" t="s">
        <v>70</v>
      </c>
      <c r="I30" s="48"/>
      <c r="J30" s="48"/>
    </row>
    <row r="31" spans="1:10">
      <c r="A31" s="142" t="s">
        <v>76</v>
      </c>
      <c r="B31" s="194">
        <f>IF(B6="","",B6)</f>
        <v>46275</v>
      </c>
      <c r="C31" s="142" t="str">
        <f>IF(B12="","",B12)</f>
        <v>OCT</v>
      </c>
      <c r="D31" s="142" t="s">
        <v>77</v>
      </c>
      <c r="E31" s="143">
        <f>B23</f>
        <v>157263.49</v>
      </c>
      <c r="F31" s="143">
        <f>B24</f>
        <v>159622.44235</v>
      </c>
      <c r="G31" s="143">
        <f>B25</f>
        <v>154904.53765</v>
      </c>
      <c r="H31" s="143">
        <f>B26</f>
        <v>154904.53765</v>
      </c>
      <c r="I31" s="48"/>
      <c r="J31" s="48"/>
    </row>
    <row r="32" ht="17.55" spans="1:10">
      <c r="A32" s="142" t="s">
        <v>78</v>
      </c>
      <c r="B32" s="194">
        <f>IF(B6="","",B6)</f>
        <v>46275</v>
      </c>
      <c r="C32" s="142" t="str">
        <f>IF(B12="","",B12)</f>
        <v>OCT</v>
      </c>
      <c r="D32" s="142" t="s">
        <v>79</v>
      </c>
      <c r="E32" s="143">
        <f>G23</f>
        <v>151080.4856</v>
      </c>
      <c r="F32" s="143">
        <f>G24</f>
        <v>148814.278316</v>
      </c>
      <c r="G32" s="143">
        <f>G25</f>
        <v>153346.692884</v>
      </c>
      <c r="H32" s="143">
        <f>G26</f>
        <v>153346.692884</v>
      </c>
      <c r="I32" s="48"/>
      <c r="J32" s="48"/>
    </row>
    <row r="33" ht="17.55" spans="1:10">
      <c r="A33" s="61" t="s">
        <v>80</v>
      </c>
      <c r="B33" s="62" t="s">
        <v>80</v>
      </c>
      <c r="C33" s="62" t="s">
        <v>80</v>
      </c>
      <c r="D33" s="62" t="s">
        <v>80</v>
      </c>
      <c r="E33" s="62" t="s">
        <v>80</v>
      </c>
      <c r="F33" s="62" t="s">
        <v>80</v>
      </c>
      <c r="G33" s="62" t="s">
        <v>80</v>
      </c>
      <c r="H33" s="62" t="s">
        <v>80</v>
      </c>
      <c r="I33" s="62" t="s">
        <v>80</v>
      </c>
      <c r="J33" s="81" t="s">
        <v>80</v>
      </c>
    </row>
    <row r="34" ht="17.55" spans="1:10">
      <c r="A34" s="106" t="s">
        <v>81</v>
      </c>
      <c r="B34" s="69" t="s">
        <v>81</v>
      </c>
      <c r="C34" s="69" t="s">
        <v>81</v>
      </c>
      <c r="D34" s="70" t="s">
        <v>81</v>
      </c>
      <c r="E34" s="48"/>
      <c r="F34" s="156" t="s">
        <v>82</v>
      </c>
      <c r="G34" s="205" t="s">
        <v>82</v>
      </c>
      <c r="H34" s="205" t="s">
        <v>82</v>
      </c>
      <c r="I34" s="205" t="s">
        <v>82</v>
      </c>
      <c r="J34" s="209" t="s">
        <v>82</v>
      </c>
    </row>
    <row r="35" spans="1:10">
      <c r="A35" s="192" t="s">
        <v>83</v>
      </c>
      <c r="B35" s="195">
        <v>150862</v>
      </c>
      <c r="C35" s="195"/>
      <c r="D35" s="195"/>
      <c r="E35" s="48"/>
      <c r="F35" s="206" t="s">
        <v>84</v>
      </c>
      <c r="G35" s="195"/>
      <c r="H35" s="195"/>
      <c r="I35" s="195"/>
      <c r="J35" s="195"/>
    </row>
    <row r="36" spans="1:10">
      <c r="A36" s="192" t="s">
        <v>67</v>
      </c>
      <c r="B36" s="193">
        <f>IF(B35="","",B35*(1+Settings!$K$6))</f>
        <v>151043.0344</v>
      </c>
      <c r="C36" s="193"/>
      <c r="D36" s="193"/>
      <c r="E36" s="48"/>
      <c r="F36" s="206" t="s">
        <v>67</v>
      </c>
      <c r="G36" s="207" t="str">
        <f>IF(G35="","",G35*(1-Settings!$K$6))</f>
        <v/>
      </c>
      <c r="H36" s="207"/>
      <c r="I36" s="207"/>
      <c r="J36" s="207"/>
    </row>
    <row r="37" spans="1:10">
      <c r="A37" s="192" t="s">
        <v>68</v>
      </c>
      <c r="B37" s="193">
        <f>IF(B36="","",B36*(1+Settings!$K$7))</f>
        <v>153308.679916</v>
      </c>
      <c r="C37" s="193"/>
      <c r="D37" s="193"/>
      <c r="E37" s="48"/>
      <c r="F37" s="206" t="s">
        <v>68</v>
      </c>
      <c r="G37" s="207" t="str">
        <f>IF(G36="","",G36*(1-Settings!$K$7))</f>
        <v/>
      </c>
      <c r="H37" s="207"/>
      <c r="I37" s="207"/>
      <c r="J37" s="207"/>
    </row>
    <row r="38" spans="1:10">
      <c r="A38" s="192" t="s">
        <v>69</v>
      </c>
      <c r="B38" s="193">
        <f>IF(OR(B35="",G20=""),"",MAX(B36*(1-Settings!$K$8),G20*(1-Settings!$K$6)))</f>
        <v>151918.4788</v>
      </c>
      <c r="C38" s="193"/>
      <c r="D38" s="193"/>
      <c r="E38" s="48"/>
      <c r="F38" s="206" t="s">
        <v>69</v>
      </c>
      <c r="G38" s="207" t="str">
        <f>IF(OR(G35="",G19=""),"",MIN(G36*(1+Settings!$K$8),G19*(1+Settings!$K$6)))</f>
        <v/>
      </c>
      <c r="H38" s="207"/>
      <c r="I38" s="207"/>
      <c r="J38" s="207"/>
    </row>
    <row r="39" spans="1:10">
      <c r="A39" s="192" t="s">
        <v>70</v>
      </c>
      <c r="B39" s="193">
        <f>IF(OR(B35="",G18=""),"",MAX(B36*(1-Settings!$K$8),G18*(1-Settings!$K$6)))</f>
        <v>151080.4856</v>
      </c>
      <c r="C39" s="193"/>
      <c r="D39" s="193"/>
      <c r="E39" s="48"/>
      <c r="F39" s="206" t="s">
        <v>70</v>
      </c>
      <c r="G39" s="207" t="str">
        <f>IF(OR(G35="",G17=""),"",MIN(G36*(1+Settings!$K$8),G17*(1+Settings!$K$6)))</f>
        <v/>
      </c>
      <c r="H39" s="207"/>
      <c r="I39" s="207"/>
      <c r="J39" s="207"/>
    </row>
    <row r="40" ht="17.55" spans="1:10">
      <c r="A40" s="48"/>
      <c r="B40" s="48"/>
      <c r="C40" s="48"/>
      <c r="D40" s="48"/>
      <c r="E40" s="48"/>
      <c r="F40" s="48"/>
      <c r="G40" s="48"/>
      <c r="H40" s="48"/>
      <c r="I40" s="48"/>
      <c r="J40" s="48"/>
    </row>
    <row r="41" ht="17.55" spans="1:10">
      <c r="A41" s="61" t="s">
        <v>85</v>
      </c>
      <c r="B41" s="62" t="s">
        <v>85</v>
      </c>
      <c r="C41" s="62" t="s">
        <v>85</v>
      </c>
      <c r="D41" s="62" t="s">
        <v>85</v>
      </c>
      <c r="E41" s="62" t="s">
        <v>85</v>
      </c>
      <c r="F41" s="62" t="s">
        <v>85</v>
      </c>
      <c r="G41" s="62" t="s">
        <v>85</v>
      </c>
      <c r="H41" s="81" t="s">
        <v>85</v>
      </c>
      <c r="I41" s="48"/>
      <c r="J41" s="48"/>
    </row>
    <row r="42" spans="1:10">
      <c r="A42" s="196" t="s">
        <v>86</v>
      </c>
      <c r="B42" s="196" t="s">
        <v>86</v>
      </c>
      <c r="C42" s="196" t="s">
        <v>86</v>
      </c>
      <c r="D42" s="196" t="s">
        <v>86</v>
      </c>
      <c r="E42" s="196" t="s">
        <v>86</v>
      </c>
      <c r="F42" s="196" t="s">
        <v>86</v>
      </c>
      <c r="G42" s="196" t="s">
        <v>86</v>
      </c>
      <c r="H42" s="196" t="s">
        <v>86</v>
      </c>
      <c r="I42" s="48"/>
      <c r="J42" s="48"/>
    </row>
    <row r="43" spans="1:10">
      <c r="A43" s="63" t="s">
        <v>72</v>
      </c>
      <c r="B43" s="63" t="s">
        <v>73</v>
      </c>
      <c r="C43" s="63" t="s">
        <v>74</v>
      </c>
      <c r="D43" s="63" t="s">
        <v>75</v>
      </c>
      <c r="E43" s="63" t="s">
        <v>67</v>
      </c>
      <c r="F43" s="63" t="s">
        <v>68</v>
      </c>
      <c r="G43" s="63" t="s">
        <v>69</v>
      </c>
      <c r="H43" s="63" t="s">
        <v>70</v>
      </c>
      <c r="I43" s="48"/>
      <c r="J43" s="48"/>
    </row>
    <row r="44" spans="1:10">
      <c r="A44" s="142" t="s">
        <v>87</v>
      </c>
      <c r="B44" s="194">
        <f>IF(B6="","",B6)</f>
        <v>46275</v>
      </c>
      <c r="C44" s="142" t="str">
        <f>IF(B12="","",B12)</f>
        <v>OCT</v>
      </c>
      <c r="D44" s="142" t="s">
        <v>77</v>
      </c>
      <c r="E44" s="143">
        <f>IF(B35="","",B36)</f>
        <v>151043.0344</v>
      </c>
      <c r="F44" s="143">
        <f>IF(B35="","",B37)</f>
        <v>153308.679916</v>
      </c>
      <c r="G44" s="143">
        <f>IF(B35="","",B38)</f>
        <v>151918.4788</v>
      </c>
      <c r="H44" s="143">
        <f>IF(B35="","",B39)</f>
        <v>151080.4856</v>
      </c>
      <c r="I44" s="48"/>
      <c r="J44" s="48"/>
    </row>
    <row r="45" spans="1:10">
      <c r="A45" s="142" t="s">
        <v>88</v>
      </c>
      <c r="B45" s="194">
        <f>IF(B6="","",B6)</f>
        <v>46275</v>
      </c>
      <c r="C45" s="142" t="str">
        <f>IF(B12="","",B12)</f>
        <v>OCT</v>
      </c>
      <c r="D45" s="142" t="s">
        <v>79</v>
      </c>
      <c r="E45" s="143" t="str">
        <f>IF(G35="","",G36)</f>
        <v/>
      </c>
      <c r="F45" s="143" t="str">
        <f>IF(G35="","",G37)</f>
        <v/>
      </c>
      <c r="G45" s="143" t="str">
        <f>IF(G35="","",G38)</f>
        <v/>
      </c>
      <c r="H45" s="143" t="str">
        <f>IF(G35="","",G39)</f>
        <v/>
      </c>
      <c r="I45" s="48"/>
      <c r="J45" s="48"/>
    </row>
    <row r="46" spans="1:10">
      <c r="A46" s="48"/>
      <c r="B46" s="48"/>
      <c r="C46" s="48"/>
      <c r="D46" s="48"/>
      <c r="E46" s="48"/>
      <c r="F46" s="48"/>
      <c r="G46" s="48"/>
      <c r="H46" s="48"/>
      <c r="I46" s="48"/>
      <c r="J46" s="48"/>
    </row>
    <row r="47" spans="1:10">
      <c r="A47" s="197" t="s">
        <v>89</v>
      </c>
      <c r="B47" s="198" t="s">
        <v>89</v>
      </c>
      <c r="C47" s="198" t="s">
        <v>89</v>
      </c>
      <c r="D47" s="198" t="s">
        <v>89</v>
      </c>
      <c r="E47" s="198" t="s">
        <v>89</v>
      </c>
      <c r="F47" s="198" t="s">
        <v>89</v>
      </c>
      <c r="G47" s="198" t="s">
        <v>89</v>
      </c>
      <c r="H47" s="198" t="s">
        <v>89</v>
      </c>
      <c r="I47" s="198" t="s">
        <v>89</v>
      </c>
      <c r="J47" s="210" t="s">
        <v>89</v>
      </c>
    </row>
    <row r="48" spans="1:10">
      <c r="A48" s="48"/>
      <c r="B48" s="48"/>
      <c r="C48" s="48"/>
      <c r="D48" s="48"/>
      <c r="E48" s="48"/>
      <c r="F48" s="48"/>
      <c r="G48" s="48"/>
      <c r="H48" s="48"/>
      <c r="I48" s="48"/>
      <c r="J48" s="48"/>
    </row>
    <row r="49" ht="18" customHeight="1" spans="1:10">
      <c r="A49" s="164" t="s">
        <v>34</v>
      </c>
      <c r="B49" s="164"/>
      <c r="C49" s="164"/>
      <c r="D49" s="164"/>
      <c r="E49" s="164"/>
      <c r="F49" s="164"/>
      <c r="G49" s="164"/>
      <c r="H49" s="164"/>
      <c r="I49" s="164"/>
      <c r="J49" s="164"/>
    </row>
    <row r="50" ht="18" customHeight="1" spans="1:10">
      <c r="A50" s="165" t="s">
        <v>35</v>
      </c>
      <c r="B50" s="165"/>
      <c r="C50" s="165"/>
      <c r="D50" s="165"/>
      <c r="E50" s="165"/>
      <c r="F50" s="165"/>
      <c r="G50" s="165"/>
      <c r="H50" s="165"/>
      <c r="I50" s="165"/>
      <c r="J50" s="165"/>
    </row>
    <row r="51" ht="18" customHeight="1" spans="1:10">
      <c r="A51" s="165" t="s">
        <v>36</v>
      </c>
      <c r="B51" s="165"/>
      <c r="C51" s="165"/>
      <c r="D51" s="165"/>
      <c r="E51" s="165"/>
      <c r="F51" s="165"/>
      <c r="G51" s="165"/>
      <c r="H51" s="165"/>
      <c r="I51" s="165"/>
      <c r="J51" s="165"/>
    </row>
    <row r="52" ht="18" customHeight="1" spans="1:10">
      <c r="A52" s="166" t="s">
        <v>37</v>
      </c>
      <c r="B52" s="166"/>
      <c r="C52" s="166"/>
      <c r="D52" s="166"/>
      <c r="E52" s="166"/>
      <c r="F52" s="166"/>
      <c r="G52" s="166"/>
      <c r="H52" s="166"/>
      <c r="I52" s="166"/>
      <c r="J52" s="166"/>
    </row>
  </sheetData>
  <sheetProtection algorithmName="SHA-512" hashValue="dph2Gw483KIYlXj3c4YLViva8poNwW7VOZ6Kq3BCEsyAut+FMhxYPopK50LcIrh7rLQDOCrioToaXN6tTtHn+w==" saltValue="PnjH2/p0AiiGPkfQhVCpjg==" spinCount="100000" sheet="1" objects="1"/>
  <mergeCells count="45">
    <mergeCell ref="A1:G1"/>
    <mergeCell ref="A2:G2"/>
    <mergeCell ref="A3:G3"/>
    <mergeCell ref="A4:J4"/>
    <mergeCell ref="A5:D5"/>
    <mergeCell ref="B6:D6"/>
    <mergeCell ref="B7:D7"/>
    <mergeCell ref="B8:D8"/>
    <mergeCell ref="B9:D9"/>
    <mergeCell ref="B10:D10"/>
    <mergeCell ref="B11:D11"/>
    <mergeCell ref="B12:D12"/>
    <mergeCell ref="A14:J14"/>
    <mergeCell ref="A22:D22"/>
    <mergeCell ref="F22:J22"/>
    <mergeCell ref="B23:D23"/>
    <mergeCell ref="G23:J23"/>
    <mergeCell ref="B24:D24"/>
    <mergeCell ref="G24:J24"/>
    <mergeCell ref="B25:D25"/>
    <mergeCell ref="G25:J25"/>
    <mergeCell ref="B26:D26"/>
    <mergeCell ref="G26:J26"/>
    <mergeCell ref="A29:H29"/>
    <mergeCell ref="A33:J33"/>
    <mergeCell ref="A34:D34"/>
    <mergeCell ref="F34:J34"/>
    <mergeCell ref="B35:D35"/>
    <mergeCell ref="G35:J35"/>
    <mergeCell ref="B36:D36"/>
    <mergeCell ref="G36:J36"/>
    <mergeCell ref="B37:D37"/>
    <mergeCell ref="G37:J37"/>
    <mergeCell ref="B38:D38"/>
    <mergeCell ref="G38:J38"/>
    <mergeCell ref="B39:D39"/>
    <mergeCell ref="G39:J39"/>
    <mergeCell ref="A41:H41"/>
    <mergeCell ref="A42:H42"/>
    <mergeCell ref="A47:J47"/>
    <mergeCell ref="A49:J49"/>
    <mergeCell ref="A50:J50"/>
    <mergeCell ref="A51:J51"/>
    <mergeCell ref="A52:J52"/>
    <mergeCell ref="H1:J3"/>
  </mergeCells>
  <dataValidations count="2">
    <dataValidation type="date" operator="greaterThan" sqref="B6 B8 B10 B17:B20">
      <formula1>1</formula1>
    </dataValidation>
    <dataValidation type="decimal" operator="greaterThan" sqref="B35 G35 C17:D20">
      <formula1>0</formula1>
    </dataValidation>
  </dataValidations>
  <pageMargins left="0.7" right="0.7" top="0.75" bottom="0.75" header="0.3" footer="0.3"/>
  <headerFooter/>
  <ignoredErrors>
    <ignoredError sqref="G19:G20" formulaRange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I56"/>
  <sheetViews>
    <sheetView showGridLines="0" tabSelected="1" workbookViewId="0">
      <pane ySplit="4" topLeftCell="A5" activePane="bottomLeft" state="frozen"/>
      <selection/>
      <selection pane="bottomLeft" activeCell="B10" sqref="B10"/>
    </sheetView>
  </sheetViews>
  <sheetFormatPr defaultColWidth="9" defaultRowHeight="16.8"/>
  <cols>
    <col min="1" max="1" width="23" customWidth="1"/>
    <col min="2" max="2" width="22.2692307692308" customWidth="1"/>
    <col min="3" max="3" width="22" customWidth="1"/>
    <col min="4" max="4" width="22.5865384615385" customWidth="1"/>
    <col min="5" max="5" width="24.8365384615385" customWidth="1"/>
    <col min="6" max="6" width="34" customWidth="1"/>
    <col min="7" max="7" width="26.9134615384615" customWidth="1"/>
    <col min="8" max="8" width="19.8653846153846" customWidth="1"/>
    <col min="9" max="9" width="29.0096153846154" customWidth="1"/>
  </cols>
  <sheetData>
    <row r="1" ht="23" customHeight="1" spans="1:9">
      <c r="A1" s="127" t="s">
        <v>0</v>
      </c>
      <c r="B1" s="127"/>
      <c r="C1" s="127"/>
      <c r="D1" s="127"/>
      <c r="E1" s="127"/>
      <c r="F1" s="127"/>
      <c r="G1" s="113" t="s">
        <v>197</v>
      </c>
      <c r="H1" s="113" t="s">
        <v>90</v>
      </c>
      <c r="I1" s="113" t="s">
        <v>90</v>
      </c>
    </row>
    <row r="2" ht="21" customHeight="1" spans="1:9">
      <c r="A2" s="128" t="s">
        <v>2</v>
      </c>
      <c r="B2" s="128"/>
      <c r="C2" s="128"/>
      <c r="D2" s="128"/>
      <c r="E2" s="128"/>
      <c r="F2" s="128"/>
      <c r="G2" s="113" t="s">
        <v>90</v>
      </c>
      <c r="H2" s="113" t="s">
        <v>90</v>
      </c>
      <c r="I2" s="113" t="s">
        <v>90</v>
      </c>
    </row>
    <row r="3" ht="23" customHeight="1" spans="1:9">
      <c r="A3" s="129" t="s">
        <v>91</v>
      </c>
      <c r="B3" s="129"/>
      <c r="C3" s="129"/>
      <c r="D3" s="129"/>
      <c r="E3" s="129"/>
      <c r="F3" s="129"/>
      <c r="G3" s="113" t="s">
        <v>90</v>
      </c>
      <c r="H3" s="113" t="s">
        <v>90</v>
      </c>
      <c r="I3" s="113" t="s">
        <v>90</v>
      </c>
    </row>
    <row r="4" ht="17.55" spans="1:9">
      <c r="A4" s="261" t="inlineStr">
        <is>
          <t xml:space="preserve">Licence Number: TSA-MURU-2419    |    Name: MURUGAN M    |    Mail ID: muruganm56789@gmail.com    |    Contact Number: 8610022419</t>
        </is>
      </c>
      <c r="B4" s="130"/>
      <c r="C4" s="130"/>
      <c r="D4" s="130"/>
      <c r="E4" s="130"/>
      <c r="F4" s="130"/>
      <c r="G4" s="130"/>
      <c r="H4" s="130"/>
      <c r="I4" s="130"/>
    </row>
    <row r="5" ht="17.55" spans="1:9">
      <c r="A5" s="131" t="s">
        <v>92</v>
      </c>
      <c r="B5" s="132">
        <v>4</v>
      </c>
      <c r="C5" s="48"/>
      <c r="D5" s="49"/>
      <c r="E5" s="49"/>
      <c r="F5" s="48"/>
      <c r="G5" s="48"/>
      <c r="H5" s="48"/>
      <c r="I5" s="48"/>
    </row>
    <row r="6" spans="1:9">
      <c r="A6" s="133" t="s">
        <v>93</v>
      </c>
      <c r="B6" s="134">
        <v>150312</v>
      </c>
      <c r="C6" s="48"/>
      <c r="D6" s="49"/>
      <c r="E6" s="131" t="s">
        <v>18</v>
      </c>
      <c r="F6" s="167" t="s">
        <v>6</v>
      </c>
      <c r="G6" s="48"/>
      <c r="H6" s="48"/>
      <c r="I6" s="48"/>
    </row>
    <row r="7" spans="1:9">
      <c r="A7" s="133" t="s">
        <v>94</v>
      </c>
      <c r="B7" s="134">
        <v>151563</v>
      </c>
      <c r="C7" s="48"/>
      <c r="D7" s="49"/>
      <c r="E7" s="133" t="s">
        <v>19</v>
      </c>
      <c r="F7" s="168" t="str">
        <f>IF('GOLD Calculation'!$B$12="","",'GOLD Calculation'!$B$12)</f>
        <v>OCT</v>
      </c>
      <c r="G7" s="48"/>
      <c r="H7" s="48"/>
      <c r="I7" s="48"/>
    </row>
    <row r="8" ht="17.55" spans="1:9">
      <c r="A8" s="133" t="s">
        <v>96</v>
      </c>
      <c r="B8" s="134">
        <v>148800</v>
      </c>
      <c r="C8" s="48"/>
      <c r="D8" s="49"/>
      <c r="E8" s="133" t="s">
        <v>95</v>
      </c>
      <c r="F8" s="169">
        <f>IF('GOLD Calculation'!$B$6="","",'GOLD Calculation'!$B$6)</f>
        <v>46275</v>
      </c>
      <c r="G8" s="48"/>
      <c r="H8" s="48"/>
      <c r="I8" s="48"/>
    </row>
    <row r="9" ht="17.55" spans="1:9">
      <c r="A9" s="135" t="s">
        <v>22</v>
      </c>
      <c r="B9" s="136" t="s">
        <v>98</v>
      </c>
      <c r="C9" s="137" t="s">
        <v>198</v>
      </c>
      <c r="D9" s="49"/>
      <c r="E9" s="170" t="s">
        <v>97</v>
      </c>
      <c r="F9" s="171" t="str">
        <f>IF(COUNT(B6:B8)=3,"READY","INPUT REQUIRED")</f>
        <v>READY</v>
      </c>
      <c r="G9" s="48"/>
      <c r="H9" s="48"/>
      <c r="I9" s="48"/>
    </row>
    <row r="10" spans="1:9">
      <c r="A10" s="138" t="s">
        <v>24</v>
      </c>
      <c r="B10" s="139" t="s">
        <v>99</v>
      </c>
      <c r="C10" s="140" t="s">
        <v>193</v>
      </c>
      <c r="D10" s="141"/>
      <c r="E10" s="172"/>
      <c r="F10" s="48"/>
      <c r="G10" s="48"/>
      <c r="H10" s="48"/>
      <c r="I10" s="48"/>
    </row>
    <row r="11" ht="17.55" spans="1:9">
      <c r="A11" s="48"/>
      <c r="B11" s="48"/>
      <c r="C11" s="48"/>
      <c r="D11" s="48"/>
      <c r="E11" s="48"/>
      <c r="F11" s="48"/>
      <c r="G11" s="48"/>
      <c r="H11" s="48"/>
      <c r="I11" s="48"/>
    </row>
    <row r="12" ht="17.55" spans="1:9">
      <c r="A12" s="61" t="s">
        <v>101</v>
      </c>
      <c r="B12" s="62" t="s">
        <v>101</v>
      </c>
      <c r="C12" s="62" t="s">
        <v>101</v>
      </c>
      <c r="D12" s="62" t="s">
        <v>101</v>
      </c>
      <c r="E12" s="62" t="s">
        <v>101</v>
      </c>
      <c r="F12" s="62" t="s">
        <v>101</v>
      </c>
      <c r="G12" s="62" t="s">
        <v>101</v>
      </c>
      <c r="H12" s="62" t="s">
        <v>101</v>
      </c>
      <c r="I12" s="81" t="s">
        <v>101</v>
      </c>
    </row>
    <row r="13" spans="1:9">
      <c r="A13" s="63" t="s">
        <v>72</v>
      </c>
      <c r="B13" s="63" t="s">
        <v>67</v>
      </c>
      <c r="C13" s="63" t="s">
        <v>68</v>
      </c>
      <c r="D13" s="63" t="s">
        <v>102</v>
      </c>
      <c r="E13" s="63" t="s">
        <v>103</v>
      </c>
      <c r="F13" s="63" t="s">
        <v>104</v>
      </c>
      <c r="G13" s="48"/>
      <c r="H13" s="48"/>
      <c r="I13" s="48"/>
    </row>
    <row r="14" spans="1:9">
      <c r="A14" s="142" t="s">
        <v>105</v>
      </c>
      <c r="B14" s="143">
        <f>IF(COUNT('GOLD Calculation'!$G$17)=0,"",'GOLD Calculation'!$B$23)</f>
        <v>157263.49</v>
      </c>
      <c r="C14" s="143">
        <f>IF(COUNT('GOLD Calculation'!$G$17)=0,"",'GOLD Calculation'!$B$24)</f>
        <v>159622.44235</v>
      </c>
      <c r="D14" s="143">
        <f>IF(COUNT('GOLD Calculation'!$G$17)=0,"",'GOLD Calculation'!$B$25)</f>
        <v>154904.53765</v>
      </c>
      <c r="E14" s="143">
        <f>IF(COUNT('GOLD Calculation'!$G$17)=0,"",'GOLD Calculation'!$B$26)</f>
        <v>154904.53765</v>
      </c>
      <c r="F14" s="142" t="str">
        <f>IF(COUNT('GOLD Calculation'!$G$17)=0,"INPUT REQUIRED",IF(COUNT(B14:E14)=4,"READY","INPUT REQUIRED"))</f>
        <v>READY</v>
      </c>
      <c r="G14" s="48"/>
      <c r="H14" s="48"/>
      <c r="I14" s="48"/>
    </row>
    <row r="15" spans="1:9">
      <c r="A15" s="142" t="s">
        <v>106</v>
      </c>
      <c r="B15" s="143">
        <f>IF(COUNT('GOLD Calculation'!$G$18)=0,"",'GOLD Calculation'!$G$23)</f>
        <v>151080.4856</v>
      </c>
      <c r="C15" s="143">
        <f>IF(COUNT('GOLD Calculation'!$G$18)=0,"",'GOLD Calculation'!$G$24)</f>
        <v>148814.278316</v>
      </c>
      <c r="D15" s="143">
        <f>IF(COUNT('GOLD Calculation'!$G$18)=0,"",'GOLD Calculation'!$G$25)</f>
        <v>153346.692884</v>
      </c>
      <c r="E15" s="143">
        <f>IF(COUNT('GOLD Calculation'!$G$18)=0,"",'GOLD Calculation'!$G$26)</f>
        <v>153346.692884</v>
      </c>
      <c r="F15" s="142" t="str">
        <f>IF(COUNT('GOLD Calculation'!$G$18)=0,"INPUT REQUIRED",IF(COUNT(B15:E15)=4,"READY","INPUT REQUIRED"))</f>
        <v>READY</v>
      </c>
      <c r="G15" s="48"/>
      <c r="H15" s="48"/>
      <c r="I15" s="48"/>
    </row>
    <row r="16" spans="1:9">
      <c r="A16" s="142" t="s">
        <v>107</v>
      </c>
      <c r="B16" s="143">
        <f>IF(COUNT('GOLD Calculation'!$B$35)=0,"",'GOLD Calculation'!$B$36)</f>
        <v>151043.0344</v>
      </c>
      <c r="C16" s="143">
        <f>IF(COUNT('GOLD Calculation'!$B$35)=0,"",'GOLD Calculation'!$B$37)</f>
        <v>153308.679916</v>
      </c>
      <c r="D16" s="143">
        <f>IF(COUNT('GOLD Calculation'!$B$35)=0,"",'GOLD Calculation'!$B$38)</f>
        <v>151918.4788</v>
      </c>
      <c r="E16" s="143">
        <f>IF(COUNT('GOLD Calculation'!$B$35)=0,"",'GOLD Calculation'!$B$39)</f>
        <v>151080.4856</v>
      </c>
      <c r="F16" s="142" t="str">
        <f>IF(COUNT('GOLD Calculation'!$B$35)=0,"INPUT REQUIRED",IF(COUNT(B16:E16)=4,"READY","INPUT REQUIRED"))</f>
        <v>READY</v>
      </c>
      <c r="G16" s="48"/>
      <c r="H16" s="48"/>
      <c r="I16" s="48"/>
    </row>
    <row r="17" spans="1:9">
      <c r="A17" s="142" t="s">
        <v>108</v>
      </c>
      <c r="B17" s="143" t="str">
        <f>IF(COUNT('GOLD Calculation'!$G$35)=0,"",'GOLD Calculation'!$G$36)</f>
        <v/>
      </c>
      <c r="C17" s="143" t="str">
        <f>IF(COUNT('GOLD Calculation'!$G$35)=0,"",'GOLD Calculation'!$G$37)</f>
        <v/>
      </c>
      <c r="D17" s="143" t="str">
        <f>IF(COUNT('GOLD Calculation'!$G$35)=0,"",'GOLD Calculation'!$G$38)</f>
        <v/>
      </c>
      <c r="E17" s="143" t="str">
        <f>IF(COUNT('GOLD Calculation'!$G$35)=0,"",'GOLD Calculation'!$G$39)</f>
        <v/>
      </c>
      <c r="F17" s="142" t="str">
        <f>IF(COUNT('GOLD Calculation'!$G$35)=0,"INPUT REQUIRED",IF(COUNT(B17:E17)=4,"READY","INPUT REQUIRED"))</f>
        <v>INPUT REQUIRED</v>
      </c>
      <c r="G17" s="48"/>
      <c r="H17" s="48"/>
      <c r="I17" s="48"/>
    </row>
    <row r="18" ht="17.55" spans="1:9">
      <c r="A18" s="48"/>
      <c r="B18" s="48"/>
      <c r="C18" s="48"/>
      <c r="D18" s="48"/>
      <c r="E18" s="48"/>
      <c r="F18" s="48"/>
      <c r="G18" s="48"/>
      <c r="H18" s="48"/>
      <c r="I18" s="48"/>
    </row>
    <row r="19" ht="17.55" spans="1:9">
      <c r="A19" s="144" t="s">
        <v>109</v>
      </c>
      <c r="B19" s="145" t="s">
        <v>109</v>
      </c>
      <c r="C19" s="145" t="s">
        <v>109</v>
      </c>
      <c r="D19" s="145" t="s">
        <v>109</v>
      </c>
      <c r="E19" s="145" t="s">
        <v>109</v>
      </c>
      <c r="F19" s="145" t="s">
        <v>109</v>
      </c>
      <c r="G19" s="145" t="s">
        <v>109</v>
      </c>
      <c r="H19" s="92" t="s">
        <v>109</v>
      </c>
      <c r="I19" s="102" t="s">
        <v>109</v>
      </c>
    </row>
    <row r="20" ht="17.55" spans="1:9">
      <c r="A20" s="146" t="s">
        <v>75</v>
      </c>
      <c r="B20" s="147" t="s">
        <v>67</v>
      </c>
      <c r="C20" s="147" t="s">
        <v>68</v>
      </c>
      <c r="D20" s="147" t="s">
        <v>69</v>
      </c>
      <c r="E20" s="147" t="s">
        <v>70</v>
      </c>
      <c r="F20" s="147" t="s">
        <v>110</v>
      </c>
      <c r="G20" s="173" t="s">
        <v>111</v>
      </c>
      <c r="H20" s="48"/>
      <c r="I20" s="48"/>
    </row>
    <row r="21" ht="17.55" spans="1:9">
      <c r="A21" s="148" t="s">
        <v>107</v>
      </c>
      <c r="B21" s="149">
        <f>IF($B$9="Buy Holding",IFERROR(LOOKUP(2,1/(('GOLD Tracking'!$D$14:$D$213="Buy")*('GOLD Tracking'!$E$14:$E$213&lt;&gt;"")),'GOLD Tracking'!$E$14:$E$213),""),IF($A$21="Normal Buy",IF(ISNUMBER(B14),B14,""),IF($A$21="Gap Up Buy",IF(ISNUMBER(B16),B16,""),"")))</f>
        <v>151043.0344</v>
      </c>
      <c r="C21" s="149">
        <f>IF($B$9="Buy Holding",IFERROR(LOOKUP(2,1/(('GOLD Tracking'!$D$14:$D$213="Buy")*('GOLD Tracking'!$E$14:$E$213&lt;&gt;"")),'GOLD Tracking'!$F$14:$F$213),""),IF($A$21="Normal Buy",IF(ISNUMBER(C14),C14,""),IF($A$21="Gap Up Buy",IF(ISNUMBER(C16),C16,""),"")))</f>
        <v>153308.679916</v>
      </c>
      <c r="D21" s="149">
        <f>IF($B$9="Buy Holding",IFERROR(IF(AND(LOOKUP(2,1/(('GOLD Tracking'!$D$14:$D$213="Buy")*('GOLD Tracking'!$E$14:$E$213&lt;&gt;"")),'GOLD Tracking'!$K$14:$K$213)="",LOOKUP(2,1/(('GOLD Tracking'!$D$14:$D$213="Buy")*('GOLD Tracking'!$E$14:$E$213&lt;&gt;"")),'GOLD Tracking'!$Q$14:$Q$213)=""),"",IF(LOOKUP(2,1/(('GOLD Tracking'!$D$14:$D$213="Buy")*('GOLD Tracking'!$E$14:$E$213&lt;&gt;"")),'GOLD Tracking'!$K$14:$K$213)="",LOOKUP(2,1/(('GOLD Tracking'!$D$14:$D$213="Buy")*('GOLD Tracking'!$E$14:$E$213&lt;&gt;"")),'GOLD Tracking'!$Q$14:$Q$213),IF(LOOKUP(2,1/(('GOLD Tracking'!$D$14:$D$213="Buy")*('GOLD Tracking'!$E$14:$E$213&lt;&gt;"")),'GOLD Tracking'!$Q$14:$Q$213)="",LOOKUP(2,1/(('GOLD Tracking'!$D$14:$D$213="Buy")*('GOLD Tracking'!$E$14:$E$213&lt;&gt;"")),'GOLD Tracking'!$K$14:$K$213),MIN(LOOKUP(2,1/(('GOLD Tracking'!$D$14:$D$213="Buy")*('GOLD Tracking'!$E$14:$E$213&lt;&gt;"")),'GOLD Tracking'!$K$14:$K$213),LOOKUP(2,1/(('GOLD Tracking'!$D$14:$D$213="Buy")*('GOLD Tracking'!$E$14:$E$213&lt;&gt;"")),'GOLD Tracking'!$Q$14:$Q$213))))),""),IF($A$21="Normal Buy",IF(ISNUMBER(D14),D14,""),IF($A$21="Gap Up Buy",IF(ISNUMBER(D16),D16,""),"")))</f>
        <v>151918.4788</v>
      </c>
      <c r="E21" s="149">
        <f>IF($B$9="Buy Holding",IFERROR(IF(AND(LOOKUP(2,1/(('GOLD Tracking'!$D$14:$D$213="Buy")*('GOLD Tracking'!$E$14:$E$213&lt;&gt;"")),'GOLD Tracking'!$N$14:$N$213)="",LOOKUP(2,1/(('GOLD Tracking'!$D$14:$D$213="Buy")*('GOLD Tracking'!$E$14:$E$213&lt;&gt;"")),'GOLD Tracking'!$T$14:$T$213)=""),"",IF(LOOKUP(2,1/(('GOLD Tracking'!$D$14:$D$213="Buy")*('GOLD Tracking'!$E$14:$E$213&lt;&gt;"")),'GOLD Tracking'!$N$14:$N$213)="",LOOKUP(2,1/(('GOLD Tracking'!$D$14:$D$213="Buy")*('GOLD Tracking'!$E$14:$E$213&lt;&gt;"")),'GOLD Tracking'!$T$14:$T$213),IF(LOOKUP(2,1/(('GOLD Tracking'!$D$14:$D$213="Buy")*('GOLD Tracking'!$E$14:$E$213&lt;&gt;"")),'GOLD Tracking'!$T$14:$T$213)="",LOOKUP(2,1/(('GOLD Tracking'!$D$14:$D$213="Buy")*('GOLD Tracking'!$E$14:$E$213&lt;&gt;"")),'GOLD Tracking'!$N$14:$N$213),MIN(LOOKUP(2,1/(('GOLD Tracking'!$D$14:$D$213="Buy")*('GOLD Tracking'!$E$14:$E$213&lt;&gt;"")),'GOLD Tracking'!$N$14:$N$213),LOOKUP(2,1/(('GOLD Tracking'!$D$14:$D$213="Buy")*('GOLD Tracking'!$E$14:$E$213&lt;&gt;"")),'GOLD Tracking'!$T$14:$T$213))))),""),IF($A$21="Normal Buy",IF(ISNUMBER(E14),E14,""),IF($A$21="Gap Up Buy",IF(ISNUMBER(E16),E16,""),"")))</f>
        <v>151080.4856</v>
      </c>
      <c r="F21" s="174" t="str">
        <f>IF($C$9&lt;&gt;"",$C$9,IF($B$9="","",$B$9))</f>
        <v>Entry Triggered</v>
      </c>
      <c r="G21" s="175" t="str">
        <f>IF($B$9="Buy Holding","Latest Tracking Buy",IF($A$21="","",$A$21))</f>
        <v>Gap Up Buy</v>
      </c>
      <c r="H21" s="48"/>
      <c r="I21" s="48"/>
    </row>
    <row r="22" spans="1:9">
      <c r="A22" s="150" t="s">
        <v>106</v>
      </c>
      <c r="B22" s="151">
        <f>IF($B$10="Sell Holding",IFERROR(LOOKUP(2,1/(('GOLD Tracking'!$D$14:$D$213="Sell")*('GOLD Tracking'!$E$14:$E$213&lt;&gt;"")),'GOLD Tracking'!$E$14:$E$213),""),IF($A$22="Normal Sell",IF(ISNUMBER(B15),B15,""),IF($A$22="Gap Down Sell",IF(ISNUMBER(B17),B17,""),"")))</f>
        <v>158921.0656</v>
      </c>
      <c r="C22" s="151">
        <f>IF($B$10="Sell Holding",IFERROR(LOOKUP(2,1/(('GOLD Tracking'!$D$14:$D$213="Sell")*('GOLD Tracking'!$E$14:$E$213&lt;&gt;"")),'GOLD Tracking'!$F$14:$F$213),""),IF($A$22="Normal Sell",IF(ISNUMBER(C15),C15,""),IF($A$22="Gap Down Sell",IF(ISNUMBER(C17),C17,""),"")))</f>
        <v>156537.249616</v>
      </c>
      <c r="D22" s="151">
        <f>IF($B$10="Sell Holding",IFERROR(IF(AND(LOOKUP(2,1/(('GOLD Tracking'!$D$14:$D$213="Sell")*('GOLD Tracking'!$E$14:$E$213&lt;&gt;"")),'GOLD Tracking'!$K$14:$K$213)="",LOOKUP(2,1/(('GOLD Tracking'!$D$14:$D$213="Sell")*('GOLD Tracking'!$E$14:$E$213&lt;&gt;"")),'GOLD Tracking'!$Q$14:$Q$213)=""),"",IF(LOOKUP(2,1/(('GOLD Tracking'!$D$14:$D$213="Sell")*('GOLD Tracking'!$E$14:$E$213&lt;&gt;"")),'GOLD Tracking'!$K$14:$K$213)="",LOOKUP(2,1/(('GOLD Tracking'!$D$14:$D$213="Sell")*('GOLD Tracking'!$E$14:$E$213&lt;&gt;"")),'GOLD Tracking'!$Q$14:$Q$213),IF(LOOKUP(2,1/(('GOLD Tracking'!$D$14:$D$213="Sell")*('GOLD Tracking'!$E$14:$E$213&lt;&gt;"")),'GOLD Tracking'!$Q$14:$Q$213)="",LOOKUP(2,1/(('GOLD Tracking'!$D$14:$D$213="Sell")*('GOLD Tracking'!$E$14:$E$213&lt;&gt;"")),'GOLD Tracking'!$K$14:$K$213),MAX(LOOKUP(2,1/(('GOLD Tracking'!$D$14:$D$213="Sell")*('GOLD Tracking'!$E$14:$E$213&lt;&gt;"")),'GOLD Tracking'!$K$14:$K$213),LOOKUP(2,1/(('GOLD Tracking'!$D$14:$D$213="Sell")*('GOLD Tracking'!$E$14:$E$213&lt;&gt;"")),'GOLD Tracking'!$Q$14:$Q$213))))),""),IF($A$22="Normal Sell",IF(ISNUMBER(D15),D15,""),IF($A$22="Gap Down Sell",IF(ISNUMBER(D17),D17,""),"")))</f>
        <v>161304.881584</v>
      </c>
      <c r="E22" s="151">
        <f>IF($B$10="Sell Holding",IFERROR(IF(AND(LOOKUP(2,1/(('GOLD Tracking'!$D$14:$D$213="Sell")*('GOLD Tracking'!$E$14:$E$213&lt;&gt;"")),'GOLD Tracking'!$N$14:$N$213)="",LOOKUP(2,1/(('GOLD Tracking'!$D$14:$D$213="Sell")*('GOLD Tracking'!$E$14:$E$213&lt;&gt;"")),'GOLD Tracking'!$T$14:$T$213)=""),"",IF(LOOKUP(2,1/(('GOLD Tracking'!$D$14:$D$213="Sell")*('GOLD Tracking'!$E$14:$E$213&lt;&gt;"")),'GOLD Tracking'!$N$14:$N$213)="",LOOKUP(2,1/(('GOLD Tracking'!$D$14:$D$213="Sell")*('GOLD Tracking'!$E$14:$E$213&lt;&gt;"")),'GOLD Tracking'!$T$14:$T$213),IF(LOOKUP(2,1/(('GOLD Tracking'!$D$14:$D$213="Sell")*('GOLD Tracking'!$E$14:$E$213&lt;&gt;"")),'GOLD Tracking'!$T$14:$T$213)="",LOOKUP(2,1/(('GOLD Tracking'!$D$14:$D$213="Sell")*('GOLD Tracking'!$E$14:$E$213&lt;&gt;"")),'GOLD Tracking'!$N$14:$N$213),MAX(LOOKUP(2,1/(('GOLD Tracking'!$D$14:$D$213="Sell")*('GOLD Tracking'!$E$14:$E$213&lt;&gt;"")),'GOLD Tracking'!$N$14:$N$213),LOOKUP(2,1/(('GOLD Tracking'!$D$14:$D$213="Sell")*('GOLD Tracking'!$E$14:$E$213&lt;&gt;"")),'GOLD Tracking'!$T$14:$T$213))))),""),IF($A$22="Normal Sell",IF(ISNUMBER(E15),E15,""),IF($A$22="Gap Down Sell",IF(ISNUMBER(E17),E17,""),"")))</f>
        <v>161304.881584</v>
      </c>
      <c r="F22" s="176" t="str">
        <f>IF($C$10&lt;&gt;"",$C$10,IF($B$10="","",$B$10))</f>
        <v>Sell Holding</v>
      </c>
      <c r="G22" s="177" t="str">
        <f>IF($B$10="Sell Holding","Latest Tracking Sell",IF($A$22="","",$A$22))</f>
        <v>Latest Tracking Sell</v>
      </c>
      <c r="H22" s="48"/>
      <c r="I22" s="48"/>
    </row>
    <row r="23" spans="1:9">
      <c r="A23" s="48"/>
      <c r="B23" s="48"/>
      <c r="C23" s="48"/>
      <c r="D23" s="48"/>
      <c r="E23" s="48"/>
      <c r="F23" s="48"/>
      <c r="G23" s="48"/>
      <c r="H23" s="48"/>
      <c r="I23" s="48"/>
    </row>
    <row r="24" spans="1:9">
      <c r="A24" s="48"/>
      <c r="B24" s="48"/>
      <c r="C24" s="48"/>
      <c r="D24" s="48"/>
      <c r="E24" s="48"/>
      <c r="F24" s="48"/>
      <c r="G24" s="48"/>
      <c r="H24" s="48"/>
      <c r="I24" s="48"/>
    </row>
    <row r="25" spans="1:9">
      <c r="A25" s="63" t="s">
        <v>112</v>
      </c>
      <c r="B25" s="63" t="s">
        <v>113</v>
      </c>
      <c r="C25" s="63" t="s">
        <v>114</v>
      </c>
      <c r="D25" s="63" t="s">
        <v>115</v>
      </c>
      <c r="E25" s="63" t="s">
        <v>116</v>
      </c>
      <c r="F25" s="63" t="s">
        <v>117</v>
      </c>
      <c r="G25" s="63" t="s">
        <v>118</v>
      </c>
      <c r="H25" s="49"/>
      <c r="I25" s="180"/>
    </row>
    <row r="26" spans="1:9">
      <c r="A26" s="152" t="s">
        <v>119</v>
      </c>
      <c r="B26" s="152" t="s">
        <v>77</v>
      </c>
      <c r="C26" s="152" t="s">
        <v>120</v>
      </c>
      <c r="D26" s="152" t="s">
        <v>121</v>
      </c>
      <c r="E26" s="178" t="str">
        <f>IF(OR($B$9&lt;&gt;"No Holdings",$C$9&lt;&gt;"",NOT(ISNUMBER($B$21)),NOT(ISNUMBER($B$7))),"",IF($B$7&gt;=$B$21,"MISSED","NOT MISSED"))</f>
        <v/>
      </c>
      <c r="F26" s="178" t="str">
        <f>IF(E26="","",IF(E26="MISSED",IF($A$21="Normal Buy","WAIT FOR GAP-UP INPUT","DO NOT PLACE — ENTRY PASSED"),IF($A$21="Normal Buy","PLACE AFTER 9:10 AM","PLACE AFTER 9:15 AM")))</f>
        <v/>
      </c>
      <c r="G26" s="179" t="str">
        <f>IF(AND($B$9="No Holdings",$C$9="",ISNUMBER($B$21)),ROUND($B$21,0),"")</f>
        <v/>
      </c>
      <c r="H26" s="49"/>
      <c r="I26" s="48"/>
    </row>
    <row r="27" spans="1:9">
      <c r="A27" s="152" t="s">
        <v>122</v>
      </c>
      <c r="B27" s="152" t="s">
        <v>79</v>
      </c>
      <c r="C27" s="152" t="s">
        <v>123</v>
      </c>
      <c r="D27" s="152" t="s">
        <v>124</v>
      </c>
      <c r="E27" s="178" t="str">
        <f>IF(OR($B$10&lt;&gt;"No Holdings",$C$10&lt;&gt;"",NOT(ISNUMBER($B$22)),NOT(ISNUMBER($B$8))),"",IF($B$8&lt;=$B$22,"MISSED","NOT MISSED"))</f>
        <v/>
      </c>
      <c r="F27" s="178" t="str">
        <f>IF(E27="","",IF(E27="MISSED",IF($A$22="Normal Sell","WAIT FOR GAP-DOWN INPUT","DO NOT PLACE — ENTRY PASSED"),IF($A$22="Normal Sell","PLACE AFTER 9:10 AM","PLACE AFTER 9:15 AM")))</f>
        <v/>
      </c>
      <c r="G27" s="179" t="str">
        <f>IF(AND($B$10="No Holdings",$C$10="",ISNUMBER($B$22)),ROUND($B$22,0),"")</f>
        <v/>
      </c>
      <c r="H27" s="49"/>
      <c r="I27" s="48"/>
    </row>
    <row r="28" spans="1:9">
      <c r="A28" s="152" t="s">
        <v>125</v>
      </c>
      <c r="B28" s="152" t="s">
        <v>79</v>
      </c>
      <c r="C28" s="152" t="s">
        <v>126</v>
      </c>
      <c r="D28" s="152" t="s">
        <v>127</v>
      </c>
      <c r="E28" s="178" t="str">
        <f>IF(OR($C$9&lt;&gt;"Entry Triggered",NOT(ISNUMBER($C$21)),NOT(ISNUMBER($B$6))),"",IF($B$6&gt;=$C$21,"MISSED","NOT MISSED"))</f>
        <v>NOT MISSED</v>
      </c>
      <c r="F28" s="178" t="str">
        <f>IF(E28="","",IF(E28="MISSED","EXIT AT CURRENT MARKET PRICE","PLACE LIMIT ORDER AT 9:00 AM"))</f>
        <v>PLACE LIMIT ORDER AT 9:00 AM</v>
      </c>
      <c r="G28" s="179">
        <f>IF(AND($C$9="Entry Triggered",ISNUMBER($C$21)),ROUND($C$21,0),"")</f>
        <v>153309</v>
      </c>
      <c r="H28" s="49"/>
      <c r="I28" s="48"/>
    </row>
    <row r="29" spans="1:9">
      <c r="A29" s="152" t="s">
        <v>128</v>
      </c>
      <c r="B29" s="152" t="s">
        <v>77</v>
      </c>
      <c r="C29" s="152" t="s">
        <v>126</v>
      </c>
      <c r="D29" s="152" t="s">
        <v>129</v>
      </c>
      <c r="E29" s="178" t="str">
        <f>IF(OR($C$10&lt;&gt;"Entry Triggered",NOT(ISNUMBER($C$22)),NOT(ISNUMBER($B$6))),"",IF($B$6&lt;=$C$22,"MISSED","NOT MISSED"))</f>
        <v/>
      </c>
      <c r="F29" s="178" t="str">
        <f>IF(E29="","",IF(E29="MISSED","EXIT AT CURRENT MARKET PRICE","PLACE LIMIT ORDER AT 9:00 AM"))</f>
        <v/>
      </c>
      <c r="G29" s="179" t="str">
        <f>IF(AND($C$10="Entry Triggered",ISNUMBER($C$22)),ROUND($C$22,0),"")</f>
        <v/>
      </c>
      <c r="H29" s="49"/>
      <c r="I29" s="48"/>
    </row>
    <row r="30" spans="1:9">
      <c r="A30" s="152" t="s">
        <v>130</v>
      </c>
      <c r="B30" s="152" t="s">
        <v>79</v>
      </c>
      <c r="C30" s="152" t="s">
        <v>123</v>
      </c>
      <c r="D30" s="152" t="s">
        <v>131</v>
      </c>
      <c r="E30" s="178" t="str">
        <f>IF(OR($C$9&lt;&gt;"Entry Triggered",NOT(ISNUMBER($D$21)),NOT(ISNUMBER($B$8))),"",IF($B$8&lt;=$D$21,"MISSED","NOT MISSED"))</f>
        <v>MISSED</v>
      </c>
      <c r="F30" s="178" t="str">
        <f>IF(E30="","",IF(E30="MISSED","WAIT FOR GAP-DOWN SL1","PLACE ORDER AT 9:10 AM"))</f>
        <v>WAIT FOR GAP-DOWN SL1</v>
      </c>
      <c r="G30" s="179">
        <f>IF(AND($C$9="Entry Triggered",ISNUMBER($D$21)),ROUND($D$21,0),"")</f>
        <v>151918</v>
      </c>
      <c r="H30" s="49"/>
      <c r="I30" s="48"/>
    </row>
    <row r="31" spans="1:9">
      <c r="A31" s="152" t="s">
        <v>132</v>
      </c>
      <c r="B31" s="152" t="s">
        <v>79</v>
      </c>
      <c r="C31" s="152" t="s">
        <v>123</v>
      </c>
      <c r="D31" s="152" t="s">
        <v>133</v>
      </c>
      <c r="E31" s="178" t="str">
        <f>IF(OR($C$9&lt;&gt;"Target Triggered",NOT(ISNUMBER($E$21)),NOT(ISNUMBER($B$8))),"",IF($B$8&lt;=$E$21,"MISSED","NOT MISSED"))</f>
        <v/>
      </c>
      <c r="F31" s="178" t="str">
        <f>IF(E31="","",IF(E31="MISSED","WAIT FOR GAP-DOWN SL2","PLACE ORDER AT 9:10 AM"))</f>
        <v/>
      </c>
      <c r="G31" s="179" t="str">
        <f>IF(AND($C$9="Target Triggered",ISNUMBER($E$21)),ROUND($E$21,0),"")</f>
        <v/>
      </c>
      <c r="H31" s="49"/>
      <c r="I31" s="48"/>
    </row>
    <row r="32" spans="1:9">
      <c r="A32" s="152" t="s">
        <v>134</v>
      </c>
      <c r="B32" s="152" t="s">
        <v>77</v>
      </c>
      <c r="C32" s="152" t="s">
        <v>120</v>
      </c>
      <c r="D32" s="152" t="s">
        <v>135</v>
      </c>
      <c r="E32" s="178" t="str">
        <f>IF(OR($C$10&lt;&gt;"Entry Triggered",NOT(ISNUMBER($D$22)),NOT(ISNUMBER($B$7))),"",IF($B$7&gt;=$D$22,"MISSED","NOT MISSED"))</f>
        <v/>
      </c>
      <c r="F32" s="178" t="str">
        <f>IF(E32="","",IF(E32="MISSED","WAIT FOR GAP-UP SL1","PLACE ORDER AT 9:10 AM"))</f>
        <v/>
      </c>
      <c r="G32" s="179" t="str">
        <f>IF(AND($C$10="Entry Triggered",ISNUMBER($D$22)),ROUND($D$22,0),"")</f>
        <v/>
      </c>
      <c r="H32" s="49"/>
      <c r="I32" s="48"/>
    </row>
    <row r="33" spans="1:9">
      <c r="A33" s="152" t="s">
        <v>136</v>
      </c>
      <c r="B33" s="152" t="s">
        <v>77</v>
      </c>
      <c r="C33" s="152" t="s">
        <v>120</v>
      </c>
      <c r="D33" s="152" t="s">
        <v>137</v>
      </c>
      <c r="E33" s="178" t="str">
        <f>IF(OR($C$10&lt;&gt;"Target Triggered",NOT(ISNUMBER($E$22)),NOT(ISNUMBER($B$7))),"",IF($B$7&gt;=$E$22,"MISSED","NOT MISSED"))</f>
        <v/>
      </c>
      <c r="F33" s="178" t="str">
        <f>IF(E33="","",IF(E33="MISSED","WAIT FOR GAP-UP SL2","PLACE ORDER AT 9:10 AM"))</f>
        <v/>
      </c>
      <c r="G33" s="179" t="str">
        <f>IF(AND($C$10="Target Triggered",ISNUMBER($E$22)),ROUND($E$22,0),"")</f>
        <v/>
      </c>
      <c r="H33" s="49"/>
      <c r="I33" s="48"/>
    </row>
    <row r="34" spans="1:9">
      <c r="A34" s="48"/>
      <c r="B34" s="48"/>
      <c r="C34" s="48"/>
      <c r="D34" s="48"/>
      <c r="E34" s="48"/>
      <c r="F34" s="48"/>
      <c r="G34" s="48"/>
      <c r="H34" s="48"/>
      <c r="I34" s="48"/>
    </row>
    <row r="35" ht="17.55" spans="1:9">
      <c r="A35" s="48"/>
      <c r="B35" s="48"/>
      <c r="C35" s="48"/>
      <c r="D35" s="48"/>
      <c r="E35" s="48"/>
      <c r="F35" s="48"/>
      <c r="G35" s="48"/>
      <c r="H35" s="48"/>
      <c r="I35" s="48"/>
    </row>
    <row r="36" ht="17.55" spans="1:9">
      <c r="A36" s="106" t="s">
        <v>138</v>
      </c>
      <c r="B36" s="107" t="s">
        <v>138</v>
      </c>
      <c r="C36" s="107" t="s">
        <v>138</v>
      </c>
      <c r="D36" s="107" t="s">
        <v>138</v>
      </c>
      <c r="E36" s="107" t="s">
        <v>138</v>
      </c>
      <c r="F36" s="107" t="s">
        <v>138</v>
      </c>
      <c r="G36" s="107" t="s">
        <v>138</v>
      </c>
      <c r="H36" s="107" t="s">
        <v>138</v>
      </c>
      <c r="I36" s="108" t="s">
        <v>138</v>
      </c>
    </row>
    <row r="37" spans="1:9">
      <c r="A37" s="63" t="s">
        <v>139</v>
      </c>
      <c r="B37" s="63" t="s">
        <v>140</v>
      </c>
      <c r="C37" s="63" t="s">
        <v>141</v>
      </c>
      <c r="D37" s="63" t="s">
        <v>142</v>
      </c>
      <c r="E37" s="63" t="s">
        <v>143</v>
      </c>
      <c r="F37" s="63" t="s">
        <v>144</v>
      </c>
      <c r="G37" s="63" t="s">
        <v>145</v>
      </c>
      <c r="H37" s="63" t="s">
        <v>146</v>
      </c>
      <c r="I37" s="63" t="s">
        <v>117</v>
      </c>
    </row>
    <row r="38" spans="1:9">
      <c r="A38" s="153" t="s">
        <v>67</v>
      </c>
      <c r="B38" s="153" t="s">
        <v>77</v>
      </c>
      <c r="C38" s="153" t="s">
        <v>147</v>
      </c>
      <c r="D38" s="154" t="str">
        <f>IF(AND($B$9="No Holdings",$C$9="",$E$26="NOT MISSED"),$B$5,"")</f>
        <v/>
      </c>
      <c r="E38" s="154" t="str">
        <f>IF(D38="","",$G$26)</f>
        <v/>
      </c>
      <c r="F38" s="154" t="str">
        <f>IF(E38="","",ROUND(E38*(1+Settings!$K$9),0))</f>
        <v/>
      </c>
      <c r="G38" s="154"/>
      <c r="H38" s="154" t="str">
        <f>IF(D38="","",IF($A$21="Normal Buy","After 9:10 AM","After 9:15 AM"))</f>
        <v/>
      </c>
      <c r="I38" s="153" t="str">
        <f>IF(AND($B$9="No Holdings",$C$9=""),$F$26,"")</f>
        <v/>
      </c>
    </row>
    <row r="39" spans="1:9">
      <c r="A39" s="153" t="s">
        <v>68</v>
      </c>
      <c r="B39" s="153" t="s">
        <v>79</v>
      </c>
      <c r="C39" s="153" t="s">
        <v>148</v>
      </c>
      <c r="D39" s="154">
        <f>IF(AND($C$9="Entry Triggered",$E$28="NOT MISSED"),$B$5/2,"")</f>
        <v>2</v>
      </c>
      <c r="E39" s="154"/>
      <c r="F39" s="154"/>
      <c r="G39" s="154">
        <f>IF(D39="","",$G$28)</f>
        <v>153309</v>
      </c>
      <c r="H39" s="154" t="str">
        <f>IF(D39="","","9:00 AM")</f>
        <v>9:00 AM</v>
      </c>
      <c r="I39" s="153" t="str">
        <f>IF($C$9="Entry Triggered",$F$28,"")</f>
        <v>PLACE LIMIT ORDER AT 9:00 AM</v>
      </c>
    </row>
    <row r="40" spans="1:9">
      <c r="A40" s="153" t="s">
        <v>69</v>
      </c>
      <c r="B40" s="153" t="s">
        <v>79</v>
      </c>
      <c r="C40" s="153" t="s">
        <v>147</v>
      </c>
      <c r="D40" s="154" t="str">
        <f>IF(AND($C$9="Entry Triggered",$E$30="NOT MISSED"),$B$5,"")</f>
        <v/>
      </c>
      <c r="E40" s="154" t="str">
        <f>IF(D40="","",$G$30)</f>
        <v/>
      </c>
      <c r="F40" s="154" t="str">
        <f>IF(E40="","",ROUND(E40*(1-Settings!$K$9),0))</f>
        <v/>
      </c>
      <c r="G40" s="154"/>
      <c r="H40" s="154" t="str">
        <f>IF(D40="","","9:10 AM")</f>
        <v/>
      </c>
      <c r="I40" s="153" t="str">
        <f>IF($C$9="Stoploss 1 Triggered","START FRESH ORDER FROM TOMORROW",IF($C$9="Entry Triggered",$F$30,""))</f>
        <v>WAIT FOR GAP-DOWN SL1</v>
      </c>
    </row>
    <row r="41" spans="1:9">
      <c r="A41" s="153" t="s">
        <v>70</v>
      </c>
      <c r="B41" s="153" t="s">
        <v>79</v>
      </c>
      <c r="C41" s="153" t="s">
        <v>147</v>
      </c>
      <c r="D41" s="154" t="str">
        <f>IF(AND($C$9="Target Triggered",$E$31="NOT MISSED"),$B$5/2,"")</f>
        <v/>
      </c>
      <c r="E41" s="154" t="str">
        <f>IF(D41="","",$G$31)</f>
        <v/>
      </c>
      <c r="F41" s="154" t="str">
        <f>IF(E41="","",ROUND(E41*(1-Settings!$K$9),0))</f>
        <v/>
      </c>
      <c r="G41" s="154"/>
      <c r="H41" s="154" t="str">
        <f>IF(D41="","","9:10 AM")</f>
        <v/>
      </c>
      <c r="I41" s="153" t="str">
        <f>IF($C$9="Stoploss 2 Triggered","START FRESH ORDER FROM TOMORROW",IF($C$9="Target Triggered",$F$31,""))</f>
        <v/>
      </c>
    </row>
    <row r="42" spans="1:9">
      <c r="A42" s="48"/>
      <c r="B42" s="48"/>
      <c r="C42" s="48"/>
      <c r="D42" s="155"/>
      <c r="E42" s="155"/>
      <c r="F42" s="155"/>
      <c r="G42" s="155"/>
      <c r="H42" s="155"/>
      <c r="I42" s="48"/>
    </row>
    <row r="43" ht="17.55" spans="1:9">
      <c r="A43" s="48"/>
      <c r="B43" s="48"/>
      <c r="C43" s="48"/>
      <c r="D43" s="155"/>
      <c r="E43" s="155"/>
      <c r="F43" s="155"/>
      <c r="G43" s="155"/>
      <c r="H43" s="155"/>
      <c r="I43" s="48"/>
    </row>
    <row r="44" ht="17.55" spans="1:9">
      <c r="A44" s="156" t="s">
        <v>149</v>
      </c>
      <c r="B44" s="157" t="s">
        <v>149</v>
      </c>
      <c r="C44" s="157" t="s">
        <v>149</v>
      </c>
      <c r="D44" s="158" t="s">
        <v>149</v>
      </c>
      <c r="E44" s="158" t="s">
        <v>149</v>
      </c>
      <c r="F44" s="158" t="s">
        <v>149</v>
      </c>
      <c r="G44" s="158" t="s">
        <v>149</v>
      </c>
      <c r="H44" s="158" t="s">
        <v>149</v>
      </c>
      <c r="I44" s="181" t="s">
        <v>149</v>
      </c>
    </row>
    <row r="45" spans="1:9">
      <c r="A45" s="63" t="s">
        <v>139</v>
      </c>
      <c r="B45" s="63" t="s">
        <v>140</v>
      </c>
      <c r="C45" s="63" t="s">
        <v>141</v>
      </c>
      <c r="D45" s="159" t="s">
        <v>142</v>
      </c>
      <c r="E45" s="159" t="s">
        <v>143</v>
      </c>
      <c r="F45" s="159" t="s">
        <v>144</v>
      </c>
      <c r="G45" s="159" t="s">
        <v>145</v>
      </c>
      <c r="H45" s="159" t="s">
        <v>146</v>
      </c>
      <c r="I45" s="63" t="s">
        <v>117</v>
      </c>
    </row>
    <row r="46" spans="1:9">
      <c r="A46" s="153" t="s">
        <v>67</v>
      </c>
      <c r="B46" s="153" t="s">
        <v>79</v>
      </c>
      <c r="C46" s="153" t="s">
        <v>147</v>
      </c>
      <c r="D46" s="154" t="str">
        <f>IF(AND($B$10="No Holdings",$C$10="",$E$27="NOT MISSED"),$B$5,"")</f>
        <v/>
      </c>
      <c r="E46" s="154" t="str">
        <f>IF(D46="","",$G$27)</f>
        <v/>
      </c>
      <c r="F46" s="154" t="str">
        <f>IF(E46="","",ROUND(E46*(1-Settings!$K$9),0))</f>
        <v/>
      </c>
      <c r="G46" s="154"/>
      <c r="H46" s="154" t="str">
        <f>IF(D46="","",IF($A$22="Normal Sell","After 9:10 AM","After 9:15 AM"))</f>
        <v/>
      </c>
      <c r="I46" s="153" t="str">
        <f>IF(AND($B$10="No Holdings",$C$10=""),$F$27,"")</f>
        <v/>
      </c>
    </row>
    <row r="47" spans="1:9">
      <c r="A47" s="153" t="s">
        <v>68</v>
      </c>
      <c r="B47" s="153" t="s">
        <v>77</v>
      </c>
      <c r="C47" s="153" t="s">
        <v>148</v>
      </c>
      <c r="D47" s="154" t="str">
        <f>IF(AND($C$10="Entry Triggered",$E$29="NOT MISSED"),$B$5/2,"")</f>
        <v/>
      </c>
      <c r="E47" s="154"/>
      <c r="F47" s="154"/>
      <c r="G47" s="154" t="str">
        <f>IF(D47="","",$G$29)</f>
        <v/>
      </c>
      <c r="H47" s="154" t="str">
        <f>IF(D47="","","9:00 AM")</f>
        <v/>
      </c>
      <c r="I47" s="153" t="str">
        <f>IF($C$10="Entry Triggered",$F$29,"")</f>
        <v/>
      </c>
    </row>
    <row r="48" spans="1:9">
      <c r="A48" s="153" t="s">
        <v>69</v>
      </c>
      <c r="B48" s="153" t="s">
        <v>77</v>
      </c>
      <c r="C48" s="153" t="s">
        <v>147</v>
      </c>
      <c r="D48" s="154" t="str">
        <f>IF(AND($C$10="Entry Triggered",$E$32="NOT MISSED"),$B$5,"")</f>
        <v/>
      </c>
      <c r="E48" s="154" t="str">
        <f>IF(D48="","",$G$32)</f>
        <v/>
      </c>
      <c r="F48" s="154" t="str">
        <f>IF(E48="","",ROUND(E48*(1+Settings!$K$9),0))</f>
        <v/>
      </c>
      <c r="G48" s="154"/>
      <c r="H48" s="154" t="str">
        <f>IF(D48="","","9:10 AM")</f>
        <v/>
      </c>
      <c r="I48" s="153" t="str">
        <f>IF($C$10="Stoploss 1 Triggered","START FRESH ORDER FROM TOMORROW",IF($C$10="Entry Triggered",$F$32,""))</f>
        <v/>
      </c>
    </row>
    <row r="49" spans="1:9">
      <c r="A49" s="153" t="s">
        <v>70</v>
      </c>
      <c r="B49" s="153" t="s">
        <v>77</v>
      </c>
      <c r="C49" s="153" t="s">
        <v>147</v>
      </c>
      <c r="D49" s="154" t="str">
        <f>IF(AND($C$10="Target Triggered",$E$33="NOT MISSED"),$B$5/2,"")</f>
        <v/>
      </c>
      <c r="E49" s="154" t="str">
        <f>IF(D49="","",$G$33)</f>
        <v/>
      </c>
      <c r="F49" s="154" t="str">
        <f>IF(E49="","",ROUND(E49*(1+Settings!$K$9),0))</f>
        <v/>
      </c>
      <c r="G49" s="154"/>
      <c r="H49" s="154" t="str">
        <f>IF(D49="","","9:10 AM")</f>
        <v/>
      </c>
      <c r="I49" s="153" t="str">
        <f>IF($C$10="Stoploss 2 Triggered","START FRESH ORDER FROM TOMORROW",IF($C$10="Target Triggered",$F$33,""))</f>
        <v/>
      </c>
    </row>
    <row r="50" ht="17.55" spans="1:9">
      <c r="A50" s="48"/>
      <c r="B50" s="48"/>
      <c r="C50" s="48"/>
      <c r="D50" s="48"/>
      <c r="E50" s="48"/>
      <c r="F50" s="48"/>
      <c r="G50" s="48"/>
      <c r="H50" s="48"/>
      <c r="I50" s="48"/>
    </row>
    <row r="51" spans="1:9">
      <c r="A51" s="160" t="s">
        <v>150</v>
      </c>
      <c r="B51" s="161" t="s">
        <v>151</v>
      </c>
      <c r="C51" s="161" t="s">
        <v>151</v>
      </c>
      <c r="D51" s="161" t="s">
        <v>151</v>
      </c>
      <c r="E51" s="161" t="s">
        <v>151</v>
      </c>
      <c r="F51" s="161" t="s">
        <v>151</v>
      </c>
      <c r="G51" s="161" t="s">
        <v>151</v>
      </c>
      <c r="H51" s="161" t="s">
        <v>151</v>
      </c>
      <c r="I51" s="182" t="s">
        <v>151</v>
      </c>
    </row>
    <row r="52" spans="1:9">
      <c r="A52" s="162" t="s">
        <v>151</v>
      </c>
      <c r="B52" s="163" t="s">
        <v>151</v>
      </c>
      <c r="C52" s="163" t="s">
        <v>151</v>
      </c>
      <c r="D52" s="163" t="s">
        <v>151</v>
      </c>
      <c r="E52" s="163" t="s">
        <v>151</v>
      </c>
      <c r="F52" s="163" t="s">
        <v>151</v>
      </c>
      <c r="G52" s="163" t="s">
        <v>151</v>
      </c>
      <c r="H52" s="163" t="s">
        <v>151</v>
      </c>
      <c r="I52" s="183" t="s">
        <v>151</v>
      </c>
    </row>
    <row r="53" ht="18" customHeight="1" spans="1:9">
      <c r="A53" s="164" t="s">
        <v>34</v>
      </c>
      <c r="B53" s="164"/>
      <c r="C53" s="164"/>
      <c r="D53" s="164"/>
      <c r="E53" s="164"/>
      <c r="F53" s="164"/>
      <c r="G53" s="164"/>
      <c r="H53" s="164"/>
      <c r="I53" s="164"/>
    </row>
    <row r="54" ht="18" customHeight="1" spans="1:9">
      <c r="A54" s="165" t="s">
        <v>35</v>
      </c>
      <c r="B54" s="165"/>
      <c r="C54" s="165"/>
      <c r="D54" s="165"/>
      <c r="E54" s="165"/>
      <c r="F54" s="165"/>
      <c r="G54" s="165"/>
      <c r="H54" s="165"/>
      <c r="I54" s="165"/>
    </row>
    <row r="55" ht="18" customHeight="1" spans="1:9">
      <c r="A55" s="165" t="s">
        <v>36</v>
      </c>
      <c r="B55" s="165"/>
      <c r="C55" s="165"/>
      <c r="D55" s="165"/>
      <c r="E55" s="165"/>
      <c r="F55" s="165"/>
      <c r="G55" s="165"/>
      <c r="H55" s="165"/>
      <c r="I55" s="165"/>
    </row>
    <row r="56" ht="18" customHeight="1" spans="1:9">
      <c r="A56" s="166" t="s">
        <v>37</v>
      </c>
      <c r="B56" s="166"/>
      <c r="C56" s="166"/>
      <c r="D56" s="166"/>
      <c r="E56" s="166"/>
      <c r="F56" s="166"/>
      <c r="G56" s="166"/>
      <c r="H56" s="166"/>
      <c r="I56" s="166"/>
    </row>
  </sheetData>
  <sheetProtection algorithmName="SHA-512" hashValue="jn7ZVclxGvd9BVAgVhoUMWgFNXBcz4xXSYvJsb5G49PZ4GygSfxfPoV1MYnZ3JR8if0RdFpsmD1xurKnMHBWrA==" saltValue="bgH1T8OuvvzwjMLOtLH2IQ==" spinCount="100000" sheet="1" objects="1"/>
  <mergeCells count="14">
    <mergeCell ref="A1:F1"/>
    <mergeCell ref="A2:F2"/>
    <mergeCell ref="A3:F3"/>
    <mergeCell ref="A4:I4"/>
    <mergeCell ref="A12:I12"/>
    <mergeCell ref="A19:I19"/>
    <mergeCell ref="A36:I36"/>
    <mergeCell ref="A44:I44"/>
    <mergeCell ref="A53:I53"/>
    <mergeCell ref="A54:I54"/>
    <mergeCell ref="A55:I55"/>
    <mergeCell ref="A56:I56"/>
    <mergeCell ref="G1:I3"/>
    <mergeCell ref="A51:I52"/>
  </mergeCells>
  <conditionalFormatting sqref="E26:E33">
    <cfRule type="expression" dxfId="0" priority="1">
      <formula>E26="MISSED"</formula>
    </cfRule>
    <cfRule type="expression" dxfId="1" priority="2">
      <formula>E26="NOT MISSED"</formula>
    </cfRule>
  </conditionalFormatting>
  <conditionalFormatting sqref="A38:I41">
    <cfRule type="expression" dxfId="2" priority="3">
      <formula>$D38&lt;&gt;""</formula>
    </cfRule>
  </conditionalFormatting>
  <conditionalFormatting sqref="A46:I49">
    <cfRule type="expression" dxfId="3" priority="4">
      <formula>$D46&lt;&gt;""</formula>
    </cfRule>
  </conditionalFormatting>
  <dataValidations count="7">
    <dataValidation type="list" sqref="B5">
      <formula1>Settings!$A$7:$A$16</formula1>
    </dataValidation>
    <dataValidation type="list" sqref="B9">
      <formula1>Settings!$H$7:$H$8</formula1>
    </dataValidation>
    <dataValidation type="list" sqref="B10">
      <formula1>Settings!$I$7:$I$8</formula1>
    </dataValidation>
    <dataValidation type="list" sqref="A21">
      <formula1>Settings!$D$7:$D$8</formula1>
    </dataValidation>
    <dataValidation type="list" sqref="A22">
      <formula1>Settings!$E$7:$E$8</formula1>
    </dataValidation>
    <dataValidation type="decimal" operator="greaterThan" sqref="B6:B8">
      <formula1>0</formula1>
    </dataValidation>
    <dataValidation type="list" allowBlank="1" sqref="C9:C10">
      <formula1>Settings!$B$7:$B$10</formula1>
    </dataValidation>
  </dataValidations>
  <pageMargins left="0.7" right="0.7" top="0.75" bottom="0.75" header="0.3" footer="0.3"/>
  <headerFooter/>
  <ignoredErrors>
    <ignoredError sqref="F9" formulaRange="1"/>
    <ignoredError sqref="C10" listDataValidation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9A227"/>
  </sheetPr>
  <dimension ref="A1:Z219"/>
  <sheetViews>
    <sheetView showGridLines="0" workbookViewId="0">
      <pane xSplit="4" ySplit="13" topLeftCell="E14" activePane="bottomRight" state="frozen"/>
      <selection/>
      <selection pane="topRight"/>
      <selection pane="bottomLeft"/>
      <selection pane="bottomRight" activeCell="X18" sqref="X18"/>
    </sheetView>
  </sheetViews>
  <sheetFormatPr defaultColWidth="9" defaultRowHeight="16.8"/>
  <cols>
    <col min="1" max="1" width="7" customWidth="1"/>
    <col min="2" max="2" width="17.9423076923077" customWidth="1"/>
    <col min="3" max="3" width="13" customWidth="1"/>
    <col min="4" max="4" width="12.9711538461538" customWidth="1"/>
    <col min="5" max="7" width="12" customWidth="1"/>
    <col min="8" max="8" width="17.1442307692308" customWidth="1"/>
    <col min="9" max="9" width="20" customWidth="1"/>
    <col min="10" max="10" width="13" customWidth="1"/>
    <col min="11" max="11" width="14" customWidth="1"/>
    <col min="12" max="12" width="20" customWidth="1"/>
    <col min="13" max="13" width="13" customWidth="1"/>
    <col min="14" max="14" width="14" customWidth="1"/>
    <col min="15" max="15" width="28.2019230769231" customWidth="1"/>
    <col min="16" max="16" width="13" customWidth="1"/>
    <col min="17" max="17" width="14" customWidth="1"/>
    <col min="18" max="18" width="27.0769230769231" customWidth="1"/>
    <col min="19" max="19" width="13" customWidth="1"/>
    <col min="20" max="20" width="14" customWidth="1"/>
    <col min="21" max="21" width="20" customWidth="1"/>
    <col min="22" max="22" width="15" customWidth="1"/>
    <col min="23" max="23" width="20" customWidth="1"/>
    <col min="24" max="25" width="15" customWidth="1"/>
    <col min="26" max="26" width="13" customWidth="1"/>
  </cols>
  <sheetData>
    <row r="1" ht="23" customHeight="1" spans="1:26">
      <c r="A1" s="43"/>
      <c r="B1" s="43"/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103" t="s">
        <v>199</v>
      </c>
      <c r="Y1" s="111" t="s">
        <v>152</v>
      </c>
      <c r="Z1" s="112" t="s">
        <v>152</v>
      </c>
    </row>
    <row r="2" ht="21" customHeight="1" spans="1:26">
      <c r="A2" s="43"/>
      <c r="B2" s="43"/>
      <c r="C2" s="45" t="s">
        <v>2</v>
      </c>
      <c r="D2" s="45" t="s">
        <v>2</v>
      </c>
      <c r="E2" s="45" t="s">
        <v>2</v>
      </c>
      <c r="F2" s="45" t="s">
        <v>2</v>
      </c>
      <c r="G2" s="45" t="s">
        <v>2</v>
      </c>
      <c r="H2" s="45" t="s">
        <v>2</v>
      </c>
      <c r="I2" s="45" t="s">
        <v>2</v>
      </c>
      <c r="J2" s="45" t="s">
        <v>2</v>
      </c>
      <c r="K2" s="45" t="s">
        <v>2</v>
      </c>
      <c r="L2" s="45" t="s">
        <v>2</v>
      </c>
      <c r="M2" s="45" t="s">
        <v>2</v>
      </c>
      <c r="N2" s="45" t="s">
        <v>2</v>
      </c>
      <c r="O2" s="45" t="s">
        <v>2</v>
      </c>
      <c r="P2" s="45" t="s">
        <v>2</v>
      </c>
      <c r="Q2" s="45" t="s">
        <v>2</v>
      </c>
      <c r="R2" s="45" t="s">
        <v>2</v>
      </c>
      <c r="S2" s="45" t="s">
        <v>2</v>
      </c>
      <c r="T2" s="45" t="s">
        <v>2</v>
      </c>
      <c r="U2" s="45" t="s">
        <v>2</v>
      </c>
      <c r="V2" s="45" t="s">
        <v>2</v>
      </c>
      <c r="W2" s="45" t="s">
        <v>2</v>
      </c>
      <c r="X2" s="104" t="s">
        <v>152</v>
      </c>
      <c r="Y2" s="113" t="s">
        <v>152</v>
      </c>
      <c r="Z2" s="114" t="s">
        <v>152</v>
      </c>
    </row>
    <row r="3" ht="23" customHeight="1" spans="1:26">
      <c r="A3" s="43"/>
      <c r="B3" s="43"/>
      <c r="C3" s="46" t="s">
        <v>153</v>
      </c>
      <c r="D3" s="46" t="s">
        <v>153</v>
      </c>
      <c r="E3" s="46" t="s">
        <v>153</v>
      </c>
      <c r="F3" s="46" t="s">
        <v>153</v>
      </c>
      <c r="G3" s="46" t="s">
        <v>153</v>
      </c>
      <c r="H3" s="46" t="s">
        <v>153</v>
      </c>
      <c r="I3" s="46" t="s">
        <v>153</v>
      </c>
      <c r="J3" s="46" t="s">
        <v>153</v>
      </c>
      <c r="K3" s="46" t="s">
        <v>153</v>
      </c>
      <c r="L3" s="46" t="s">
        <v>153</v>
      </c>
      <c r="M3" s="46" t="s">
        <v>153</v>
      </c>
      <c r="N3" s="46" t="s">
        <v>153</v>
      </c>
      <c r="O3" s="46" t="s">
        <v>153</v>
      </c>
      <c r="P3" s="46" t="s">
        <v>153</v>
      </c>
      <c r="Q3" s="46" t="s">
        <v>153</v>
      </c>
      <c r="R3" s="46" t="s">
        <v>153</v>
      </c>
      <c r="S3" s="46" t="s">
        <v>153</v>
      </c>
      <c r="T3" s="46" t="s">
        <v>153</v>
      </c>
      <c r="U3" s="46" t="s">
        <v>153</v>
      </c>
      <c r="V3" s="46" t="s">
        <v>153</v>
      </c>
      <c r="W3" s="46" t="s">
        <v>153</v>
      </c>
      <c r="X3" s="105" t="s">
        <v>152</v>
      </c>
      <c r="Y3" s="115" t="s">
        <v>152</v>
      </c>
      <c r="Z3" s="116" t="s">
        <v>152</v>
      </c>
    </row>
    <row r="4" ht="17.55" spans="1:26">
      <c r="A4" s="259" t="inlineStr">
        <is>
          <t xml:space="preserve">Licence Number: TSA-MURU-2419    |    Name: MURUGAN M    |    Mail ID: muruganm56789@gmail.com    |    Contact Number: 8610022419</t>
        </is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117"/>
    </row>
    <row r="5" ht="17.55" spans="1:26">
      <c r="A5" s="48"/>
      <c r="B5" s="49"/>
      <c r="C5" s="49"/>
      <c r="D5" s="49"/>
      <c r="E5" s="48"/>
      <c r="F5" s="49"/>
      <c r="G5" s="49"/>
      <c r="H5" s="49"/>
      <c r="I5" s="48"/>
      <c r="J5" s="49"/>
      <c r="K5" s="49"/>
      <c r="L5" s="49"/>
      <c r="M5" s="48"/>
      <c r="N5" s="96" t="s">
        <v>154</v>
      </c>
      <c r="O5" s="97" t="s">
        <v>154</v>
      </c>
      <c r="P5" s="97" t="s">
        <v>154</v>
      </c>
      <c r="Q5" s="97" t="s">
        <v>154</v>
      </c>
      <c r="R5" s="97" t="s">
        <v>154</v>
      </c>
      <c r="S5" s="97" t="s">
        <v>154</v>
      </c>
      <c r="T5" s="97" t="s">
        <v>154</v>
      </c>
      <c r="U5" s="97" t="s">
        <v>154</v>
      </c>
      <c r="V5" s="97" t="s">
        <v>154</v>
      </c>
      <c r="W5" s="97" t="s">
        <v>154</v>
      </c>
      <c r="X5" s="97" t="s">
        <v>154</v>
      </c>
      <c r="Y5" s="97" t="s">
        <v>154</v>
      </c>
      <c r="Z5" s="118" t="s">
        <v>154</v>
      </c>
    </row>
    <row r="6" ht="17.55" spans="1:26">
      <c r="A6" s="48"/>
      <c r="B6" s="49"/>
      <c r="C6" s="49"/>
      <c r="D6" s="49"/>
      <c r="E6" s="48"/>
      <c r="F6" s="68" t="s">
        <v>155</v>
      </c>
      <c r="G6" s="69" t="s">
        <v>155</v>
      </c>
      <c r="H6" s="70">
        <v>0</v>
      </c>
      <c r="I6" s="48"/>
      <c r="J6" s="83" t="s">
        <v>156</v>
      </c>
      <c r="K6" s="84" t="s">
        <v>156</v>
      </c>
      <c r="L6" s="85">
        <v>0</v>
      </c>
      <c r="M6" s="48"/>
      <c r="N6" s="98" t="s">
        <v>154</v>
      </c>
      <c r="O6" s="99" t="s">
        <v>154</v>
      </c>
      <c r="P6" s="99" t="s">
        <v>154</v>
      </c>
      <c r="Q6" s="99" t="s">
        <v>154</v>
      </c>
      <c r="R6" s="99" t="s">
        <v>154</v>
      </c>
      <c r="S6" s="99" t="s">
        <v>154</v>
      </c>
      <c r="T6" s="99" t="s">
        <v>154</v>
      </c>
      <c r="U6" s="99" t="s">
        <v>154</v>
      </c>
      <c r="V6" s="99" t="s">
        <v>154</v>
      </c>
      <c r="W6" s="99" t="s">
        <v>154</v>
      </c>
      <c r="X6" s="99" t="s">
        <v>154</v>
      </c>
      <c r="Y6" s="99" t="s">
        <v>154</v>
      </c>
      <c r="Z6" s="119" t="s">
        <v>154</v>
      </c>
    </row>
    <row r="7" ht="17.55" spans="1:26">
      <c r="A7" s="50" t="s">
        <v>157</v>
      </c>
      <c r="B7" s="51"/>
      <c r="C7" s="51"/>
      <c r="D7" s="52"/>
      <c r="E7" s="48"/>
      <c r="F7" s="71" t="s">
        <v>12</v>
      </c>
      <c r="G7" s="72"/>
      <c r="H7" s="73"/>
      <c r="I7" s="48"/>
      <c r="J7" s="74" t="s">
        <v>16</v>
      </c>
      <c r="K7" s="86"/>
      <c r="L7" s="87">
        <f>COUNTIF(Y14:Y213,"&gt;0")</f>
        <v>1</v>
      </c>
      <c r="M7" s="48"/>
      <c r="N7" s="98" t="s">
        <v>154</v>
      </c>
      <c r="O7" s="99" t="s">
        <v>154</v>
      </c>
      <c r="P7" s="99" t="s">
        <v>154</v>
      </c>
      <c r="Q7" s="99" t="s">
        <v>154</v>
      </c>
      <c r="R7" s="99" t="s">
        <v>154</v>
      </c>
      <c r="S7" s="99" t="s">
        <v>154</v>
      </c>
      <c r="T7" s="99" t="s">
        <v>154</v>
      </c>
      <c r="U7" s="99" t="s">
        <v>154</v>
      </c>
      <c r="V7" s="99" t="s">
        <v>154</v>
      </c>
      <c r="W7" s="99" t="s">
        <v>154</v>
      </c>
      <c r="X7" s="99" t="s">
        <v>154</v>
      </c>
      <c r="Y7" s="99" t="s">
        <v>154</v>
      </c>
      <c r="Z7" s="119" t="s">
        <v>154</v>
      </c>
    </row>
    <row r="8" spans="1:26">
      <c r="A8" s="53" t="s">
        <v>92</v>
      </c>
      <c r="B8" s="54"/>
      <c r="C8" s="55">
        <v>2</v>
      </c>
      <c r="D8" s="56"/>
      <c r="E8" s="48"/>
      <c r="F8" s="74" t="s">
        <v>158</v>
      </c>
      <c r="G8" s="75"/>
      <c r="H8" s="76">
        <f>SUM(Y14:Y213)</f>
        <v>31895.2622</v>
      </c>
      <c r="I8" s="48"/>
      <c r="J8" s="74" t="s">
        <v>159</v>
      </c>
      <c r="K8" s="86"/>
      <c r="L8" s="87">
        <f>COUNTIF(Y14:Y213,"&lt;0")</f>
        <v>0</v>
      </c>
      <c r="M8" s="48"/>
      <c r="N8" s="98" t="s">
        <v>154</v>
      </c>
      <c r="O8" s="99" t="s">
        <v>154</v>
      </c>
      <c r="P8" s="99" t="s">
        <v>154</v>
      </c>
      <c r="Q8" s="99" t="s">
        <v>154</v>
      </c>
      <c r="R8" s="99" t="s">
        <v>154</v>
      </c>
      <c r="S8" s="99" t="s">
        <v>154</v>
      </c>
      <c r="T8" s="99" t="s">
        <v>154</v>
      </c>
      <c r="U8" s="99" t="s">
        <v>154</v>
      </c>
      <c r="V8" s="99" t="s">
        <v>154</v>
      </c>
      <c r="W8" s="99" t="s">
        <v>154</v>
      </c>
      <c r="X8" s="99" t="s">
        <v>154</v>
      </c>
      <c r="Y8" s="99" t="s">
        <v>154</v>
      </c>
      <c r="Z8" s="119" t="s">
        <v>154</v>
      </c>
    </row>
    <row r="9" ht="17.55" spans="1:26">
      <c r="A9" s="57" t="s">
        <v>160</v>
      </c>
      <c r="B9" s="58"/>
      <c r="C9" s="59">
        <v>10</v>
      </c>
      <c r="D9" s="60"/>
      <c r="E9" s="48"/>
      <c r="F9" s="74" t="s">
        <v>161</v>
      </c>
      <c r="G9" s="75"/>
      <c r="H9" s="77" t="str">
        <f>IF(OR(H7="",H7&lt;=0),"",H8/H7)</f>
        <v/>
      </c>
      <c r="I9" s="48"/>
      <c r="J9" s="74" t="s">
        <v>162</v>
      </c>
      <c r="K9" s="86"/>
      <c r="L9" s="88">
        <f>IF(H10=0,"",L7/H10)</f>
        <v>1</v>
      </c>
      <c r="M9" s="48"/>
      <c r="N9" s="100" t="s">
        <v>154</v>
      </c>
      <c r="O9" s="101" t="s">
        <v>154</v>
      </c>
      <c r="P9" s="101" t="s">
        <v>154</v>
      </c>
      <c r="Q9" s="101" t="s">
        <v>154</v>
      </c>
      <c r="R9" s="101" t="s">
        <v>154</v>
      </c>
      <c r="S9" s="101" t="s">
        <v>154</v>
      </c>
      <c r="T9" s="101" t="s">
        <v>154</v>
      </c>
      <c r="U9" s="101" t="s">
        <v>154</v>
      </c>
      <c r="V9" s="101" t="s">
        <v>154</v>
      </c>
      <c r="W9" s="101" t="s">
        <v>154</v>
      </c>
      <c r="X9" s="101" t="s">
        <v>154</v>
      </c>
      <c r="Y9" s="101" t="s">
        <v>154</v>
      </c>
      <c r="Z9" s="120" t="s">
        <v>154</v>
      </c>
    </row>
    <row r="10" spans="1:26">
      <c r="A10" s="48"/>
      <c r="B10" s="48"/>
      <c r="C10" s="48"/>
      <c r="D10" s="48"/>
      <c r="E10" s="48"/>
      <c r="F10" s="78" t="s">
        <v>15</v>
      </c>
      <c r="G10" s="79"/>
      <c r="H10" s="80">
        <f>COUNT(Y14:Y213)</f>
        <v>1</v>
      </c>
      <c r="I10" s="48"/>
      <c r="J10" s="78" t="s">
        <v>163</v>
      </c>
      <c r="K10" s="89"/>
      <c r="L10" s="90">
        <f>MAX(0,COUNTA(D14:D213)-H10)</f>
        <v>1</v>
      </c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7.55" spans="1:26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17.55" spans="1:26">
      <c r="A12" s="61" t="s">
        <v>164</v>
      </c>
      <c r="B12" s="62" t="s">
        <v>164</v>
      </c>
      <c r="C12" s="62" t="s">
        <v>164</v>
      </c>
      <c r="D12" s="62" t="s">
        <v>164</v>
      </c>
      <c r="E12" s="62" t="s">
        <v>164</v>
      </c>
      <c r="F12" s="62" t="s">
        <v>164</v>
      </c>
      <c r="G12" s="62" t="s">
        <v>164</v>
      </c>
      <c r="H12" s="81" t="s">
        <v>164</v>
      </c>
      <c r="I12" s="91" t="s">
        <v>165</v>
      </c>
      <c r="J12" s="92" t="s">
        <v>165</v>
      </c>
      <c r="K12" s="92" t="s">
        <v>165</v>
      </c>
      <c r="L12" s="92" t="s">
        <v>165</v>
      </c>
      <c r="M12" s="92" t="s">
        <v>165</v>
      </c>
      <c r="N12" s="92" t="s">
        <v>165</v>
      </c>
      <c r="O12" s="92" t="s">
        <v>165</v>
      </c>
      <c r="P12" s="92" t="s">
        <v>165</v>
      </c>
      <c r="Q12" s="92" t="s">
        <v>165</v>
      </c>
      <c r="R12" s="92" t="s">
        <v>165</v>
      </c>
      <c r="S12" s="92" t="s">
        <v>165</v>
      </c>
      <c r="T12" s="102" t="s">
        <v>165</v>
      </c>
      <c r="U12" s="106" t="s">
        <v>166</v>
      </c>
      <c r="V12" s="107" t="s">
        <v>166</v>
      </c>
      <c r="W12" s="107" t="s">
        <v>166</v>
      </c>
      <c r="X12" s="108" t="s">
        <v>166</v>
      </c>
      <c r="Y12" s="121" t="s">
        <v>167</v>
      </c>
      <c r="Z12" s="122" t="s">
        <v>167</v>
      </c>
    </row>
    <row r="13" ht="54" customHeight="1" spans="1:26">
      <c r="A13" s="63" t="s">
        <v>168</v>
      </c>
      <c r="B13" s="63" t="s">
        <v>52</v>
      </c>
      <c r="C13" s="63" t="s">
        <v>74</v>
      </c>
      <c r="D13" s="63" t="s">
        <v>169</v>
      </c>
      <c r="E13" s="63" t="s">
        <v>67</v>
      </c>
      <c r="F13" s="63" t="s">
        <v>68</v>
      </c>
      <c r="G13" s="63" t="s">
        <v>69</v>
      </c>
      <c r="H13" s="63" t="s">
        <v>70</v>
      </c>
      <c r="I13" s="63" t="s">
        <v>170</v>
      </c>
      <c r="J13" s="63" t="s">
        <v>171</v>
      </c>
      <c r="K13" s="63" t="s">
        <v>172</v>
      </c>
      <c r="L13" s="63" t="s">
        <v>173</v>
      </c>
      <c r="M13" s="63" t="s">
        <v>174</v>
      </c>
      <c r="N13" s="63" t="s">
        <v>175</v>
      </c>
      <c r="O13" s="63" t="s">
        <v>176</v>
      </c>
      <c r="P13" s="63" t="s">
        <v>177</v>
      </c>
      <c r="Q13" s="63" t="s">
        <v>178</v>
      </c>
      <c r="R13" s="63" t="s">
        <v>179</v>
      </c>
      <c r="S13" s="63" t="s">
        <v>180</v>
      </c>
      <c r="T13" s="63" t="s">
        <v>181</v>
      </c>
      <c r="U13" s="63" t="s">
        <v>182</v>
      </c>
      <c r="V13" s="63" t="s">
        <v>183</v>
      </c>
      <c r="W13" s="63" t="s">
        <v>184</v>
      </c>
      <c r="X13" s="63" t="s">
        <v>185</v>
      </c>
      <c r="Y13" s="63" t="s">
        <v>186</v>
      </c>
      <c r="Z13" s="63" t="s">
        <v>187</v>
      </c>
    </row>
    <row r="14" ht="20" customHeight="1" spans="1:26">
      <c r="A14" s="64">
        <v>1</v>
      </c>
      <c r="B14" s="65">
        <v>46239</v>
      </c>
      <c r="C14" s="66" t="s">
        <v>43</v>
      </c>
      <c r="D14" s="67" t="s">
        <v>77</v>
      </c>
      <c r="E14" s="82">
        <v>145964.948</v>
      </c>
      <c r="F14" s="82">
        <v>148154.42222</v>
      </c>
      <c r="G14" s="82">
        <v>143775.47378</v>
      </c>
      <c r="H14" s="82">
        <v>143775.47378</v>
      </c>
      <c r="I14" s="93" t="str">
        <f t="shared" ref="I14:I77" si="0">IF(D14="Buy","Enter New 2DLL",IF(D14="Sell","Enter New 2DHH",""))</f>
        <v>Enter New 2DLL</v>
      </c>
      <c r="J14" s="82"/>
      <c r="K14" s="94">
        <f>IF(OR(D14="",E14=""),"",IF(J14="",G14,IF(D14="Buy",MROUND(MAX(E14*(1-Settings!$K$8),J14*(1-Settings!$K$6)),Settings!$K$10),MROUND(MIN(E14*(1+Settings!$K$8),J14*(1+Settings!$K$6)),Settings!$K$10))))</f>
        <v>143775.47378</v>
      </c>
      <c r="L14" s="95" t="str">
        <f t="shared" ref="L14:L77" si="1">IF(D14="Buy","Enter New 4DLL",IF(D14="Sell","Enter New 4DHH",""))</f>
        <v>Enter New 4DLL</v>
      </c>
      <c r="M14" s="82"/>
      <c r="N14" s="94">
        <f>IF(OR(D14="",E14=""),"",IF(M14="",H14,IF(D14="Buy",MROUND(MAX(E14*(1-Settings!$K$8),M14*(1-Settings!$K$6)),Settings!$K$10),MROUND(MIN(E14*(1+Settings!$K$8),M14*(1+Settings!$K$6)),Settings!$K$10))))</f>
        <v>143775.47378</v>
      </c>
      <c r="O14" s="95" t="str">
        <f t="shared" ref="O14:O77" si="2">IF(D14="Buy","Enter First 15-Minute Low",IF(D14="Sell","Enter First 15-Minute High",""))</f>
        <v>Enter First 15-Minute Low</v>
      </c>
      <c r="P14" s="82"/>
      <c r="Q14" s="94" t="str">
        <f>IF(OR(D14="",P14=""),"",IF(D14="Buy",MROUND(P14*(1-Settings!$K$6),Settings!$K$10),MROUND(P14*(1+Settings!$K$6),Settings!$K$10)))</f>
        <v/>
      </c>
      <c r="R14" s="95" t="str">
        <f t="shared" ref="R14:R77" si="3">IF(D14="Buy","Enter First 15-Minute Low",IF(D14="Sell","Enter First 15-Minute High",""))</f>
        <v>Enter First 15-Minute Low</v>
      </c>
      <c r="S14" s="82"/>
      <c r="T14" s="94" t="str">
        <f>IF(OR(D14="",S14=""),"",IF(D14="Buy",MROUND(S14*(1-Settings!$K$6),Settings!$K$10),MROUND(S14*(1+Settings!$K$6),Settings!$K$10)))</f>
        <v/>
      </c>
      <c r="U14" s="67" t="s">
        <v>188</v>
      </c>
      <c r="V14" s="109">
        <f t="shared" ref="V14:V77" si="4">IF(OR(D14="",E14="",U14="",$C$8="",$C$9=""),"",IF(U14="Target Hit",IF(F14="","",IF(D14="Buy",(F14-E14)*($C$8/2)*$C$9,(E14-F14)*($C$8/2)*$C$9)),IF(U14="Rollover",IF(Z14="","",IF(D14="Buy",(Z14-E14)*$C$8*$C$9,(E14-Z14)*$C$8*$C$9)),IF(U14="Stoploss 1 Hit",IF(K14="","",IF(D14="Buy",(K14-E14)*$C$8*$C$9,(E14-K14)*$C$8*$C$9)),IF(OR(AND(D14="Buy",U14="Gap Down Stoploss 1 Hit"),AND(D14="Sell",U14="Gap Up Stoploss 1 Hit")),IF(Q14="","",IF(D14="Buy",(Q14-E14)*$C$8*$C$9,(E14-Q14)*$C$8*$C$9)),"")))))</f>
        <v>21894.7422</v>
      </c>
      <c r="W14" s="110" t="s">
        <v>200</v>
      </c>
      <c r="X14" s="109">
        <f t="shared" ref="X14:X77" si="5">IF(OR(D14="",E14="",U14&lt;&gt;"Target Hit",W14="",$C$8="",$C$9=""),"",IF(W14="Stoploss 2 Hit",IF(N14="","",IF(D14="Buy",(N14-E14)*($C$8/2)*$C$9,(E14-N14)*($C$8/2)*$C$9)),IF(W14="Rollover",IF(Z14="","",IF(D14="Buy",(Z14-E14)*($C$8/2)*$C$9,(E14-Z14)*($C$8/2)*$C$9)),IF(OR(AND(D14="Buy",W14="Gap Down Stoploss 2 Hit"),AND(D14="Sell",W14="Gap Up Stoploss 2 Hit")),IF(T14="","",IF(D14="Buy",(T14-E14)*($C$8/2)*$C$9,(E14-T14)*($C$8/2)*$C$9)),""))))</f>
        <v>10000.52</v>
      </c>
      <c r="Y14" s="109">
        <f t="shared" ref="Y14:Y77" si="6">IF(AND(V14="",X14=""),"",SUM(V14,X14))</f>
        <v>31895.2622</v>
      </c>
      <c r="Z14" s="82">
        <v>146965</v>
      </c>
    </row>
    <row r="15" ht="20" customHeight="1" spans="1:26">
      <c r="A15" s="64">
        <v>2</v>
      </c>
      <c r="B15" s="65">
        <v>46261</v>
      </c>
      <c r="C15" s="66" t="s">
        <v>43</v>
      </c>
      <c r="D15" s="67" t="s">
        <v>79</v>
      </c>
      <c r="E15" s="82">
        <v>158921.0656</v>
      </c>
      <c r="F15" s="82">
        <v>156537.249616</v>
      </c>
      <c r="G15" s="82">
        <v>161304.881584</v>
      </c>
      <c r="H15" s="82">
        <v>161304.881584</v>
      </c>
      <c r="I15" s="93" t="str">
        <f t="shared" si="0"/>
        <v>Enter New 2DHH</v>
      </c>
      <c r="J15" s="82"/>
      <c r="K15" s="94">
        <f>IF(OR(D15="",E15=""),"",IF(J15="",G15,IF(D15="Buy",MROUND(MAX(E15*(1-Settings!$K$8),J15*(1-Settings!$K$6)),Settings!$K$10),MROUND(MIN(E15*(1+Settings!$K$8),J15*(1+Settings!$K$6)),Settings!$K$10))))</f>
        <v>161304.881584</v>
      </c>
      <c r="L15" s="95" t="str">
        <f t="shared" si="1"/>
        <v>Enter New 4DHH</v>
      </c>
      <c r="M15" s="82"/>
      <c r="N15" s="94">
        <f>IF(OR(D15="",E15=""),"",IF(M15="",H15,IF(D15="Buy",MROUND(MAX(E15*(1-Settings!$K$8),M15*(1-Settings!$K$6)),Settings!$K$10),MROUND(MIN(E15*(1+Settings!$K$8),M15*(1+Settings!$K$6)),Settings!$K$10))))</f>
        <v>161304.881584</v>
      </c>
      <c r="O15" s="95" t="str">
        <f t="shared" si="2"/>
        <v>Enter First 15-Minute High</v>
      </c>
      <c r="P15" s="82"/>
      <c r="Q15" s="94" t="str">
        <f>IF(OR(D15="",P15=""),"",IF(D15="Buy",MROUND(P15*(1-Settings!$K$6),Settings!$K$10),MROUND(P15*(1+Settings!$K$6),Settings!$K$10)))</f>
        <v/>
      </c>
      <c r="R15" s="95" t="str">
        <f t="shared" si="3"/>
        <v>Enter First 15-Minute High</v>
      </c>
      <c r="S15" s="82"/>
      <c r="T15" s="94" t="str">
        <f>IF(OR(D15="",S15=""),"",IF(D15="Buy",MROUND(S15*(1-Settings!$K$6),Settings!$K$10),MROUND(S15*(1+Settings!$K$6),Settings!$K$10)))</f>
        <v/>
      </c>
      <c r="U15" s="67"/>
      <c r="V15" s="109" t="str">
        <f t="shared" si="4"/>
        <v/>
      </c>
      <c r="W15" s="110"/>
      <c r="X15" s="109" t="str">
        <f t="shared" si="5"/>
        <v/>
      </c>
      <c r="Y15" s="109" t="str">
        <f t="shared" si="6"/>
        <v/>
      </c>
      <c r="Z15" s="82"/>
    </row>
    <row r="16" ht="20" customHeight="1" spans="1:26">
      <c r="A16" s="64">
        <v>3</v>
      </c>
      <c r="B16" s="65"/>
      <c r="C16" s="66"/>
      <c r="D16" s="67"/>
      <c r="E16" s="82"/>
      <c r="F16" s="82"/>
      <c r="G16" s="82"/>
      <c r="H16" s="82"/>
      <c r="I16" s="93" t="str">
        <f t="shared" si="0"/>
        <v/>
      </c>
      <c r="J16" s="82"/>
      <c r="K16" s="94" t="str">
        <f>IF(OR(D16="",E16=""),"",IF(J16="",G16,IF(D16="Buy",MROUND(MAX(E16*(1-Settings!$K$8),J16*(1-Settings!$K$6)),Settings!$K$10),MROUND(MIN(E16*(1+Settings!$K$8),J16*(1+Settings!$K$6)),Settings!$K$10))))</f>
        <v/>
      </c>
      <c r="L16" s="95" t="str">
        <f t="shared" si="1"/>
        <v/>
      </c>
      <c r="M16" s="82"/>
      <c r="N16" s="94" t="str">
        <f>IF(OR(D16="",E16=""),"",IF(M16="",H16,IF(D16="Buy",MROUND(MAX(E16*(1-Settings!$K$8),M16*(1-Settings!$K$6)),Settings!$K$10),MROUND(MIN(E16*(1+Settings!$K$8),M16*(1+Settings!$K$6)),Settings!$K$10))))</f>
        <v/>
      </c>
      <c r="O16" s="95" t="str">
        <f t="shared" si="2"/>
        <v/>
      </c>
      <c r="P16" s="82"/>
      <c r="Q16" s="94" t="str">
        <f>IF(OR(D16="",P16=""),"",IF(D16="Buy",MROUND(P16*(1-Settings!$K$6),Settings!$K$10),MROUND(P16*(1+Settings!$K$6),Settings!$K$10)))</f>
        <v/>
      </c>
      <c r="R16" s="95" t="str">
        <f t="shared" si="3"/>
        <v/>
      </c>
      <c r="S16" s="82"/>
      <c r="T16" s="94" t="str">
        <f>IF(OR(D16="",S16=""),"",IF(D16="Buy",MROUND(S16*(1-Settings!$K$6),Settings!$K$10),MROUND(S16*(1+Settings!$K$6),Settings!$K$10)))</f>
        <v/>
      </c>
      <c r="U16" s="67"/>
      <c r="V16" s="109" t="str">
        <f t="shared" si="4"/>
        <v/>
      </c>
      <c r="W16" s="110"/>
      <c r="X16" s="109" t="str">
        <f t="shared" si="5"/>
        <v/>
      </c>
      <c r="Y16" s="109" t="str">
        <f t="shared" si="6"/>
        <v/>
      </c>
      <c r="Z16" s="82"/>
    </row>
    <row r="17" ht="20" customHeight="1" spans="1:26">
      <c r="A17" s="64">
        <v>4</v>
      </c>
      <c r="B17" s="65"/>
      <c r="C17" s="66"/>
      <c r="D17" s="67"/>
      <c r="E17" s="82"/>
      <c r="F17" s="82"/>
      <c r="G17" s="82"/>
      <c r="H17" s="82"/>
      <c r="I17" s="93" t="str">
        <f t="shared" si="0"/>
        <v/>
      </c>
      <c r="J17" s="82"/>
      <c r="K17" s="94" t="str">
        <f>IF(OR(D17="",E17=""),"",IF(J17="",G17,IF(D17="Buy",MROUND(MAX(E17*(1-Settings!$K$8),J17*(1-Settings!$K$6)),Settings!$K$10),MROUND(MIN(E17*(1+Settings!$K$8),J17*(1+Settings!$K$6)),Settings!$K$10))))</f>
        <v/>
      </c>
      <c r="L17" s="95" t="str">
        <f t="shared" si="1"/>
        <v/>
      </c>
      <c r="M17" s="82"/>
      <c r="N17" s="94" t="str">
        <f>IF(OR(D17="",E17=""),"",IF(M17="",H17,IF(D17="Buy",MROUND(MAX(E17*(1-Settings!$K$8),M17*(1-Settings!$K$6)),Settings!$K$10),MROUND(MIN(E17*(1+Settings!$K$8),M17*(1+Settings!$K$6)),Settings!$K$10))))</f>
        <v/>
      </c>
      <c r="O17" s="95" t="str">
        <f t="shared" si="2"/>
        <v/>
      </c>
      <c r="P17" s="82"/>
      <c r="Q17" s="94" t="str">
        <f>IF(OR(D17="",P17=""),"",IF(D17="Buy",MROUND(P17*(1-Settings!$K$6),Settings!$K$10),MROUND(P17*(1+Settings!$K$6),Settings!$K$10)))</f>
        <v/>
      </c>
      <c r="R17" s="95" t="str">
        <f t="shared" si="3"/>
        <v/>
      </c>
      <c r="S17" s="82"/>
      <c r="T17" s="94" t="str">
        <f>IF(OR(D17="",S17=""),"",IF(D17="Buy",MROUND(S17*(1-Settings!$K$6),Settings!$K$10),MROUND(S17*(1+Settings!$K$6),Settings!$K$10)))</f>
        <v/>
      </c>
      <c r="U17" s="67"/>
      <c r="V17" s="109" t="str">
        <f t="shared" si="4"/>
        <v/>
      </c>
      <c r="W17" s="110"/>
      <c r="X17" s="109" t="str">
        <f t="shared" si="5"/>
        <v/>
      </c>
      <c r="Y17" s="109" t="str">
        <f t="shared" si="6"/>
        <v/>
      </c>
      <c r="Z17" s="82"/>
    </row>
    <row r="18" ht="20" customHeight="1" spans="1:26">
      <c r="A18" s="64">
        <v>5</v>
      </c>
      <c r="B18" s="65"/>
      <c r="C18" s="66"/>
      <c r="D18" s="67"/>
      <c r="E18" s="82"/>
      <c r="F18" s="82"/>
      <c r="G18" s="82"/>
      <c r="H18" s="82"/>
      <c r="I18" s="93" t="str">
        <f t="shared" si="0"/>
        <v/>
      </c>
      <c r="J18" s="82"/>
      <c r="K18" s="94" t="str">
        <f>IF(OR(D18="",E18=""),"",IF(J18="",G18,IF(D18="Buy",MROUND(MAX(E18*(1-Settings!$K$8),J18*(1-Settings!$K$6)),Settings!$K$10),MROUND(MIN(E18*(1+Settings!$K$8),J18*(1+Settings!$K$6)),Settings!$K$10))))</f>
        <v/>
      </c>
      <c r="L18" s="95" t="str">
        <f t="shared" si="1"/>
        <v/>
      </c>
      <c r="M18" s="82"/>
      <c r="N18" s="94" t="str">
        <f>IF(OR(D18="",E18=""),"",IF(M18="",H18,IF(D18="Buy",MROUND(MAX(E18*(1-Settings!$K$8),M18*(1-Settings!$K$6)),Settings!$K$10),MROUND(MIN(E18*(1+Settings!$K$8),M18*(1+Settings!$K$6)),Settings!$K$10))))</f>
        <v/>
      </c>
      <c r="O18" s="95" t="str">
        <f t="shared" si="2"/>
        <v/>
      </c>
      <c r="P18" s="82"/>
      <c r="Q18" s="94" t="str">
        <f>IF(OR(D18="",P18=""),"",IF(D18="Buy",MROUND(P18*(1-Settings!$K$6),Settings!$K$10),MROUND(P18*(1+Settings!$K$6),Settings!$K$10)))</f>
        <v/>
      </c>
      <c r="R18" s="95" t="str">
        <f t="shared" si="3"/>
        <v/>
      </c>
      <c r="S18" s="82"/>
      <c r="T18" s="94" t="str">
        <f>IF(OR(D18="",S18=""),"",IF(D18="Buy",MROUND(S18*(1-Settings!$K$6),Settings!$K$10),MROUND(S18*(1+Settings!$K$6),Settings!$K$10)))</f>
        <v/>
      </c>
      <c r="U18" s="67"/>
      <c r="V18" s="109" t="str">
        <f t="shared" si="4"/>
        <v/>
      </c>
      <c r="W18" s="110"/>
      <c r="X18" s="109" t="str">
        <f t="shared" si="5"/>
        <v/>
      </c>
      <c r="Y18" s="109" t="str">
        <f t="shared" si="6"/>
        <v/>
      </c>
      <c r="Z18" s="82"/>
    </row>
    <row r="19" ht="20" customHeight="1" spans="1:26">
      <c r="A19" s="64">
        <v>6</v>
      </c>
      <c r="B19" s="65"/>
      <c r="C19" s="66"/>
      <c r="D19" s="67"/>
      <c r="E19" s="82"/>
      <c r="F19" s="82"/>
      <c r="G19" s="82"/>
      <c r="H19" s="82"/>
      <c r="I19" s="93" t="str">
        <f t="shared" si="0"/>
        <v/>
      </c>
      <c r="J19" s="82"/>
      <c r="K19" s="94" t="str">
        <f>IF(OR(D19="",E19=""),"",IF(J19="",G19,IF(D19="Buy",MROUND(MAX(E19*(1-Settings!$K$8),J19*(1-Settings!$K$6)),Settings!$K$10),MROUND(MIN(E19*(1+Settings!$K$8),J19*(1+Settings!$K$6)),Settings!$K$10))))</f>
        <v/>
      </c>
      <c r="L19" s="95" t="str">
        <f t="shared" si="1"/>
        <v/>
      </c>
      <c r="M19" s="82"/>
      <c r="N19" s="94" t="str">
        <f>IF(OR(D19="",E19=""),"",IF(M19="",H19,IF(D19="Buy",MROUND(MAX(E19*(1-Settings!$K$8),M19*(1-Settings!$K$6)),Settings!$K$10),MROUND(MIN(E19*(1+Settings!$K$8),M19*(1+Settings!$K$6)),Settings!$K$10))))</f>
        <v/>
      </c>
      <c r="O19" s="95" t="str">
        <f t="shared" si="2"/>
        <v/>
      </c>
      <c r="P19" s="82"/>
      <c r="Q19" s="94" t="str">
        <f>IF(OR(D19="",P19=""),"",IF(D19="Buy",MROUND(P19*(1-Settings!$K$6),Settings!$K$10),MROUND(P19*(1+Settings!$K$6),Settings!$K$10)))</f>
        <v/>
      </c>
      <c r="R19" s="95" t="str">
        <f t="shared" si="3"/>
        <v/>
      </c>
      <c r="S19" s="82"/>
      <c r="T19" s="94" t="str">
        <f>IF(OR(D19="",S19=""),"",IF(D19="Buy",MROUND(S19*(1-Settings!$K$6),Settings!$K$10),MROUND(S19*(1+Settings!$K$6),Settings!$K$10)))</f>
        <v/>
      </c>
      <c r="U19" s="67"/>
      <c r="V19" s="109" t="str">
        <f t="shared" si="4"/>
        <v/>
      </c>
      <c r="W19" s="110"/>
      <c r="X19" s="109" t="str">
        <f t="shared" si="5"/>
        <v/>
      </c>
      <c r="Y19" s="109" t="str">
        <f t="shared" si="6"/>
        <v/>
      </c>
      <c r="Z19" s="82"/>
    </row>
    <row r="20" ht="20" customHeight="1" spans="1:26">
      <c r="A20" s="64">
        <v>7</v>
      </c>
      <c r="B20" s="65"/>
      <c r="C20" s="66"/>
      <c r="D20" s="67"/>
      <c r="E20" s="82"/>
      <c r="F20" s="82"/>
      <c r="G20" s="82"/>
      <c r="H20" s="82"/>
      <c r="I20" s="93" t="str">
        <f t="shared" si="0"/>
        <v/>
      </c>
      <c r="J20" s="82"/>
      <c r="K20" s="94" t="str">
        <f>IF(OR(D20="",E20=""),"",IF(J20="",G20,IF(D20="Buy",MROUND(MAX(E20*(1-Settings!$K$8),J20*(1-Settings!$K$6)),Settings!$K$10),MROUND(MIN(E20*(1+Settings!$K$8),J20*(1+Settings!$K$6)),Settings!$K$10))))</f>
        <v/>
      </c>
      <c r="L20" s="95" t="str">
        <f t="shared" si="1"/>
        <v/>
      </c>
      <c r="M20" s="82"/>
      <c r="N20" s="94" t="str">
        <f>IF(OR(D20="",E20=""),"",IF(M20="",H20,IF(D20="Buy",MROUND(MAX(E20*(1-Settings!$K$8),M20*(1-Settings!$K$6)),Settings!$K$10),MROUND(MIN(E20*(1+Settings!$K$8),M20*(1+Settings!$K$6)),Settings!$K$10))))</f>
        <v/>
      </c>
      <c r="O20" s="95" t="str">
        <f t="shared" si="2"/>
        <v/>
      </c>
      <c r="P20" s="82"/>
      <c r="Q20" s="94" t="str">
        <f>IF(OR(D20="",P20=""),"",IF(D20="Buy",MROUND(P20*(1-Settings!$K$6),Settings!$K$10),MROUND(P20*(1+Settings!$K$6),Settings!$K$10)))</f>
        <v/>
      </c>
      <c r="R20" s="95" t="str">
        <f t="shared" si="3"/>
        <v/>
      </c>
      <c r="S20" s="82"/>
      <c r="T20" s="94" t="str">
        <f>IF(OR(D20="",S20=""),"",IF(D20="Buy",MROUND(S20*(1-Settings!$K$6),Settings!$K$10),MROUND(S20*(1+Settings!$K$6),Settings!$K$10)))</f>
        <v/>
      </c>
      <c r="U20" s="67"/>
      <c r="V20" s="109" t="str">
        <f t="shared" si="4"/>
        <v/>
      </c>
      <c r="W20" s="110"/>
      <c r="X20" s="109" t="str">
        <f t="shared" si="5"/>
        <v/>
      </c>
      <c r="Y20" s="109" t="str">
        <f t="shared" si="6"/>
        <v/>
      </c>
      <c r="Z20" s="82"/>
    </row>
    <row r="21" ht="20" customHeight="1" spans="1:26">
      <c r="A21" s="64">
        <v>8</v>
      </c>
      <c r="B21" s="65"/>
      <c r="C21" s="66"/>
      <c r="D21" s="67"/>
      <c r="E21" s="82"/>
      <c r="F21" s="82"/>
      <c r="G21" s="82"/>
      <c r="H21" s="82"/>
      <c r="I21" s="93" t="str">
        <f t="shared" si="0"/>
        <v/>
      </c>
      <c r="J21" s="82"/>
      <c r="K21" s="94" t="str">
        <f>IF(OR(D21="",E21=""),"",IF(J21="",G21,IF(D21="Buy",MROUND(MAX(E21*(1-Settings!$K$8),J21*(1-Settings!$K$6)),Settings!$K$10),MROUND(MIN(E21*(1+Settings!$K$8),J21*(1+Settings!$K$6)),Settings!$K$10))))</f>
        <v/>
      </c>
      <c r="L21" s="95" t="str">
        <f t="shared" si="1"/>
        <v/>
      </c>
      <c r="M21" s="82"/>
      <c r="N21" s="94" t="str">
        <f>IF(OR(D21="",E21=""),"",IF(M21="",H21,IF(D21="Buy",MROUND(MAX(E21*(1-Settings!$K$8),M21*(1-Settings!$K$6)),Settings!$K$10),MROUND(MIN(E21*(1+Settings!$K$8),M21*(1+Settings!$K$6)),Settings!$K$10))))</f>
        <v/>
      </c>
      <c r="O21" s="95" t="str">
        <f t="shared" si="2"/>
        <v/>
      </c>
      <c r="P21" s="82"/>
      <c r="Q21" s="94" t="str">
        <f>IF(OR(D21="",P21=""),"",IF(D21="Buy",MROUND(P21*(1-Settings!$K$6),Settings!$K$10),MROUND(P21*(1+Settings!$K$6),Settings!$K$10)))</f>
        <v/>
      </c>
      <c r="R21" s="95" t="str">
        <f t="shared" si="3"/>
        <v/>
      </c>
      <c r="S21" s="82"/>
      <c r="T21" s="94" t="str">
        <f>IF(OR(D21="",S21=""),"",IF(D21="Buy",MROUND(S21*(1-Settings!$K$6),Settings!$K$10),MROUND(S21*(1+Settings!$K$6),Settings!$K$10)))</f>
        <v/>
      </c>
      <c r="U21" s="67"/>
      <c r="V21" s="109" t="str">
        <f t="shared" si="4"/>
        <v/>
      </c>
      <c r="W21" s="110"/>
      <c r="X21" s="109" t="str">
        <f t="shared" si="5"/>
        <v/>
      </c>
      <c r="Y21" s="109" t="str">
        <f t="shared" si="6"/>
        <v/>
      </c>
      <c r="Z21" s="82"/>
    </row>
    <row r="22" ht="20" customHeight="1" spans="1:26">
      <c r="A22" s="64">
        <v>9</v>
      </c>
      <c r="B22" s="65"/>
      <c r="C22" s="66"/>
      <c r="D22" s="67"/>
      <c r="E22" s="82"/>
      <c r="F22" s="82"/>
      <c r="G22" s="82"/>
      <c r="H22" s="82"/>
      <c r="I22" s="93" t="str">
        <f t="shared" si="0"/>
        <v/>
      </c>
      <c r="J22" s="82"/>
      <c r="K22" s="94" t="str">
        <f>IF(OR(D22="",E22=""),"",IF(J22="",G22,IF(D22="Buy",MROUND(MAX(E22*(1-Settings!$K$8),J22*(1-Settings!$K$6)),Settings!$K$10),MROUND(MIN(E22*(1+Settings!$K$8),J22*(1+Settings!$K$6)),Settings!$K$10))))</f>
        <v/>
      </c>
      <c r="L22" s="95" t="str">
        <f t="shared" si="1"/>
        <v/>
      </c>
      <c r="M22" s="82"/>
      <c r="N22" s="94" t="str">
        <f>IF(OR(D22="",E22=""),"",IF(M22="",H22,IF(D22="Buy",MROUND(MAX(E22*(1-Settings!$K$8),M22*(1-Settings!$K$6)),Settings!$K$10),MROUND(MIN(E22*(1+Settings!$K$8),M22*(1+Settings!$K$6)),Settings!$K$10))))</f>
        <v/>
      </c>
      <c r="O22" s="95" t="str">
        <f t="shared" si="2"/>
        <v/>
      </c>
      <c r="P22" s="82"/>
      <c r="Q22" s="94" t="str">
        <f>IF(OR(D22="",P22=""),"",IF(D22="Buy",MROUND(P22*(1-Settings!$K$6),Settings!$K$10),MROUND(P22*(1+Settings!$K$6),Settings!$K$10)))</f>
        <v/>
      </c>
      <c r="R22" s="95" t="str">
        <f t="shared" si="3"/>
        <v/>
      </c>
      <c r="S22" s="82"/>
      <c r="T22" s="94" t="str">
        <f>IF(OR(D22="",S22=""),"",IF(D22="Buy",MROUND(S22*(1-Settings!$K$6),Settings!$K$10),MROUND(S22*(1+Settings!$K$6),Settings!$K$10)))</f>
        <v/>
      </c>
      <c r="U22" s="67"/>
      <c r="V22" s="109" t="str">
        <f t="shared" si="4"/>
        <v/>
      </c>
      <c r="W22" s="110"/>
      <c r="X22" s="109" t="str">
        <f t="shared" si="5"/>
        <v/>
      </c>
      <c r="Y22" s="109" t="str">
        <f t="shared" si="6"/>
        <v/>
      </c>
      <c r="Z22" s="82"/>
    </row>
    <row r="23" ht="20" customHeight="1" spans="1:26">
      <c r="A23" s="64">
        <v>10</v>
      </c>
      <c r="B23" s="65"/>
      <c r="C23" s="66"/>
      <c r="D23" s="67"/>
      <c r="E23" s="82"/>
      <c r="F23" s="82"/>
      <c r="G23" s="82"/>
      <c r="H23" s="82"/>
      <c r="I23" s="93" t="str">
        <f t="shared" si="0"/>
        <v/>
      </c>
      <c r="J23" s="82"/>
      <c r="K23" s="94" t="str">
        <f>IF(OR(D23="",E23=""),"",IF(J23="",G23,IF(D23="Buy",MROUND(MAX(E23*(1-Settings!$K$8),J23*(1-Settings!$K$6)),Settings!$K$10),MROUND(MIN(E23*(1+Settings!$K$8),J23*(1+Settings!$K$6)),Settings!$K$10))))</f>
        <v/>
      </c>
      <c r="L23" s="95" t="str">
        <f t="shared" si="1"/>
        <v/>
      </c>
      <c r="M23" s="82"/>
      <c r="N23" s="94" t="str">
        <f>IF(OR(D23="",E23=""),"",IF(M23="",H23,IF(D23="Buy",MROUND(MAX(E23*(1-Settings!$K$8),M23*(1-Settings!$K$6)),Settings!$K$10),MROUND(MIN(E23*(1+Settings!$K$8),M23*(1+Settings!$K$6)),Settings!$K$10))))</f>
        <v/>
      </c>
      <c r="O23" s="95" t="str">
        <f t="shared" si="2"/>
        <v/>
      </c>
      <c r="P23" s="82"/>
      <c r="Q23" s="94" t="str">
        <f>IF(OR(D23="",P23=""),"",IF(D23="Buy",MROUND(P23*(1-Settings!$K$6),Settings!$K$10),MROUND(P23*(1+Settings!$K$6),Settings!$K$10)))</f>
        <v/>
      </c>
      <c r="R23" s="95" t="str">
        <f t="shared" si="3"/>
        <v/>
      </c>
      <c r="S23" s="82"/>
      <c r="T23" s="94" t="str">
        <f>IF(OR(D23="",S23=""),"",IF(D23="Buy",MROUND(S23*(1-Settings!$K$6),Settings!$K$10),MROUND(S23*(1+Settings!$K$6),Settings!$K$10)))</f>
        <v/>
      </c>
      <c r="U23" s="67"/>
      <c r="V23" s="109" t="str">
        <f t="shared" si="4"/>
        <v/>
      </c>
      <c r="W23" s="110"/>
      <c r="X23" s="109" t="str">
        <f t="shared" si="5"/>
        <v/>
      </c>
      <c r="Y23" s="109" t="str">
        <f t="shared" si="6"/>
        <v/>
      </c>
      <c r="Z23" s="82"/>
    </row>
    <row r="24" ht="20" customHeight="1" spans="1:26">
      <c r="A24" s="64">
        <v>11</v>
      </c>
      <c r="B24" s="65"/>
      <c r="C24" s="66"/>
      <c r="D24" s="67"/>
      <c r="E24" s="82"/>
      <c r="F24" s="82"/>
      <c r="G24" s="82"/>
      <c r="H24" s="82"/>
      <c r="I24" s="93" t="str">
        <f t="shared" si="0"/>
        <v/>
      </c>
      <c r="J24" s="82"/>
      <c r="K24" s="94" t="str">
        <f>IF(OR(D24="",E24=""),"",IF(J24="",G24,IF(D24="Buy",MROUND(MAX(E24*(1-Settings!$K$8),J24*(1-Settings!$K$6)),Settings!$K$10),MROUND(MIN(E24*(1+Settings!$K$8),J24*(1+Settings!$K$6)),Settings!$K$10))))</f>
        <v/>
      </c>
      <c r="L24" s="95" t="str">
        <f t="shared" si="1"/>
        <v/>
      </c>
      <c r="M24" s="82"/>
      <c r="N24" s="94" t="str">
        <f>IF(OR(D24="",E24=""),"",IF(M24="",H24,IF(D24="Buy",MROUND(MAX(E24*(1-Settings!$K$8),M24*(1-Settings!$K$6)),Settings!$K$10),MROUND(MIN(E24*(1+Settings!$K$8),M24*(1+Settings!$K$6)),Settings!$K$10))))</f>
        <v/>
      </c>
      <c r="O24" s="95" t="str">
        <f t="shared" si="2"/>
        <v/>
      </c>
      <c r="P24" s="82"/>
      <c r="Q24" s="94" t="str">
        <f>IF(OR(D24="",P24=""),"",IF(D24="Buy",MROUND(P24*(1-Settings!$K$6),Settings!$K$10),MROUND(P24*(1+Settings!$K$6),Settings!$K$10)))</f>
        <v/>
      </c>
      <c r="R24" s="95" t="str">
        <f t="shared" si="3"/>
        <v/>
      </c>
      <c r="S24" s="82"/>
      <c r="T24" s="94" t="str">
        <f>IF(OR(D24="",S24=""),"",IF(D24="Buy",MROUND(S24*(1-Settings!$K$6),Settings!$K$10),MROUND(S24*(1+Settings!$K$6),Settings!$K$10)))</f>
        <v/>
      </c>
      <c r="U24" s="67"/>
      <c r="V24" s="109" t="str">
        <f t="shared" si="4"/>
        <v/>
      </c>
      <c r="W24" s="110"/>
      <c r="X24" s="109" t="str">
        <f t="shared" si="5"/>
        <v/>
      </c>
      <c r="Y24" s="109" t="str">
        <f t="shared" si="6"/>
        <v/>
      </c>
      <c r="Z24" s="82"/>
    </row>
    <row r="25" ht="20" customHeight="1" spans="1:26">
      <c r="A25" s="64">
        <v>12</v>
      </c>
      <c r="B25" s="65"/>
      <c r="C25" s="66"/>
      <c r="D25" s="67"/>
      <c r="E25" s="82"/>
      <c r="F25" s="82"/>
      <c r="G25" s="82"/>
      <c r="H25" s="82"/>
      <c r="I25" s="93" t="str">
        <f t="shared" si="0"/>
        <v/>
      </c>
      <c r="J25" s="82"/>
      <c r="K25" s="94" t="str">
        <f>IF(OR(D25="",E25=""),"",IF(J25="",G25,IF(D25="Buy",MROUND(MAX(E25*(1-Settings!$K$8),J25*(1-Settings!$K$6)),Settings!$K$10),MROUND(MIN(E25*(1+Settings!$K$8),J25*(1+Settings!$K$6)),Settings!$K$10))))</f>
        <v/>
      </c>
      <c r="L25" s="95" t="str">
        <f t="shared" si="1"/>
        <v/>
      </c>
      <c r="M25" s="82"/>
      <c r="N25" s="94" t="str">
        <f>IF(OR(D25="",E25=""),"",IF(M25="",H25,IF(D25="Buy",MROUND(MAX(E25*(1-Settings!$K$8),M25*(1-Settings!$K$6)),Settings!$K$10),MROUND(MIN(E25*(1+Settings!$K$8),M25*(1+Settings!$K$6)),Settings!$K$10))))</f>
        <v/>
      </c>
      <c r="O25" s="95" t="str">
        <f t="shared" si="2"/>
        <v/>
      </c>
      <c r="P25" s="82"/>
      <c r="Q25" s="94" t="str">
        <f>IF(OR(D25="",P25=""),"",IF(D25="Buy",MROUND(P25*(1-Settings!$K$6),Settings!$K$10),MROUND(P25*(1+Settings!$K$6),Settings!$K$10)))</f>
        <v/>
      </c>
      <c r="R25" s="95" t="str">
        <f t="shared" si="3"/>
        <v/>
      </c>
      <c r="S25" s="82"/>
      <c r="T25" s="94" t="str">
        <f>IF(OR(D25="",S25=""),"",IF(D25="Buy",MROUND(S25*(1-Settings!$K$6),Settings!$K$10),MROUND(S25*(1+Settings!$K$6),Settings!$K$10)))</f>
        <v/>
      </c>
      <c r="U25" s="67"/>
      <c r="V25" s="109" t="str">
        <f t="shared" si="4"/>
        <v/>
      </c>
      <c r="W25" s="110"/>
      <c r="X25" s="109" t="str">
        <f t="shared" si="5"/>
        <v/>
      </c>
      <c r="Y25" s="109" t="str">
        <f t="shared" si="6"/>
        <v/>
      </c>
      <c r="Z25" s="82"/>
    </row>
    <row r="26" ht="20" customHeight="1" spans="1:26">
      <c r="A26" s="64">
        <v>13</v>
      </c>
      <c r="B26" s="65"/>
      <c r="C26" s="66"/>
      <c r="D26" s="67"/>
      <c r="E26" s="82"/>
      <c r="F26" s="82"/>
      <c r="G26" s="82"/>
      <c r="H26" s="82"/>
      <c r="I26" s="93" t="str">
        <f t="shared" si="0"/>
        <v/>
      </c>
      <c r="J26" s="82"/>
      <c r="K26" s="94" t="str">
        <f>IF(OR(D26="",E26=""),"",IF(J26="",G26,IF(D26="Buy",MROUND(MAX(E26*(1-Settings!$K$8),J26*(1-Settings!$K$6)),Settings!$K$10),MROUND(MIN(E26*(1+Settings!$K$8),J26*(1+Settings!$K$6)),Settings!$K$10))))</f>
        <v/>
      </c>
      <c r="L26" s="95" t="str">
        <f t="shared" si="1"/>
        <v/>
      </c>
      <c r="M26" s="82"/>
      <c r="N26" s="94" t="str">
        <f>IF(OR(D26="",E26=""),"",IF(M26="",H26,IF(D26="Buy",MROUND(MAX(E26*(1-Settings!$K$8),M26*(1-Settings!$K$6)),Settings!$K$10),MROUND(MIN(E26*(1+Settings!$K$8),M26*(1+Settings!$K$6)),Settings!$K$10))))</f>
        <v/>
      </c>
      <c r="O26" s="95" t="str">
        <f t="shared" si="2"/>
        <v/>
      </c>
      <c r="P26" s="82"/>
      <c r="Q26" s="94" t="str">
        <f>IF(OR(D26="",P26=""),"",IF(D26="Buy",MROUND(P26*(1-Settings!$K$6),Settings!$K$10),MROUND(P26*(1+Settings!$K$6),Settings!$K$10)))</f>
        <v/>
      </c>
      <c r="R26" s="95" t="str">
        <f t="shared" si="3"/>
        <v/>
      </c>
      <c r="S26" s="82"/>
      <c r="T26" s="94" t="str">
        <f>IF(OR(D26="",S26=""),"",IF(D26="Buy",MROUND(S26*(1-Settings!$K$6),Settings!$K$10),MROUND(S26*(1+Settings!$K$6),Settings!$K$10)))</f>
        <v/>
      </c>
      <c r="U26" s="67"/>
      <c r="V26" s="109" t="str">
        <f t="shared" si="4"/>
        <v/>
      </c>
      <c r="W26" s="110"/>
      <c r="X26" s="109" t="str">
        <f t="shared" si="5"/>
        <v/>
      </c>
      <c r="Y26" s="109" t="str">
        <f t="shared" si="6"/>
        <v/>
      </c>
      <c r="Z26" s="82"/>
    </row>
    <row r="27" ht="20" customHeight="1" spans="1:26">
      <c r="A27" s="64">
        <v>14</v>
      </c>
      <c r="B27" s="65"/>
      <c r="C27" s="66"/>
      <c r="D27" s="67"/>
      <c r="E27" s="82"/>
      <c r="F27" s="82"/>
      <c r="G27" s="82"/>
      <c r="H27" s="82"/>
      <c r="I27" s="93" t="str">
        <f t="shared" si="0"/>
        <v/>
      </c>
      <c r="J27" s="82"/>
      <c r="K27" s="94" t="str">
        <f>IF(OR(D27="",E27=""),"",IF(J27="",G27,IF(D27="Buy",MROUND(MAX(E27*(1-Settings!$K$8),J27*(1-Settings!$K$6)),Settings!$K$10),MROUND(MIN(E27*(1+Settings!$K$8),J27*(1+Settings!$K$6)),Settings!$K$10))))</f>
        <v/>
      </c>
      <c r="L27" s="95" t="str">
        <f t="shared" si="1"/>
        <v/>
      </c>
      <c r="M27" s="82"/>
      <c r="N27" s="94" t="str">
        <f>IF(OR(D27="",E27=""),"",IF(M27="",H27,IF(D27="Buy",MROUND(MAX(E27*(1-Settings!$K$8),M27*(1-Settings!$K$6)),Settings!$K$10),MROUND(MIN(E27*(1+Settings!$K$8),M27*(1+Settings!$K$6)),Settings!$K$10))))</f>
        <v/>
      </c>
      <c r="O27" s="95" t="str">
        <f t="shared" si="2"/>
        <v/>
      </c>
      <c r="P27" s="82"/>
      <c r="Q27" s="94" t="str">
        <f>IF(OR(D27="",P27=""),"",IF(D27="Buy",MROUND(P27*(1-Settings!$K$6),Settings!$K$10),MROUND(P27*(1+Settings!$K$6),Settings!$K$10)))</f>
        <v/>
      </c>
      <c r="R27" s="95" t="str">
        <f t="shared" si="3"/>
        <v/>
      </c>
      <c r="S27" s="82"/>
      <c r="T27" s="94" t="str">
        <f>IF(OR(D27="",S27=""),"",IF(D27="Buy",MROUND(S27*(1-Settings!$K$6),Settings!$K$10),MROUND(S27*(1+Settings!$K$6),Settings!$K$10)))</f>
        <v/>
      </c>
      <c r="U27" s="67"/>
      <c r="V27" s="109" t="str">
        <f t="shared" si="4"/>
        <v/>
      </c>
      <c r="W27" s="110"/>
      <c r="X27" s="109" t="str">
        <f t="shared" si="5"/>
        <v/>
      </c>
      <c r="Y27" s="109" t="str">
        <f t="shared" si="6"/>
        <v/>
      </c>
      <c r="Z27" s="82"/>
    </row>
    <row r="28" ht="20" customHeight="1" spans="1:26">
      <c r="A28" s="64">
        <v>15</v>
      </c>
      <c r="B28" s="65"/>
      <c r="C28" s="66"/>
      <c r="D28" s="67"/>
      <c r="E28" s="82"/>
      <c r="F28" s="82"/>
      <c r="G28" s="82"/>
      <c r="H28" s="82"/>
      <c r="I28" s="93" t="str">
        <f t="shared" si="0"/>
        <v/>
      </c>
      <c r="J28" s="82"/>
      <c r="K28" s="94" t="str">
        <f>IF(OR(D28="",E28=""),"",IF(J28="",G28,IF(D28="Buy",MROUND(MAX(E28*(1-Settings!$K$8),J28*(1-Settings!$K$6)),Settings!$K$10),MROUND(MIN(E28*(1+Settings!$K$8),J28*(1+Settings!$K$6)),Settings!$K$10))))</f>
        <v/>
      </c>
      <c r="L28" s="95" t="str">
        <f t="shared" si="1"/>
        <v/>
      </c>
      <c r="M28" s="82"/>
      <c r="N28" s="94" t="str">
        <f>IF(OR(D28="",E28=""),"",IF(M28="",H28,IF(D28="Buy",MROUND(MAX(E28*(1-Settings!$K$8),M28*(1-Settings!$K$6)),Settings!$K$10),MROUND(MIN(E28*(1+Settings!$K$8),M28*(1+Settings!$K$6)),Settings!$K$10))))</f>
        <v/>
      </c>
      <c r="O28" s="95" t="str">
        <f t="shared" si="2"/>
        <v/>
      </c>
      <c r="P28" s="82"/>
      <c r="Q28" s="94" t="str">
        <f>IF(OR(D28="",P28=""),"",IF(D28="Buy",MROUND(P28*(1-Settings!$K$6),Settings!$K$10),MROUND(P28*(1+Settings!$K$6),Settings!$K$10)))</f>
        <v/>
      </c>
      <c r="R28" s="95" t="str">
        <f t="shared" si="3"/>
        <v/>
      </c>
      <c r="S28" s="82"/>
      <c r="T28" s="94" t="str">
        <f>IF(OR(D28="",S28=""),"",IF(D28="Buy",MROUND(S28*(1-Settings!$K$6),Settings!$K$10),MROUND(S28*(1+Settings!$K$6),Settings!$K$10)))</f>
        <v/>
      </c>
      <c r="U28" s="67"/>
      <c r="V28" s="109" t="str">
        <f t="shared" si="4"/>
        <v/>
      </c>
      <c r="W28" s="110"/>
      <c r="X28" s="109" t="str">
        <f t="shared" si="5"/>
        <v/>
      </c>
      <c r="Y28" s="109" t="str">
        <f t="shared" si="6"/>
        <v/>
      </c>
      <c r="Z28" s="82"/>
    </row>
    <row r="29" ht="20" customHeight="1" spans="1:26">
      <c r="A29" s="64">
        <v>16</v>
      </c>
      <c r="B29" s="65"/>
      <c r="C29" s="66"/>
      <c r="D29" s="67"/>
      <c r="E29" s="82"/>
      <c r="F29" s="82"/>
      <c r="G29" s="82"/>
      <c r="H29" s="82"/>
      <c r="I29" s="93" t="str">
        <f t="shared" si="0"/>
        <v/>
      </c>
      <c r="J29" s="82"/>
      <c r="K29" s="94" t="str">
        <f>IF(OR(D29="",E29=""),"",IF(J29="",G29,IF(D29="Buy",MROUND(MAX(E29*(1-Settings!$K$8),J29*(1-Settings!$K$6)),Settings!$K$10),MROUND(MIN(E29*(1+Settings!$K$8),J29*(1+Settings!$K$6)),Settings!$K$10))))</f>
        <v/>
      </c>
      <c r="L29" s="95" t="str">
        <f t="shared" si="1"/>
        <v/>
      </c>
      <c r="M29" s="82"/>
      <c r="N29" s="94" t="str">
        <f>IF(OR(D29="",E29=""),"",IF(M29="",H29,IF(D29="Buy",MROUND(MAX(E29*(1-Settings!$K$8),M29*(1-Settings!$K$6)),Settings!$K$10),MROUND(MIN(E29*(1+Settings!$K$8),M29*(1+Settings!$K$6)),Settings!$K$10))))</f>
        <v/>
      </c>
      <c r="O29" s="95" t="str">
        <f t="shared" si="2"/>
        <v/>
      </c>
      <c r="P29" s="82"/>
      <c r="Q29" s="94" t="str">
        <f>IF(OR(D29="",P29=""),"",IF(D29="Buy",MROUND(P29*(1-Settings!$K$6),Settings!$K$10),MROUND(P29*(1+Settings!$K$6),Settings!$K$10)))</f>
        <v/>
      </c>
      <c r="R29" s="95" t="str">
        <f t="shared" si="3"/>
        <v/>
      </c>
      <c r="S29" s="82"/>
      <c r="T29" s="94" t="str">
        <f>IF(OR(D29="",S29=""),"",IF(D29="Buy",MROUND(S29*(1-Settings!$K$6),Settings!$K$10),MROUND(S29*(1+Settings!$K$6),Settings!$K$10)))</f>
        <v/>
      </c>
      <c r="U29" s="67"/>
      <c r="V29" s="109" t="str">
        <f t="shared" si="4"/>
        <v/>
      </c>
      <c r="W29" s="110"/>
      <c r="X29" s="109" t="str">
        <f t="shared" si="5"/>
        <v/>
      </c>
      <c r="Y29" s="109" t="str">
        <f t="shared" si="6"/>
        <v/>
      </c>
      <c r="Z29" s="82"/>
    </row>
    <row r="30" ht="20" customHeight="1" spans="1:26">
      <c r="A30" s="64">
        <v>17</v>
      </c>
      <c r="B30" s="65"/>
      <c r="C30" s="66"/>
      <c r="D30" s="67"/>
      <c r="E30" s="82"/>
      <c r="F30" s="82"/>
      <c r="G30" s="82"/>
      <c r="H30" s="82"/>
      <c r="I30" s="93" t="str">
        <f t="shared" si="0"/>
        <v/>
      </c>
      <c r="J30" s="82"/>
      <c r="K30" s="94" t="str">
        <f>IF(OR(D30="",E30=""),"",IF(J30="",G30,IF(D30="Buy",MROUND(MAX(E30*(1-Settings!$K$8),J30*(1-Settings!$K$6)),Settings!$K$10),MROUND(MIN(E30*(1+Settings!$K$8),J30*(1+Settings!$K$6)),Settings!$K$10))))</f>
        <v/>
      </c>
      <c r="L30" s="95" t="str">
        <f t="shared" si="1"/>
        <v/>
      </c>
      <c r="M30" s="82"/>
      <c r="N30" s="94" t="str">
        <f>IF(OR(D30="",E30=""),"",IF(M30="",H30,IF(D30="Buy",MROUND(MAX(E30*(1-Settings!$K$8),M30*(1-Settings!$K$6)),Settings!$K$10),MROUND(MIN(E30*(1+Settings!$K$8),M30*(1+Settings!$K$6)),Settings!$K$10))))</f>
        <v/>
      </c>
      <c r="O30" s="95" t="str">
        <f t="shared" si="2"/>
        <v/>
      </c>
      <c r="P30" s="82"/>
      <c r="Q30" s="94" t="str">
        <f>IF(OR(D30="",P30=""),"",IF(D30="Buy",MROUND(P30*(1-Settings!$K$6),Settings!$K$10),MROUND(P30*(1+Settings!$K$6),Settings!$K$10)))</f>
        <v/>
      </c>
      <c r="R30" s="95" t="str">
        <f t="shared" si="3"/>
        <v/>
      </c>
      <c r="S30" s="82"/>
      <c r="T30" s="94" t="str">
        <f>IF(OR(D30="",S30=""),"",IF(D30="Buy",MROUND(S30*(1-Settings!$K$6),Settings!$K$10),MROUND(S30*(1+Settings!$K$6),Settings!$K$10)))</f>
        <v/>
      </c>
      <c r="U30" s="67"/>
      <c r="V30" s="109" t="str">
        <f t="shared" si="4"/>
        <v/>
      </c>
      <c r="W30" s="110"/>
      <c r="X30" s="109" t="str">
        <f t="shared" si="5"/>
        <v/>
      </c>
      <c r="Y30" s="109" t="str">
        <f t="shared" si="6"/>
        <v/>
      </c>
      <c r="Z30" s="82"/>
    </row>
    <row r="31" ht="20" customHeight="1" spans="1:26">
      <c r="A31" s="64">
        <v>18</v>
      </c>
      <c r="B31" s="65"/>
      <c r="C31" s="66"/>
      <c r="D31" s="67"/>
      <c r="E31" s="82"/>
      <c r="F31" s="82"/>
      <c r="G31" s="82"/>
      <c r="H31" s="82"/>
      <c r="I31" s="93" t="str">
        <f t="shared" si="0"/>
        <v/>
      </c>
      <c r="J31" s="82"/>
      <c r="K31" s="94" t="str">
        <f>IF(OR(D31="",E31=""),"",IF(J31="",G31,IF(D31="Buy",MROUND(MAX(E31*(1-Settings!$K$8),J31*(1-Settings!$K$6)),Settings!$K$10),MROUND(MIN(E31*(1+Settings!$K$8),J31*(1+Settings!$K$6)),Settings!$K$10))))</f>
        <v/>
      </c>
      <c r="L31" s="95" t="str">
        <f t="shared" si="1"/>
        <v/>
      </c>
      <c r="M31" s="82"/>
      <c r="N31" s="94" t="str">
        <f>IF(OR(D31="",E31=""),"",IF(M31="",H31,IF(D31="Buy",MROUND(MAX(E31*(1-Settings!$K$8),M31*(1-Settings!$K$6)),Settings!$K$10),MROUND(MIN(E31*(1+Settings!$K$8),M31*(1+Settings!$K$6)),Settings!$K$10))))</f>
        <v/>
      </c>
      <c r="O31" s="95" t="str">
        <f t="shared" si="2"/>
        <v/>
      </c>
      <c r="P31" s="82"/>
      <c r="Q31" s="94" t="str">
        <f>IF(OR(D31="",P31=""),"",IF(D31="Buy",MROUND(P31*(1-Settings!$K$6),Settings!$K$10),MROUND(P31*(1+Settings!$K$6),Settings!$K$10)))</f>
        <v/>
      </c>
      <c r="R31" s="95" t="str">
        <f t="shared" si="3"/>
        <v/>
      </c>
      <c r="S31" s="82"/>
      <c r="T31" s="94" t="str">
        <f>IF(OR(D31="",S31=""),"",IF(D31="Buy",MROUND(S31*(1-Settings!$K$6),Settings!$K$10),MROUND(S31*(1+Settings!$K$6),Settings!$K$10)))</f>
        <v/>
      </c>
      <c r="U31" s="67"/>
      <c r="V31" s="109" t="str">
        <f t="shared" si="4"/>
        <v/>
      </c>
      <c r="W31" s="110"/>
      <c r="X31" s="109" t="str">
        <f t="shared" si="5"/>
        <v/>
      </c>
      <c r="Y31" s="109" t="str">
        <f t="shared" si="6"/>
        <v/>
      </c>
      <c r="Z31" s="82"/>
    </row>
    <row r="32" ht="20" customHeight="1" spans="1:26">
      <c r="A32" s="64">
        <v>19</v>
      </c>
      <c r="B32" s="65"/>
      <c r="C32" s="66"/>
      <c r="D32" s="67"/>
      <c r="E32" s="82"/>
      <c r="F32" s="82"/>
      <c r="G32" s="82"/>
      <c r="H32" s="82"/>
      <c r="I32" s="93" t="str">
        <f t="shared" si="0"/>
        <v/>
      </c>
      <c r="J32" s="82"/>
      <c r="K32" s="94" t="str">
        <f>IF(OR(D32="",E32=""),"",IF(J32="",G32,IF(D32="Buy",MROUND(MAX(E32*(1-Settings!$K$8),J32*(1-Settings!$K$6)),Settings!$K$10),MROUND(MIN(E32*(1+Settings!$K$8),J32*(1+Settings!$K$6)),Settings!$K$10))))</f>
        <v/>
      </c>
      <c r="L32" s="95" t="str">
        <f t="shared" si="1"/>
        <v/>
      </c>
      <c r="M32" s="82"/>
      <c r="N32" s="94" t="str">
        <f>IF(OR(D32="",E32=""),"",IF(M32="",H32,IF(D32="Buy",MROUND(MAX(E32*(1-Settings!$K$8),M32*(1-Settings!$K$6)),Settings!$K$10),MROUND(MIN(E32*(1+Settings!$K$8),M32*(1+Settings!$K$6)),Settings!$K$10))))</f>
        <v/>
      </c>
      <c r="O32" s="95" t="str">
        <f t="shared" si="2"/>
        <v/>
      </c>
      <c r="P32" s="82"/>
      <c r="Q32" s="94" t="str">
        <f>IF(OR(D32="",P32=""),"",IF(D32="Buy",MROUND(P32*(1-Settings!$K$6),Settings!$K$10),MROUND(P32*(1+Settings!$K$6),Settings!$K$10)))</f>
        <v/>
      </c>
      <c r="R32" s="95" t="str">
        <f t="shared" si="3"/>
        <v/>
      </c>
      <c r="S32" s="82"/>
      <c r="T32" s="94" t="str">
        <f>IF(OR(D32="",S32=""),"",IF(D32="Buy",MROUND(S32*(1-Settings!$K$6),Settings!$K$10),MROUND(S32*(1+Settings!$K$6),Settings!$K$10)))</f>
        <v/>
      </c>
      <c r="U32" s="67"/>
      <c r="V32" s="109" t="str">
        <f t="shared" si="4"/>
        <v/>
      </c>
      <c r="W32" s="110"/>
      <c r="X32" s="109" t="str">
        <f t="shared" si="5"/>
        <v/>
      </c>
      <c r="Y32" s="109" t="str">
        <f t="shared" si="6"/>
        <v/>
      </c>
      <c r="Z32" s="82"/>
    </row>
    <row r="33" ht="20" customHeight="1" spans="1:26">
      <c r="A33" s="64">
        <v>20</v>
      </c>
      <c r="B33" s="65"/>
      <c r="C33" s="66"/>
      <c r="D33" s="67"/>
      <c r="E33" s="82"/>
      <c r="F33" s="82"/>
      <c r="G33" s="82"/>
      <c r="H33" s="82"/>
      <c r="I33" s="93" t="str">
        <f t="shared" si="0"/>
        <v/>
      </c>
      <c r="J33" s="82"/>
      <c r="K33" s="94" t="str">
        <f>IF(OR(D33="",E33=""),"",IF(J33="",G33,IF(D33="Buy",MROUND(MAX(E33*(1-Settings!$K$8),J33*(1-Settings!$K$6)),Settings!$K$10),MROUND(MIN(E33*(1+Settings!$K$8),J33*(1+Settings!$K$6)),Settings!$K$10))))</f>
        <v/>
      </c>
      <c r="L33" s="95" t="str">
        <f t="shared" si="1"/>
        <v/>
      </c>
      <c r="M33" s="82"/>
      <c r="N33" s="94" t="str">
        <f>IF(OR(D33="",E33=""),"",IF(M33="",H33,IF(D33="Buy",MROUND(MAX(E33*(1-Settings!$K$8),M33*(1-Settings!$K$6)),Settings!$K$10),MROUND(MIN(E33*(1+Settings!$K$8),M33*(1+Settings!$K$6)),Settings!$K$10))))</f>
        <v/>
      </c>
      <c r="O33" s="95" t="str">
        <f t="shared" si="2"/>
        <v/>
      </c>
      <c r="P33" s="82"/>
      <c r="Q33" s="94" t="str">
        <f>IF(OR(D33="",P33=""),"",IF(D33="Buy",MROUND(P33*(1-Settings!$K$6),Settings!$K$10),MROUND(P33*(1+Settings!$K$6),Settings!$K$10)))</f>
        <v/>
      </c>
      <c r="R33" s="95" t="str">
        <f t="shared" si="3"/>
        <v/>
      </c>
      <c r="S33" s="82"/>
      <c r="T33" s="94" t="str">
        <f>IF(OR(D33="",S33=""),"",IF(D33="Buy",MROUND(S33*(1-Settings!$K$6),Settings!$K$10),MROUND(S33*(1+Settings!$K$6),Settings!$K$10)))</f>
        <v/>
      </c>
      <c r="U33" s="67"/>
      <c r="V33" s="109" t="str">
        <f t="shared" si="4"/>
        <v/>
      </c>
      <c r="W33" s="110"/>
      <c r="X33" s="109" t="str">
        <f t="shared" si="5"/>
        <v/>
      </c>
      <c r="Y33" s="109" t="str">
        <f t="shared" si="6"/>
        <v/>
      </c>
      <c r="Z33" s="82"/>
    </row>
    <row r="34" ht="20" customHeight="1" spans="1:26">
      <c r="A34" s="64">
        <v>21</v>
      </c>
      <c r="B34" s="65"/>
      <c r="C34" s="66"/>
      <c r="D34" s="67"/>
      <c r="E34" s="82"/>
      <c r="F34" s="82"/>
      <c r="G34" s="82"/>
      <c r="H34" s="82"/>
      <c r="I34" s="93" t="str">
        <f t="shared" si="0"/>
        <v/>
      </c>
      <c r="J34" s="82"/>
      <c r="K34" s="94" t="str">
        <f>IF(OR(D34="",E34=""),"",IF(J34="",G34,IF(D34="Buy",MROUND(MAX(E34*(1-Settings!$K$8),J34*(1-Settings!$K$6)),Settings!$K$10),MROUND(MIN(E34*(1+Settings!$K$8),J34*(1+Settings!$K$6)),Settings!$K$10))))</f>
        <v/>
      </c>
      <c r="L34" s="95" t="str">
        <f t="shared" si="1"/>
        <v/>
      </c>
      <c r="M34" s="82"/>
      <c r="N34" s="94" t="str">
        <f>IF(OR(D34="",E34=""),"",IF(M34="",H34,IF(D34="Buy",MROUND(MAX(E34*(1-Settings!$K$8),M34*(1-Settings!$K$6)),Settings!$K$10),MROUND(MIN(E34*(1+Settings!$K$8),M34*(1+Settings!$K$6)),Settings!$K$10))))</f>
        <v/>
      </c>
      <c r="O34" s="95" t="str">
        <f t="shared" si="2"/>
        <v/>
      </c>
      <c r="P34" s="82"/>
      <c r="Q34" s="94" t="str">
        <f>IF(OR(D34="",P34=""),"",IF(D34="Buy",MROUND(P34*(1-Settings!$K$6),Settings!$K$10),MROUND(P34*(1+Settings!$K$6),Settings!$K$10)))</f>
        <v/>
      </c>
      <c r="R34" s="95" t="str">
        <f t="shared" si="3"/>
        <v/>
      </c>
      <c r="S34" s="82"/>
      <c r="T34" s="94" t="str">
        <f>IF(OR(D34="",S34=""),"",IF(D34="Buy",MROUND(S34*(1-Settings!$K$6),Settings!$K$10),MROUND(S34*(1+Settings!$K$6),Settings!$K$10)))</f>
        <v/>
      </c>
      <c r="U34" s="67"/>
      <c r="V34" s="109" t="str">
        <f t="shared" si="4"/>
        <v/>
      </c>
      <c r="W34" s="110"/>
      <c r="X34" s="109" t="str">
        <f t="shared" si="5"/>
        <v/>
      </c>
      <c r="Y34" s="109" t="str">
        <f t="shared" si="6"/>
        <v/>
      </c>
      <c r="Z34" s="82"/>
    </row>
    <row r="35" ht="20" customHeight="1" spans="1:26">
      <c r="A35" s="64">
        <v>22</v>
      </c>
      <c r="B35" s="65"/>
      <c r="C35" s="66"/>
      <c r="D35" s="67"/>
      <c r="E35" s="82"/>
      <c r="F35" s="82"/>
      <c r="G35" s="82"/>
      <c r="H35" s="82"/>
      <c r="I35" s="93" t="str">
        <f t="shared" si="0"/>
        <v/>
      </c>
      <c r="J35" s="82"/>
      <c r="K35" s="94" t="str">
        <f>IF(OR(D35="",E35=""),"",IF(J35="",G35,IF(D35="Buy",MROUND(MAX(E35*(1-Settings!$K$8),J35*(1-Settings!$K$6)),Settings!$K$10),MROUND(MIN(E35*(1+Settings!$K$8),J35*(1+Settings!$K$6)),Settings!$K$10))))</f>
        <v/>
      </c>
      <c r="L35" s="95" t="str">
        <f t="shared" si="1"/>
        <v/>
      </c>
      <c r="M35" s="82"/>
      <c r="N35" s="94" t="str">
        <f>IF(OR(D35="",E35=""),"",IF(M35="",H35,IF(D35="Buy",MROUND(MAX(E35*(1-Settings!$K$8),M35*(1-Settings!$K$6)),Settings!$K$10),MROUND(MIN(E35*(1+Settings!$K$8),M35*(1+Settings!$K$6)),Settings!$K$10))))</f>
        <v/>
      </c>
      <c r="O35" s="95" t="str">
        <f t="shared" si="2"/>
        <v/>
      </c>
      <c r="P35" s="82"/>
      <c r="Q35" s="94" t="str">
        <f>IF(OR(D35="",P35=""),"",IF(D35="Buy",MROUND(P35*(1-Settings!$K$6),Settings!$K$10),MROUND(P35*(1+Settings!$K$6),Settings!$K$10)))</f>
        <v/>
      </c>
      <c r="R35" s="95" t="str">
        <f t="shared" si="3"/>
        <v/>
      </c>
      <c r="S35" s="82"/>
      <c r="T35" s="94" t="str">
        <f>IF(OR(D35="",S35=""),"",IF(D35="Buy",MROUND(S35*(1-Settings!$K$6),Settings!$K$10),MROUND(S35*(1+Settings!$K$6),Settings!$K$10)))</f>
        <v/>
      </c>
      <c r="U35" s="67"/>
      <c r="V35" s="109" t="str">
        <f t="shared" si="4"/>
        <v/>
      </c>
      <c r="W35" s="110"/>
      <c r="X35" s="109" t="str">
        <f t="shared" si="5"/>
        <v/>
      </c>
      <c r="Y35" s="109" t="str">
        <f t="shared" si="6"/>
        <v/>
      </c>
      <c r="Z35" s="82"/>
    </row>
    <row r="36" ht="20" customHeight="1" spans="1:26">
      <c r="A36" s="64">
        <v>23</v>
      </c>
      <c r="B36" s="65"/>
      <c r="C36" s="66"/>
      <c r="D36" s="67"/>
      <c r="E36" s="82"/>
      <c r="F36" s="82"/>
      <c r="G36" s="82"/>
      <c r="H36" s="82"/>
      <c r="I36" s="93" t="str">
        <f t="shared" si="0"/>
        <v/>
      </c>
      <c r="J36" s="82"/>
      <c r="K36" s="94" t="str">
        <f>IF(OR(D36="",E36=""),"",IF(J36="",G36,IF(D36="Buy",MROUND(MAX(E36*(1-Settings!$K$8),J36*(1-Settings!$K$6)),Settings!$K$10),MROUND(MIN(E36*(1+Settings!$K$8),J36*(1+Settings!$K$6)),Settings!$K$10))))</f>
        <v/>
      </c>
      <c r="L36" s="95" t="str">
        <f t="shared" si="1"/>
        <v/>
      </c>
      <c r="M36" s="82"/>
      <c r="N36" s="94" t="str">
        <f>IF(OR(D36="",E36=""),"",IF(M36="",H36,IF(D36="Buy",MROUND(MAX(E36*(1-Settings!$K$8),M36*(1-Settings!$K$6)),Settings!$K$10),MROUND(MIN(E36*(1+Settings!$K$8),M36*(1+Settings!$K$6)),Settings!$K$10))))</f>
        <v/>
      </c>
      <c r="O36" s="95" t="str">
        <f t="shared" si="2"/>
        <v/>
      </c>
      <c r="P36" s="82"/>
      <c r="Q36" s="94" t="str">
        <f>IF(OR(D36="",P36=""),"",IF(D36="Buy",MROUND(P36*(1-Settings!$K$6),Settings!$K$10),MROUND(P36*(1+Settings!$K$6),Settings!$K$10)))</f>
        <v/>
      </c>
      <c r="R36" s="95" t="str">
        <f t="shared" si="3"/>
        <v/>
      </c>
      <c r="S36" s="82"/>
      <c r="T36" s="94" t="str">
        <f>IF(OR(D36="",S36=""),"",IF(D36="Buy",MROUND(S36*(1-Settings!$K$6),Settings!$K$10),MROUND(S36*(1+Settings!$K$6),Settings!$K$10)))</f>
        <v/>
      </c>
      <c r="U36" s="67"/>
      <c r="V36" s="109" t="str">
        <f t="shared" si="4"/>
        <v/>
      </c>
      <c r="W36" s="110"/>
      <c r="X36" s="109" t="str">
        <f t="shared" si="5"/>
        <v/>
      </c>
      <c r="Y36" s="109" t="str">
        <f t="shared" si="6"/>
        <v/>
      </c>
      <c r="Z36" s="82"/>
    </row>
    <row r="37" ht="20" customHeight="1" spans="1:26">
      <c r="A37" s="64">
        <v>24</v>
      </c>
      <c r="B37" s="65"/>
      <c r="C37" s="66"/>
      <c r="D37" s="67"/>
      <c r="E37" s="82"/>
      <c r="F37" s="82"/>
      <c r="G37" s="82"/>
      <c r="H37" s="82"/>
      <c r="I37" s="93" t="str">
        <f t="shared" si="0"/>
        <v/>
      </c>
      <c r="J37" s="82"/>
      <c r="K37" s="94" t="str">
        <f>IF(OR(D37="",E37=""),"",IF(J37="",G37,IF(D37="Buy",MROUND(MAX(E37*(1-Settings!$K$8),J37*(1-Settings!$K$6)),Settings!$K$10),MROUND(MIN(E37*(1+Settings!$K$8),J37*(1+Settings!$K$6)),Settings!$K$10))))</f>
        <v/>
      </c>
      <c r="L37" s="95" t="str">
        <f t="shared" si="1"/>
        <v/>
      </c>
      <c r="M37" s="82"/>
      <c r="N37" s="94" t="str">
        <f>IF(OR(D37="",E37=""),"",IF(M37="",H37,IF(D37="Buy",MROUND(MAX(E37*(1-Settings!$K$8),M37*(1-Settings!$K$6)),Settings!$K$10),MROUND(MIN(E37*(1+Settings!$K$8),M37*(1+Settings!$K$6)),Settings!$K$10))))</f>
        <v/>
      </c>
      <c r="O37" s="95" t="str">
        <f t="shared" si="2"/>
        <v/>
      </c>
      <c r="P37" s="82"/>
      <c r="Q37" s="94" t="str">
        <f>IF(OR(D37="",P37=""),"",IF(D37="Buy",MROUND(P37*(1-Settings!$K$6),Settings!$K$10),MROUND(P37*(1+Settings!$K$6),Settings!$K$10)))</f>
        <v/>
      </c>
      <c r="R37" s="95" t="str">
        <f t="shared" si="3"/>
        <v/>
      </c>
      <c r="S37" s="82"/>
      <c r="T37" s="94" t="str">
        <f>IF(OR(D37="",S37=""),"",IF(D37="Buy",MROUND(S37*(1-Settings!$K$6),Settings!$K$10),MROUND(S37*(1+Settings!$K$6),Settings!$K$10)))</f>
        <v/>
      </c>
      <c r="U37" s="67"/>
      <c r="V37" s="109" t="str">
        <f t="shared" si="4"/>
        <v/>
      </c>
      <c r="W37" s="110"/>
      <c r="X37" s="109" t="str">
        <f t="shared" si="5"/>
        <v/>
      </c>
      <c r="Y37" s="109" t="str">
        <f t="shared" si="6"/>
        <v/>
      </c>
      <c r="Z37" s="82"/>
    </row>
    <row r="38" ht="20" customHeight="1" spans="1:26">
      <c r="A38" s="64">
        <v>25</v>
      </c>
      <c r="B38" s="65"/>
      <c r="C38" s="66"/>
      <c r="D38" s="67"/>
      <c r="E38" s="82"/>
      <c r="F38" s="82"/>
      <c r="G38" s="82"/>
      <c r="H38" s="82"/>
      <c r="I38" s="93" t="str">
        <f t="shared" si="0"/>
        <v/>
      </c>
      <c r="J38" s="82"/>
      <c r="K38" s="94" t="str">
        <f>IF(OR(D38="",E38=""),"",IF(J38="",G38,IF(D38="Buy",MROUND(MAX(E38*(1-Settings!$K$8),J38*(1-Settings!$K$6)),Settings!$K$10),MROUND(MIN(E38*(1+Settings!$K$8),J38*(1+Settings!$K$6)),Settings!$K$10))))</f>
        <v/>
      </c>
      <c r="L38" s="95" t="str">
        <f t="shared" si="1"/>
        <v/>
      </c>
      <c r="M38" s="82"/>
      <c r="N38" s="94" t="str">
        <f>IF(OR(D38="",E38=""),"",IF(M38="",H38,IF(D38="Buy",MROUND(MAX(E38*(1-Settings!$K$8),M38*(1-Settings!$K$6)),Settings!$K$10),MROUND(MIN(E38*(1+Settings!$K$8),M38*(1+Settings!$K$6)),Settings!$K$10))))</f>
        <v/>
      </c>
      <c r="O38" s="95" t="str">
        <f t="shared" si="2"/>
        <v/>
      </c>
      <c r="P38" s="82"/>
      <c r="Q38" s="94" t="str">
        <f>IF(OR(D38="",P38=""),"",IF(D38="Buy",MROUND(P38*(1-Settings!$K$6),Settings!$K$10),MROUND(P38*(1+Settings!$K$6),Settings!$K$10)))</f>
        <v/>
      </c>
      <c r="R38" s="95" t="str">
        <f t="shared" si="3"/>
        <v/>
      </c>
      <c r="S38" s="82"/>
      <c r="T38" s="94" t="str">
        <f>IF(OR(D38="",S38=""),"",IF(D38="Buy",MROUND(S38*(1-Settings!$K$6),Settings!$K$10),MROUND(S38*(1+Settings!$K$6),Settings!$K$10)))</f>
        <v/>
      </c>
      <c r="U38" s="67"/>
      <c r="V38" s="109" t="str">
        <f t="shared" si="4"/>
        <v/>
      </c>
      <c r="W38" s="110"/>
      <c r="X38" s="109" t="str">
        <f t="shared" si="5"/>
        <v/>
      </c>
      <c r="Y38" s="109" t="str">
        <f t="shared" si="6"/>
        <v/>
      </c>
      <c r="Z38" s="82"/>
    </row>
    <row r="39" ht="20" customHeight="1" spans="1:26">
      <c r="A39" s="64">
        <v>26</v>
      </c>
      <c r="B39" s="65"/>
      <c r="C39" s="66"/>
      <c r="D39" s="67"/>
      <c r="E39" s="82"/>
      <c r="F39" s="82"/>
      <c r="G39" s="82"/>
      <c r="H39" s="82"/>
      <c r="I39" s="93" t="str">
        <f t="shared" si="0"/>
        <v/>
      </c>
      <c r="J39" s="82"/>
      <c r="K39" s="94" t="str">
        <f>IF(OR(D39="",E39=""),"",IF(J39="",G39,IF(D39="Buy",MROUND(MAX(E39*(1-Settings!$K$8),J39*(1-Settings!$K$6)),Settings!$K$10),MROUND(MIN(E39*(1+Settings!$K$8),J39*(1+Settings!$K$6)),Settings!$K$10))))</f>
        <v/>
      </c>
      <c r="L39" s="95" t="str">
        <f t="shared" si="1"/>
        <v/>
      </c>
      <c r="M39" s="82"/>
      <c r="N39" s="94" t="str">
        <f>IF(OR(D39="",E39=""),"",IF(M39="",H39,IF(D39="Buy",MROUND(MAX(E39*(1-Settings!$K$8),M39*(1-Settings!$K$6)),Settings!$K$10),MROUND(MIN(E39*(1+Settings!$K$8),M39*(1+Settings!$K$6)),Settings!$K$10))))</f>
        <v/>
      </c>
      <c r="O39" s="95" t="str">
        <f t="shared" si="2"/>
        <v/>
      </c>
      <c r="P39" s="82"/>
      <c r="Q39" s="94" t="str">
        <f>IF(OR(D39="",P39=""),"",IF(D39="Buy",MROUND(P39*(1-Settings!$K$6),Settings!$K$10),MROUND(P39*(1+Settings!$K$6),Settings!$K$10)))</f>
        <v/>
      </c>
      <c r="R39" s="95" t="str">
        <f t="shared" si="3"/>
        <v/>
      </c>
      <c r="S39" s="82"/>
      <c r="T39" s="94" t="str">
        <f>IF(OR(D39="",S39=""),"",IF(D39="Buy",MROUND(S39*(1-Settings!$K$6),Settings!$K$10),MROUND(S39*(1+Settings!$K$6),Settings!$K$10)))</f>
        <v/>
      </c>
      <c r="U39" s="67"/>
      <c r="V39" s="109" t="str">
        <f t="shared" si="4"/>
        <v/>
      </c>
      <c r="W39" s="110"/>
      <c r="X39" s="109" t="str">
        <f t="shared" si="5"/>
        <v/>
      </c>
      <c r="Y39" s="109" t="str">
        <f t="shared" si="6"/>
        <v/>
      </c>
      <c r="Z39" s="82"/>
    </row>
    <row r="40" ht="20" customHeight="1" spans="1:26">
      <c r="A40" s="64">
        <v>27</v>
      </c>
      <c r="B40" s="65"/>
      <c r="C40" s="66"/>
      <c r="D40" s="67"/>
      <c r="E40" s="82"/>
      <c r="F40" s="82"/>
      <c r="G40" s="82"/>
      <c r="H40" s="82"/>
      <c r="I40" s="93" t="str">
        <f t="shared" si="0"/>
        <v/>
      </c>
      <c r="J40" s="82"/>
      <c r="K40" s="94" t="str">
        <f>IF(OR(D40="",E40=""),"",IF(J40="",G40,IF(D40="Buy",MROUND(MAX(E40*(1-Settings!$K$8),J40*(1-Settings!$K$6)),Settings!$K$10),MROUND(MIN(E40*(1+Settings!$K$8),J40*(1+Settings!$K$6)),Settings!$K$10))))</f>
        <v/>
      </c>
      <c r="L40" s="95" t="str">
        <f t="shared" si="1"/>
        <v/>
      </c>
      <c r="M40" s="82"/>
      <c r="N40" s="94" t="str">
        <f>IF(OR(D40="",E40=""),"",IF(M40="",H40,IF(D40="Buy",MROUND(MAX(E40*(1-Settings!$K$8),M40*(1-Settings!$K$6)),Settings!$K$10),MROUND(MIN(E40*(1+Settings!$K$8),M40*(1+Settings!$K$6)),Settings!$K$10))))</f>
        <v/>
      </c>
      <c r="O40" s="95" t="str">
        <f t="shared" si="2"/>
        <v/>
      </c>
      <c r="P40" s="82"/>
      <c r="Q40" s="94" t="str">
        <f>IF(OR(D40="",P40=""),"",IF(D40="Buy",MROUND(P40*(1-Settings!$K$6),Settings!$K$10),MROUND(P40*(1+Settings!$K$6),Settings!$K$10)))</f>
        <v/>
      </c>
      <c r="R40" s="95" t="str">
        <f t="shared" si="3"/>
        <v/>
      </c>
      <c r="S40" s="82"/>
      <c r="T40" s="94" t="str">
        <f>IF(OR(D40="",S40=""),"",IF(D40="Buy",MROUND(S40*(1-Settings!$K$6),Settings!$K$10),MROUND(S40*(1+Settings!$K$6),Settings!$K$10)))</f>
        <v/>
      </c>
      <c r="U40" s="67"/>
      <c r="V40" s="109" t="str">
        <f t="shared" si="4"/>
        <v/>
      </c>
      <c r="W40" s="110"/>
      <c r="X40" s="109" t="str">
        <f t="shared" si="5"/>
        <v/>
      </c>
      <c r="Y40" s="109" t="str">
        <f t="shared" si="6"/>
        <v/>
      </c>
      <c r="Z40" s="82"/>
    </row>
    <row r="41" ht="20" customHeight="1" spans="1:26">
      <c r="A41" s="64">
        <v>28</v>
      </c>
      <c r="B41" s="65"/>
      <c r="C41" s="66"/>
      <c r="D41" s="67"/>
      <c r="E41" s="82"/>
      <c r="F41" s="82"/>
      <c r="G41" s="82"/>
      <c r="H41" s="82"/>
      <c r="I41" s="93" t="str">
        <f t="shared" si="0"/>
        <v/>
      </c>
      <c r="J41" s="82"/>
      <c r="K41" s="94" t="str">
        <f>IF(OR(D41="",E41=""),"",IF(J41="",G41,IF(D41="Buy",MROUND(MAX(E41*(1-Settings!$K$8),J41*(1-Settings!$K$6)),Settings!$K$10),MROUND(MIN(E41*(1+Settings!$K$8),J41*(1+Settings!$K$6)),Settings!$K$10))))</f>
        <v/>
      </c>
      <c r="L41" s="95" t="str">
        <f t="shared" si="1"/>
        <v/>
      </c>
      <c r="M41" s="82"/>
      <c r="N41" s="94" t="str">
        <f>IF(OR(D41="",E41=""),"",IF(M41="",H41,IF(D41="Buy",MROUND(MAX(E41*(1-Settings!$K$8),M41*(1-Settings!$K$6)),Settings!$K$10),MROUND(MIN(E41*(1+Settings!$K$8),M41*(1+Settings!$K$6)),Settings!$K$10))))</f>
        <v/>
      </c>
      <c r="O41" s="95" t="str">
        <f t="shared" si="2"/>
        <v/>
      </c>
      <c r="P41" s="82"/>
      <c r="Q41" s="94" t="str">
        <f>IF(OR(D41="",P41=""),"",IF(D41="Buy",MROUND(P41*(1-Settings!$K$6),Settings!$K$10),MROUND(P41*(1+Settings!$K$6),Settings!$K$10)))</f>
        <v/>
      </c>
      <c r="R41" s="95" t="str">
        <f t="shared" si="3"/>
        <v/>
      </c>
      <c r="S41" s="82"/>
      <c r="T41" s="94" t="str">
        <f>IF(OR(D41="",S41=""),"",IF(D41="Buy",MROUND(S41*(1-Settings!$K$6),Settings!$K$10),MROUND(S41*(1+Settings!$K$6),Settings!$K$10)))</f>
        <v/>
      </c>
      <c r="U41" s="67"/>
      <c r="V41" s="109" t="str">
        <f t="shared" si="4"/>
        <v/>
      </c>
      <c r="W41" s="110"/>
      <c r="X41" s="109" t="str">
        <f t="shared" si="5"/>
        <v/>
      </c>
      <c r="Y41" s="109" t="str">
        <f t="shared" si="6"/>
        <v/>
      </c>
      <c r="Z41" s="82"/>
    </row>
    <row r="42" ht="20" customHeight="1" spans="1:26">
      <c r="A42" s="64">
        <v>29</v>
      </c>
      <c r="B42" s="65"/>
      <c r="C42" s="66"/>
      <c r="D42" s="67"/>
      <c r="E42" s="82"/>
      <c r="F42" s="82"/>
      <c r="G42" s="82"/>
      <c r="H42" s="82"/>
      <c r="I42" s="93" t="str">
        <f t="shared" si="0"/>
        <v/>
      </c>
      <c r="J42" s="82"/>
      <c r="K42" s="94" t="str">
        <f>IF(OR(D42="",E42=""),"",IF(J42="",G42,IF(D42="Buy",MROUND(MAX(E42*(1-Settings!$K$8),J42*(1-Settings!$K$6)),Settings!$K$10),MROUND(MIN(E42*(1+Settings!$K$8),J42*(1+Settings!$K$6)),Settings!$K$10))))</f>
        <v/>
      </c>
      <c r="L42" s="95" t="str">
        <f t="shared" si="1"/>
        <v/>
      </c>
      <c r="M42" s="82"/>
      <c r="N42" s="94" t="str">
        <f>IF(OR(D42="",E42=""),"",IF(M42="",H42,IF(D42="Buy",MROUND(MAX(E42*(1-Settings!$K$8),M42*(1-Settings!$K$6)),Settings!$K$10),MROUND(MIN(E42*(1+Settings!$K$8),M42*(1+Settings!$K$6)),Settings!$K$10))))</f>
        <v/>
      </c>
      <c r="O42" s="95" t="str">
        <f t="shared" si="2"/>
        <v/>
      </c>
      <c r="P42" s="82"/>
      <c r="Q42" s="94" t="str">
        <f>IF(OR(D42="",P42=""),"",IF(D42="Buy",MROUND(P42*(1-Settings!$K$6),Settings!$K$10),MROUND(P42*(1+Settings!$K$6),Settings!$K$10)))</f>
        <v/>
      </c>
      <c r="R42" s="95" t="str">
        <f t="shared" si="3"/>
        <v/>
      </c>
      <c r="S42" s="82"/>
      <c r="T42" s="94" t="str">
        <f>IF(OR(D42="",S42=""),"",IF(D42="Buy",MROUND(S42*(1-Settings!$K$6),Settings!$K$10),MROUND(S42*(1+Settings!$K$6),Settings!$K$10)))</f>
        <v/>
      </c>
      <c r="U42" s="67"/>
      <c r="V42" s="109" t="str">
        <f t="shared" si="4"/>
        <v/>
      </c>
      <c r="W42" s="110"/>
      <c r="X42" s="109" t="str">
        <f t="shared" si="5"/>
        <v/>
      </c>
      <c r="Y42" s="109" t="str">
        <f t="shared" si="6"/>
        <v/>
      </c>
      <c r="Z42" s="82"/>
    </row>
    <row r="43" ht="20" customHeight="1" spans="1:26">
      <c r="A43" s="64">
        <v>30</v>
      </c>
      <c r="B43" s="65"/>
      <c r="C43" s="66"/>
      <c r="D43" s="67"/>
      <c r="E43" s="82"/>
      <c r="F43" s="82"/>
      <c r="G43" s="82"/>
      <c r="H43" s="82"/>
      <c r="I43" s="93" t="str">
        <f t="shared" si="0"/>
        <v/>
      </c>
      <c r="J43" s="82"/>
      <c r="K43" s="94" t="str">
        <f>IF(OR(D43="",E43=""),"",IF(J43="",G43,IF(D43="Buy",MROUND(MAX(E43*(1-Settings!$K$8),J43*(1-Settings!$K$6)),Settings!$K$10),MROUND(MIN(E43*(1+Settings!$K$8),J43*(1+Settings!$K$6)),Settings!$K$10))))</f>
        <v/>
      </c>
      <c r="L43" s="95" t="str">
        <f t="shared" si="1"/>
        <v/>
      </c>
      <c r="M43" s="82"/>
      <c r="N43" s="94" t="str">
        <f>IF(OR(D43="",E43=""),"",IF(M43="",H43,IF(D43="Buy",MROUND(MAX(E43*(1-Settings!$K$8),M43*(1-Settings!$K$6)),Settings!$K$10),MROUND(MIN(E43*(1+Settings!$K$8),M43*(1+Settings!$K$6)),Settings!$K$10))))</f>
        <v/>
      </c>
      <c r="O43" s="95" t="str">
        <f t="shared" si="2"/>
        <v/>
      </c>
      <c r="P43" s="82"/>
      <c r="Q43" s="94" t="str">
        <f>IF(OR(D43="",P43=""),"",IF(D43="Buy",MROUND(P43*(1-Settings!$K$6),Settings!$K$10),MROUND(P43*(1+Settings!$K$6),Settings!$K$10)))</f>
        <v/>
      </c>
      <c r="R43" s="95" t="str">
        <f t="shared" si="3"/>
        <v/>
      </c>
      <c r="S43" s="82"/>
      <c r="T43" s="94" t="str">
        <f>IF(OR(D43="",S43=""),"",IF(D43="Buy",MROUND(S43*(1-Settings!$K$6),Settings!$K$10),MROUND(S43*(1+Settings!$K$6),Settings!$K$10)))</f>
        <v/>
      </c>
      <c r="U43" s="67"/>
      <c r="V43" s="109" t="str">
        <f t="shared" si="4"/>
        <v/>
      </c>
      <c r="W43" s="110"/>
      <c r="X43" s="109" t="str">
        <f t="shared" si="5"/>
        <v/>
      </c>
      <c r="Y43" s="109" t="str">
        <f t="shared" si="6"/>
        <v/>
      </c>
      <c r="Z43" s="82"/>
    </row>
    <row r="44" ht="20" customHeight="1" spans="1:26">
      <c r="A44" s="64">
        <v>31</v>
      </c>
      <c r="B44" s="65"/>
      <c r="C44" s="66"/>
      <c r="D44" s="67"/>
      <c r="E44" s="82"/>
      <c r="F44" s="82"/>
      <c r="G44" s="82"/>
      <c r="H44" s="82"/>
      <c r="I44" s="93" t="str">
        <f t="shared" si="0"/>
        <v/>
      </c>
      <c r="J44" s="82"/>
      <c r="K44" s="94" t="str">
        <f>IF(OR(D44="",E44=""),"",IF(J44="",G44,IF(D44="Buy",MROUND(MAX(E44*(1-Settings!$K$8),J44*(1-Settings!$K$6)),Settings!$K$10),MROUND(MIN(E44*(1+Settings!$K$8),J44*(1+Settings!$K$6)),Settings!$K$10))))</f>
        <v/>
      </c>
      <c r="L44" s="95" t="str">
        <f t="shared" si="1"/>
        <v/>
      </c>
      <c r="M44" s="82"/>
      <c r="N44" s="94" t="str">
        <f>IF(OR(D44="",E44=""),"",IF(M44="",H44,IF(D44="Buy",MROUND(MAX(E44*(1-Settings!$K$8),M44*(1-Settings!$K$6)),Settings!$K$10),MROUND(MIN(E44*(1+Settings!$K$8),M44*(1+Settings!$K$6)),Settings!$K$10))))</f>
        <v/>
      </c>
      <c r="O44" s="95" t="str">
        <f t="shared" si="2"/>
        <v/>
      </c>
      <c r="P44" s="82"/>
      <c r="Q44" s="94" t="str">
        <f>IF(OR(D44="",P44=""),"",IF(D44="Buy",MROUND(P44*(1-Settings!$K$6),Settings!$K$10),MROUND(P44*(1+Settings!$K$6),Settings!$K$10)))</f>
        <v/>
      </c>
      <c r="R44" s="95" t="str">
        <f t="shared" si="3"/>
        <v/>
      </c>
      <c r="S44" s="82"/>
      <c r="T44" s="94" t="str">
        <f>IF(OR(D44="",S44=""),"",IF(D44="Buy",MROUND(S44*(1-Settings!$K$6),Settings!$K$10),MROUND(S44*(1+Settings!$K$6),Settings!$K$10)))</f>
        <v/>
      </c>
      <c r="U44" s="67"/>
      <c r="V44" s="109" t="str">
        <f t="shared" si="4"/>
        <v/>
      </c>
      <c r="W44" s="110"/>
      <c r="X44" s="109" t="str">
        <f t="shared" si="5"/>
        <v/>
      </c>
      <c r="Y44" s="109" t="str">
        <f t="shared" si="6"/>
        <v/>
      </c>
      <c r="Z44" s="82"/>
    </row>
    <row r="45" ht="20" customHeight="1" spans="1:26">
      <c r="A45" s="64">
        <v>32</v>
      </c>
      <c r="B45" s="65"/>
      <c r="C45" s="66"/>
      <c r="D45" s="67"/>
      <c r="E45" s="82"/>
      <c r="F45" s="82"/>
      <c r="G45" s="82"/>
      <c r="H45" s="82"/>
      <c r="I45" s="93" t="str">
        <f t="shared" si="0"/>
        <v/>
      </c>
      <c r="J45" s="82"/>
      <c r="K45" s="94" t="str">
        <f>IF(OR(D45="",E45=""),"",IF(J45="",G45,IF(D45="Buy",MROUND(MAX(E45*(1-Settings!$K$8),J45*(1-Settings!$K$6)),Settings!$K$10),MROUND(MIN(E45*(1+Settings!$K$8),J45*(1+Settings!$K$6)),Settings!$K$10))))</f>
        <v/>
      </c>
      <c r="L45" s="95" t="str">
        <f t="shared" si="1"/>
        <v/>
      </c>
      <c r="M45" s="82"/>
      <c r="N45" s="94" t="str">
        <f>IF(OR(D45="",E45=""),"",IF(M45="",H45,IF(D45="Buy",MROUND(MAX(E45*(1-Settings!$K$8),M45*(1-Settings!$K$6)),Settings!$K$10),MROUND(MIN(E45*(1+Settings!$K$8),M45*(1+Settings!$K$6)),Settings!$K$10))))</f>
        <v/>
      </c>
      <c r="O45" s="95" t="str">
        <f t="shared" si="2"/>
        <v/>
      </c>
      <c r="P45" s="82"/>
      <c r="Q45" s="94" t="str">
        <f>IF(OR(D45="",P45=""),"",IF(D45="Buy",MROUND(P45*(1-Settings!$K$6),Settings!$K$10),MROUND(P45*(1+Settings!$K$6),Settings!$K$10)))</f>
        <v/>
      </c>
      <c r="R45" s="95" t="str">
        <f t="shared" si="3"/>
        <v/>
      </c>
      <c r="S45" s="82"/>
      <c r="T45" s="94" t="str">
        <f>IF(OR(D45="",S45=""),"",IF(D45="Buy",MROUND(S45*(1-Settings!$K$6),Settings!$K$10),MROUND(S45*(1+Settings!$K$6),Settings!$K$10)))</f>
        <v/>
      </c>
      <c r="U45" s="67"/>
      <c r="V45" s="109" t="str">
        <f t="shared" si="4"/>
        <v/>
      </c>
      <c r="W45" s="110"/>
      <c r="X45" s="109" t="str">
        <f t="shared" si="5"/>
        <v/>
      </c>
      <c r="Y45" s="109" t="str">
        <f t="shared" si="6"/>
        <v/>
      </c>
      <c r="Z45" s="82"/>
    </row>
    <row r="46" ht="20" customHeight="1" spans="1:26">
      <c r="A46" s="64">
        <v>33</v>
      </c>
      <c r="B46" s="65"/>
      <c r="C46" s="66"/>
      <c r="D46" s="67"/>
      <c r="E46" s="82"/>
      <c r="F46" s="82"/>
      <c r="G46" s="82"/>
      <c r="H46" s="82"/>
      <c r="I46" s="93" t="str">
        <f t="shared" si="0"/>
        <v/>
      </c>
      <c r="J46" s="82"/>
      <c r="K46" s="94" t="str">
        <f>IF(OR(D46="",E46=""),"",IF(J46="",G46,IF(D46="Buy",MROUND(MAX(E46*(1-Settings!$K$8),J46*(1-Settings!$K$6)),Settings!$K$10),MROUND(MIN(E46*(1+Settings!$K$8),J46*(1+Settings!$K$6)),Settings!$K$10))))</f>
        <v/>
      </c>
      <c r="L46" s="95" t="str">
        <f t="shared" si="1"/>
        <v/>
      </c>
      <c r="M46" s="82"/>
      <c r="N46" s="94" t="str">
        <f>IF(OR(D46="",E46=""),"",IF(M46="",H46,IF(D46="Buy",MROUND(MAX(E46*(1-Settings!$K$8),M46*(1-Settings!$K$6)),Settings!$K$10),MROUND(MIN(E46*(1+Settings!$K$8),M46*(1+Settings!$K$6)),Settings!$K$10))))</f>
        <v/>
      </c>
      <c r="O46" s="95" t="str">
        <f t="shared" si="2"/>
        <v/>
      </c>
      <c r="P46" s="82"/>
      <c r="Q46" s="94" t="str">
        <f>IF(OR(D46="",P46=""),"",IF(D46="Buy",MROUND(P46*(1-Settings!$K$6),Settings!$K$10),MROUND(P46*(1+Settings!$K$6),Settings!$K$10)))</f>
        <v/>
      </c>
      <c r="R46" s="95" t="str">
        <f t="shared" si="3"/>
        <v/>
      </c>
      <c r="S46" s="82"/>
      <c r="T46" s="94" t="str">
        <f>IF(OR(D46="",S46=""),"",IF(D46="Buy",MROUND(S46*(1-Settings!$K$6),Settings!$K$10),MROUND(S46*(1+Settings!$K$6),Settings!$K$10)))</f>
        <v/>
      </c>
      <c r="U46" s="67"/>
      <c r="V46" s="109" t="str">
        <f t="shared" si="4"/>
        <v/>
      </c>
      <c r="W46" s="110"/>
      <c r="X46" s="109" t="str">
        <f t="shared" si="5"/>
        <v/>
      </c>
      <c r="Y46" s="109" t="str">
        <f t="shared" si="6"/>
        <v/>
      </c>
      <c r="Z46" s="82"/>
    </row>
    <row r="47" ht="20" customHeight="1" spans="1:26">
      <c r="A47" s="64">
        <v>34</v>
      </c>
      <c r="B47" s="65"/>
      <c r="C47" s="66"/>
      <c r="D47" s="67"/>
      <c r="E47" s="82"/>
      <c r="F47" s="82"/>
      <c r="G47" s="82"/>
      <c r="H47" s="82"/>
      <c r="I47" s="93" t="str">
        <f t="shared" si="0"/>
        <v/>
      </c>
      <c r="J47" s="82"/>
      <c r="K47" s="94" t="str">
        <f>IF(OR(D47="",E47=""),"",IF(J47="",G47,IF(D47="Buy",MROUND(MAX(E47*(1-Settings!$K$8),J47*(1-Settings!$K$6)),Settings!$K$10),MROUND(MIN(E47*(1+Settings!$K$8),J47*(1+Settings!$K$6)),Settings!$K$10))))</f>
        <v/>
      </c>
      <c r="L47" s="95" t="str">
        <f t="shared" si="1"/>
        <v/>
      </c>
      <c r="M47" s="82"/>
      <c r="N47" s="94" t="str">
        <f>IF(OR(D47="",E47=""),"",IF(M47="",H47,IF(D47="Buy",MROUND(MAX(E47*(1-Settings!$K$8),M47*(1-Settings!$K$6)),Settings!$K$10),MROUND(MIN(E47*(1+Settings!$K$8),M47*(1+Settings!$K$6)),Settings!$K$10))))</f>
        <v/>
      </c>
      <c r="O47" s="95" t="str">
        <f t="shared" si="2"/>
        <v/>
      </c>
      <c r="P47" s="82"/>
      <c r="Q47" s="94" t="str">
        <f>IF(OR(D47="",P47=""),"",IF(D47="Buy",MROUND(P47*(1-Settings!$K$6),Settings!$K$10),MROUND(P47*(1+Settings!$K$6),Settings!$K$10)))</f>
        <v/>
      </c>
      <c r="R47" s="95" t="str">
        <f t="shared" si="3"/>
        <v/>
      </c>
      <c r="S47" s="82"/>
      <c r="T47" s="94" t="str">
        <f>IF(OR(D47="",S47=""),"",IF(D47="Buy",MROUND(S47*(1-Settings!$K$6),Settings!$K$10),MROUND(S47*(1+Settings!$K$6),Settings!$K$10)))</f>
        <v/>
      </c>
      <c r="U47" s="67"/>
      <c r="V47" s="109" t="str">
        <f t="shared" si="4"/>
        <v/>
      </c>
      <c r="W47" s="110"/>
      <c r="X47" s="109" t="str">
        <f t="shared" si="5"/>
        <v/>
      </c>
      <c r="Y47" s="109" t="str">
        <f t="shared" si="6"/>
        <v/>
      </c>
      <c r="Z47" s="82"/>
    </row>
    <row r="48" ht="20" customHeight="1" spans="1:26">
      <c r="A48" s="64">
        <v>35</v>
      </c>
      <c r="B48" s="65"/>
      <c r="C48" s="66"/>
      <c r="D48" s="67"/>
      <c r="E48" s="82"/>
      <c r="F48" s="82"/>
      <c r="G48" s="82"/>
      <c r="H48" s="82"/>
      <c r="I48" s="93" t="str">
        <f t="shared" si="0"/>
        <v/>
      </c>
      <c r="J48" s="82"/>
      <c r="K48" s="94" t="str">
        <f>IF(OR(D48="",E48=""),"",IF(J48="",G48,IF(D48="Buy",MROUND(MAX(E48*(1-Settings!$K$8),J48*(1-Settings!$K$6)),Settings!$K$10),MROUND(MIN(E48*(1+Settings!$K$8),J48*(1+Settings!$K$6)),Settings!$K$10))))</f>
        <v/>
      </c>
      <c r="L48" s="95" t="str">
        <f t="shared" si="1"/>
        <v/>
      </c>
      <c r="M48" s="82"/>
      <c r="N48" s="94" t="str">
        <f>IF(OR(D48="",E48=""),"",IF(M48="",H48,IF(D48="Buy",MROUND(MAX(E48*(1-Settings!$K$8),M48*(1-Settings!$K$6)),Settings!$K$10),MROUND(MIN(E48*(1+Settings!$K$8),M48*(1+Settings!$K$6)),Settings!$K$10))))</f>
        <v/>
      </c>
      <c r="O48" s="95" t="str">
        <f t="shared" si="2"/>
        <v/>
      </c>
      <c r="P48" s="82"/>
      <c r="Q48" s="94" t="str">
        <f>IF(OR(D48="",P48=""),"",IF(D48="Buy",MROUND(P48*(1-Settings!$K$6),Settings!$K$10),MROUND(P48*(1+Settings!$K$6),Settings!$K$10)))</f>
        <v/>
      </c>
      <c r="R48" s="95" t="str">
        <f t="shared" si="3"/>
        <v/>
      </c>
      <c r="S48" s="82"/>
      <c r="T48" s="94" t="str">
        <f>IF(OR(D48="",S48=""),"",IF(D48="Buy",MROUND(S48*(1-Settings!$K$6),Settings!$K$10),MROUND(S48*(1+Settings!$K$6),Settings!$K$10)))</f>
        <v/>
      </c>
      <c r="U48" s="67"/>
      <c r="V48" s="109" t="str">
        <f t="shared" si="4"/>
        <v/>
      </c>
      <c r="W48" s="110"/>
      <c r="X48" s="109" t="str">
        <f t="shared" si="5"/>
        <v/>
      </c>
      <c r="Y48" s="109" t="str">
        <f t="shared" si="6"/>
        <v/>
      </c>
      <c r="Z48" s="82"/>
    </row>
    <row r="49" ht="20" customHeight="1" spans="1:26">
      <c r="A49" s="64">
        <v>36</v>
      </c>
      <c r="B49" s="65"/>
      <c r="C49" s="66"/>
      <c r="D49" s="67"/>
      <c r="E49" s="82"/>
      <c r="F49" s="82"/>
      <c r="G49" s="82"/>
      <c r="H49" s="82"/>
      <c r="I49" s="93" t="str">
        <f t="shared" si="0"/>
        <v/>
      </c>
      <c r="J49" s="82"/>
      <c r="K49" s="94" t="str">
        <f>IF(OR(D49="",E49=""),"",IF(J49="",G49,IF(D49="Buy",MROUND(MAX(E49*(1-Settings!$K$8),J49*(1-Settings!$K$6)),Settings!$K$10),MROUND(MIN(E49*(1+Settings!$K$8),J49*(1+Settings!$K$6)),Settings!$K$10))))</f>
        <v/>
      </c>
      <c r="L49" s="95" t="str">
        <f t="shared" si="1"/>
        <v/>
      </c>
      <c r="M49" s="82"/>
      <c r="N49" s="94" t="str">
        <f>IF(OR(D49="",E49=""),"",IF(M49="",H49,IF(D49="Buy",MROUND(MAX(E49*(1-Settings!$K$8),M49*(1-Settings!$K$6)),Settings!$K$10),MROUND(MIN(E49*(1+Settings!$K$8),M49*(1+Settings!$K$6)),Settings!$K$10))))</f>
        <v/>
      </c>
      <c r="O49" s="95" t="str">
        <f t="shared" si="2"/>
        <v/>
      </c>
      <c r="P49" s="82"/>
      <c r="Q49" s="94" t="str">
        <f>IF(OR(D49="",P49=""),"",IF(D49="Buy",MROUND(P49*(1-Settings!$K$6),Settings!$K$10),MROUND(P49*(1+Settings!$K$6),Settings!$K$10)))</f>
        <v/>
      </c>
      <c r="R49" s="95" t="str">
        <f t="shared" si="3"/>
        <v/>
      </c>
      <c r="S49" s="82"/>
      <c r="T49" s="94" t="str">
        <f>IF(OR(D49="",S49=""),"",IF(D49="Buy",MROUND(S49*(1-Settings!$K$6),Settings!$K$10),MROUND(S49*(1+Settings!$K$6),Settings!$K$10)))</f>
        <v/>
      </c>
      <c r="U49" s="67"/>
      <c r="V49" s="109" t="str">
        <f t="shared" si="4"/>
        <v/>
      </c>
      <c r="W49" s="110"/>
      <c r="X49" s="109" t="str">
        <f t="shared" si="5"/>
        <v/>
      </c>
      <c r="Y49" s="109" t="str">
        <f t="shared" si="6"/>
        <v/>
      </c>
      <c r="Z49" s="82"/>
    </row>
    <row r="50" ht="20" customHeight="1" spans="1:26">
      <c r="A50" s="64">
        <v>37</v>
      </c>
      <c r="B50" s="65"/>
      <c r="C50" s="66"/>
      <c r="D50" s="67"/>
      <c r="E50" s="82"/>
      <c r="F50" s="82"/>
      <c r="G50" s="82"/>
      <c r="H50" s="82"/>
      <c r="I50" s="93" t="str">
        <f t="shared" si="0"/>
        <v/>
      </c>
      <c r="J50" s="82"/>
      <c r="K50" s="94" t="str">
        <f>IF(OR(D50="",E50=""),"",IF(J50="",G50,IF(D50="Buy",MROUND(MAX(E50*(1-Settings!$K$8),J50*(1-Settings!$K$6)),Settings!$K$10),MROUND(MIN(E50*(1+Settings!$K$8),J50*(1+Settings!$K$6)),Settings!$K$10))))</f>
        <v/>
      </c>
      <c r="L50" s="95" t="str">
        <f t="shared" si="1"/>
        <v/>
      </c>
      <c r="M50" s="82"/>
      <c r="N50" s="94" t="str">
        <f>IF(OR(D50="",E50=""),"",IF(M50="",H50,IF(D50="Buy",MROUND(MAX(E50*(1-Settings!$K$8),M50*(1-Settings!$K$6)),Settings!$K$10),MROUND(MIN(E50*(1+Settings!$K$8),M50*(1+Settings!$K$6)),Settings!$K$10))))</f>
        <v/>
      </c>
      <c r="O50" s="95" t="str">
        <f t="shared" si="2"/>
        <v/>
      </c>
      <c r="P50" s="82"/>
      <c r="Q50" s="94" t="str">
        <f>IF(OR(D50="",P50=""),"",IF(D50="Buy",MROUND(P50*(1-Settings!$K$6),Settings!$K$10),MROUND(P50*(1+Settings!$K$6),Settings!$K$10)))</f>
        <v/>
      </c>
      <c r="R50" s="95" t="str">
        <f t="shared" si="3"/>
        <v/>
      </c>
      <c r="S50" s="82"/>
      <c r="T50" s="94" t="str">
        <f>IF(OR(D50="",S50=""),"",IF(D50="Buy",MROUND(S50*(1-Settings!$K$6),Settings!$K$10),MROUND(S50*(1+Settings!$K$6),Settings!$K$10)))</f>
        <v/>
      </c>
      <c r="U50" s="67"/>
      <c r="V50" s="109" t="str">
        <f t="shared" si="4"/>
        <v/>
      </c>
      <c r="W50" s="110"/>
      <c r="X50" s="109" t="str">
        <f t="shared" si="5"/>
        <v/>
      </c>
      <c r="Y50" s="109" t="str">
        <f t="shared" si="6"/>
        <v/>
      </c>
      <c r="Z50" s="82"/>
    </row>
    <row r="51" ht="20" customHeight="1" spans="1:26">
      <c r="A51" s="64">
        <v>38</v>
      </c>
      <c r="B51" s="65"/>
      <c r="C51" s="66"/>
      <c r="D51" s="67"/>
      <c r="E51" s="82"/>
      <c r="F51" s="82"/>
      <c r="G51" s="82"/>
      <c r="H51" s="82"/>
      <c r="I51" s="93" t="str">
        <f t="shared" si="0"/>
        <v/>
      </c>
      <c r="J51" s="82"/>
      <c r="K51" s="94" t="str">
        <f>IF(OR(D51="",E51=""),"",IF(J51="",G51,IF(D51="Buy",MROUND(MAX(E51*(1-Settings!$K$8),J51*(1-Settings!$K$6)),Settings!$K$10),MROUND(MIN(E51*(1+Settings!$K$8),J51*(1+Settings!$K$6)),Settings!$K$10))))</f>
        <v/>
      </c>
      <c r="L51" s="95" t="str">
        <f t="shared" si="1"/>
        <v/>
      </c>
      <c r="M51" s="82"/>
      <c r="N51" s="94" t="str">
        <f>IF(OR(D51="",E51=""),"",IF(M51="",H51,IF(D51="Buy",MROUND(MAX(E51*(1-Settings!$K$8),M51*(1-Settings!$K$6)),Settings!$K$10),MROUND(MIN(E51*(1+Settings!$K$8),M51*(1+Settings!$K$6)),Settings!$K$10))))</f>
        <v/>
      </c>
      <c r="O51" s="95" t="str">
        <f t="shared" si="2"/>
        <v/>
      </c>
      <c r="P51" s="82"/>
      <c r="Q51" s="94" t="str">
        <f>IF(OR(D51="",P51=""),"",IF(D51="Buy",MROUND(P51*(1-Settings!$K$6),Settings!$K$10),MROUND(P51*(1+Settings!$K$6),Settings!$K$10)))</f>
        <v/>
      </c>
      <c r="R51" s="95" t="str">
        <f t="shared" si="3"/>
        <v/>
      </c>
      <c r="S51" s="82"/>
      <c r="T51" s="94" t="str">
        <f>IF(OR(D51="",S51=""),"",IF(D51="Buy",MROUND(S51*(1-Settings!$K$6),Settings!$K$10),MROUND(S51*(1+Settings!$K$6),Settings!$K$10)))</f>
        <v/>
      </c>
      <c r="U51" s="67"/>
      <c r="V51" s="109" t="str">
        <f t="shared" si="4"/>
        <v/>
      </c>
      <c r="W51" s="110"/>
      <c r="X51" s="109" t="str">
        <f t="shared" si="5"/>
        <v/>
      </c>
      <c r="Y51" s="109" t="str">
        <f t="shared" si="6"/>
        <v/>
      </c>
      <c r="Z51" s="82"/>
    </row>
    <row r="52" ht="20" customHeight="1" spans="1:26">
      <c r="A52" s="64">
        <v>39</v>
      </c>
      <c r="B52" s="65"/>
      <c r="C52" s="66"/>
      <c r="D52" s="67"/>
      <c r="E52" s="82"/>
      <c r="F52" s="82"/>
      <c r="G52" s="82"/>
      <c r="H52" s="82"/>
      <c r="I52" s="93" t="str">
        <f t="shared" si="0"/>
        <v/>
      </c>
      <c r="J52" s="82"/>
      <c r="K52" s="94" t="str">
        <f>IF(OR(D52="",E52=""),"",IF(J52="",G52,IF(D52="Buy",MROUND(MAX(E52*(1-Settings!$K$8),J52*(1-Settings!$K$6)),Settings!$K$10),MROUND(MIN(E52*(1+Settings!$K$8),J52*(1+Settings!$K$6)),Settings!$K$10))))</f>
        <v/>
      </c>
      <c r="L52" s="95" t="str">
        <f t="shared" si="1"/>
        <v/>
      </c>
      <c r="M52" s="82"/>
      <c r="N52" s="94" t="str">
        <f>IF(OR(D52="",E52=""),"",IF(M52="",H52,IF(D52="Buy",MROUND(MAX(E52*(1-Settings!$K$8),M52*(1-Settings!$K$6)),Settings!$K$10),MROUND(MIN(E52*(1+Settings!$K$8),M52*(1+Settings!$K$6)),Settings!$K$10))))</f>
        <v/>
      </c>
      <c r="O52" s="95" t="str">
        <f t="shared" si="2"/>
        <v/>
      </c>
      <c r="P52" s="82"/>
      <c r="Q52" s="94" t="str">
        <f>IF(OR(D52="",P52=""),"",IF(D52="Buy",MROUND(P52*(1-Settings!$K$6),Settings!$K$10),MROUND(P52*(1+Settings!$K$6),Settings!$K$10)))</f>
        <v/>
      </c>
      <c r="R52" s="95" t="str">
        <f t="shared" si="3"/>
        <v/>
      </c>
      <c r="S52" s="82"/>
      <c r="T52" s="94" t="str">
        <f>IF(OR(D52="",S52=""),"",IF(D52="Buy",MROUND(S52*(1-Settings!$K$6),Settings!$K$10),MROUND(S52*(1+Settings!$K$6),Settings!$K$10)))</f>
        <v/>
      </c>
      <c r="U52" s="67"/>
      <c r="V52" s="109" t="str">
        <f t="shared" si="4"/>
        <v/>
      </c>
      <c r="W52" s="110"/>
      <c r="X52" s="109" t="str">
        <f t="shared" si="5"/>
        <v/>
      </c>
      <c r="Y52" s="109" t="str">
        <f t="shared" si="6"/>
        <v/>
      </c>
      <c r="Z52" s="82"/>
    </row>
    <row r="53" ht="20" customHeight="1" spans="1:26">
      <c r="A53" s="64">
        <v>40</v>
      </c>
      <c r="B53" s="65"/>
      <c r="C53" s="66"/>
      <c r="D53" s="67"/>
      <c r="E53" s="82"/>
      <c r="F53" s="82"/>
      <c r="G53" s="82"/>
      <c r="H53" s="82"/>
      <c r="I53" s="93" t="str">
        <f t="shared" si="0"/>
        <v/>
      </c>
      <c r="J53" s="82"/>
      <c r="K53" s="94" t="str">
        <f>IF(OR(D53="",E53=""),"",IF(J53="",G53,IF(D53="Buy",MROUND(MAX(E53*(1-Settings!$K$8),J53*(1-Settings!$K$6)),Settings!$K$10),MROUND(MIN(E53*(1+Settings!$K$8),J53*(1+Settings!$K$6)),Settings!$K$10))))</f>
        <v/>
      </c>
      <c r="L53" s="95" t="str">
        <f t="shared" si="1"/>
        <v/>
      </c>
      <c r="M53" s="82"/>
      <c r="N53" s="94" t="str">
        <f>IF(OR(D53="",E53=""),"",IF(M53="",H53,IF(D53="Buy",MROUND(MAX(E53*(1-Settings!$K$8),M53*(1-Settings!$K$6)),Settings!$K$10),MROUND(MIN(E53*(1+Settings!$K$8),M53*(1+Settings!$K$6)),Settings!$K$10))))</f>
        <v/>
      </c>
      <c r="O53" s="95" t="str">
        <f t="shared" si="2"/>
        <v/>
      </c>
      <c r="P53" s="82"/>
      <c r="Q53" s="94" t="str">
        <f>IF(OR(D53="",P53=""),"",IF(D53="Buy",MROUND(P53*(1-Settings!$K$6),Settings!$K$10),MROUND(P53*(1+Settings!$K$6),Settings!$K$10)))</f>
        <v/>
      </c>
      <c r="R53" s="95" t="str">
        <f t="shared" si="3"/>
        <v/>
      </c>
      <c r="S53" s="82"/>
      <c r="T53" s="94" t="str">
        <f>IF(OR(D53="",S53=""),"",IF(D53="Buy",MROUND(S53*(1-Settings!$K$6),Settings!$K$10),MROUND(S53*(1+Settings!$K$6),Settings!$K$10)))</f>
        <v/>
      </c>
      <c r="U53" s="67"/>
      <c r="V53" s="109" t="str">
        <f t="shared" si="4"/>
        <v/>
      </c>
      <c r="W53" s="110"/>
      <c r="X53" s="109" t="str">
        <f t="shared" si="5"/>
        <v/>
      </c>
      <c r="Y53" s="109" t="str">
        <f t="shared" si="6"/>
        <v/>
      </c>
      <c r="Z53" s="82"/>
    </row>
    <row r="54" ht="20" customHeight="1" spans="1:26">
      <c r="A54" s="64">
        <v>41</v>
      </c>
      <c r="B54" s="65"/>
      <c r="C54" s="66"/>
      <c r="D54" s="67"/>
      <c r="E54" s="82"/>
      <c r="F54" s="82"/>
      <c r="G54" s="82"/>
      <c r="H54" s="82"/>
      <c r="I54" s="93" t="str">
        <f t="shared" si="0"/>
        <v/>
      </c>
      <c r="J54" s="82"/>
      <c r="K54" s="94" t="str">
        <f>IF(OR(D54="",E54=""),"",IF(J54="",G54,IF(D54="Buy",MROUND(MAX(E54*(1-Settings!$K$8),J54*(1-Settings!$K$6)),Settings!$K$10),MROUND(MIN(E54*(1+Settings!$K$8),J54*(1+Settings!$K$6)),Settings!$K$10))))</f>
        <v/>
      </c>
      <c r="L54" s="95" t="str">
        <f t="shared" si="1"/>
        <v/>
      </c>
      <c r="M54" s="82"/>
      <c r="N54" s="94" t="str">
        <f>IF(OR(D54="",E54=""),"",IF(M54="",H54,IF(D54="Buy",MROUND(MAX(E54*(1-Settings!$K$8),M54*(1-Settings!$K$6)),Settings!$K$10),MROUND(MIN(E54*(1+Settings!$K$8),M54*(1+Settings!$K$6)),Settings!$K$10))))</f>
        <v/>
      </c>
      <c r="O54" s="95" t="str">
        <f t="shared" si="2"/>
        <v/>
      </c>
      <c r="P54" s="82"/>
      <c r="Q54" s="94" t="str">
        <f>IF(OR(D54="",P54=""),"",IF(D54="Buy",MROUND(P54*(1-Settings!$K$6),Settings!$K$10),MROUND(P54*(1+Settings!$K$6),Settings!$K$10)))</f>
        <v/>
      </c>
      <c r="R54" s="95" t="str">
        <f t="shared" si="3"/>
        <v/>
      </c>
      <c r="S54" s="82"/>
      <c r="T54" s="94" t="str">
        <f>IF(OR(D54="",S54=""),"",IF(D54="Buy",MROUND(S54*(1-Settings!$K$6),Settings!$K$10),MROUND(S54*(1+Settings!$K$6),Settings!$K$10)))</f>
        <v/>
      </c>
      <c r="U54" s="67"/>
      <c r="V54" s="109" t="str">
        <f t="shared" si="4"/>
        <v/>
      </c>
      <c r="W54" s="110"/>
      <c r="X54" s="109" t="str">
        <f t="shared" si="5"/>
        <v/>
      </c>
      <c r="Y54" s="109" t="str">
        <f t="shared" si="6"/>
        <v/>
      </c>
      <c r="Z54" s="82"/>
    </row>
    <row r="55" ht="20" customHeight="1" spans="1:26">
      <c r="A55" s="64">
        <v>42</v>
      </c>
      <c r="B55" s="65"/>
      <c r="C55" s="66"/>
      <c r="D55" s="67"/>
      <c r="E55" s="82"/>
      <c r="F55" s="82"/>
      <c r="G55" s="82"/>
      <c r="H55" s="82"/>
      <c r="I55" s="93" t="str">
        <f t="shared" si="0"/>
        <v/>
      </c>
      <c r="J55" s="82"/>
      <c r="K55" s="94" t="str">
        <f>IF(OR(D55="",E55=""),"",IF(J55="",G55,IF(D55="Buy",MROUND(MAX(E55*(1-Settings!$K$8),J55*(1-Settings!$K$6)),Settings!$K$10),MROUND(MIN(E55*(1+Settings!$K$8),J55*(1+Settings!$K$6)),Settings!$K$10))))</f>
        <v/>
      </c>
      <c r="L55" s="95" t="str">
        <f t="shared" si="1"/>
        <v/>
      </c>
      <c r="M55" s="82"/>
      <c r="N55" s="94" t="str">
        <f>IF(OR(D55="",E55=""),"",IF(M55="",H55,IF(D55="Buy",MROUND(MAX(E55*(1-Settings!$K$8),M55*(1-Settings!$K$6)),Settings!$K$10),MROUND(MIN(E55*(1+Settings!$K$8),M55*(1+Settings!$K$6)),Settings!$K$10))))</f>
        <v/>
      </c>
      <c r="O55" s="95" t="str">
        <f t="shared" si="2"/>
        <v/>
      </c>
      <c r="P55" s="82"/>
      <c r="Q55" s="94" t="str">
        <f>IF(OR(D55="",P55=""),"",IF(D55="Buy",MROUND(P55*(1-Settings!$K$6),Settings!$K$10),MROUND(P55*(1+Settings!$K$6),Settings!$K$10)))</f>
        <v/>
      </c>
      <c r="R55" s="95" t="str">
        <f t="shared" si="3"/>
        <v/>
      </c>
      <c r="S55" s="82"/>
      <c r="T55" s="94" t="str">
        <f>IF(OR(D55="",S55=""),"",IF(D55="Buy",MROUND(S55*(1-Settings!$K$6),Settings!$K$10),MROUND(S55*(1+Settings!$K$6),Settings!$K$10)))</f>
        <v/>
      </c>
      <c r="U55" s="67"/>
      <c r="V55" s="109" t="str">
        <f t="shared" si="4"/>
        <v/>
      </c>
      <c r="W55" s="110"/>
      <c r="X55" s="109" t="str">
        <f t="shared" si="5"/>
        <v/>
      </c>
      <c r="Y55" s="109" t="str">
        <f t="shared" si="6"/>
        <v/>
      </c>
      <c r="Z55" s="82"/>
    </row>
    <row r="56" ht="20" customHeight="1" spans="1:26">
      <c r="A56" s="64">
        <v>43</v>
      </c>
      <c r="B56" s="65"/>
      <c r="C56" s="66"/>
      <c r="D56" s="67"/>
      <c r="E56" s="82"/>
      <c r="F56" s="82"/>
      <c r="G56" s="82"/>
      <c r="H56" s="82"/>
      <c r="I56" s="93" t="str">
        <f t="shared" si="0"/>
        <v/>
      </c>
      <c r="J56" s="82"/>
      <c r="K56" s="94" t="str">
        <f>IF(OR(D56="",E56=""),"",IF(J56="",G56,IF(D56="Buy",MROUND(MAX(E56*(1-Settings!$K$8),J56*(1-Settings!$K$6)),Settings!$K$10),MROUND(MIN(E56*(1+Settings!$K$8),J56*(1+Settings!$K$6)),Settings!$K$10))))</f>
        <v/>
      </c>
      <c r="L56" s="95" t="str">
        <f t="shared" si="1"/>
        <v/>
      </c>
      <c r="M56" s="82"/>
      <c r="N56" s="94" t="str">
        <f>IF(OR(D56="",E56=""),"",IF(M56="",H56,IF(D56="Buy",MROUND(MAX(E56*(1-Settings!$K$8),M56*(1-Settings!$K$6)),Settings!$K$10),MROUND(MIN(E56*(1+Settings!$K$8),M56*(1+Settings!$K$6)),Settings!$K$10))))</f>
        <v/>
      </c>
      <c r="O56" s="95" t="str">
        <f t="shared" si="2"/>
        <v/>
      </c>
      <c r="P56" s="82"/>
      <c r="Q56" s="94" t="str">
        <f>IF(OR(D56="",P56=""),"",IF(D56="Buy",MROUND(P56*(1-Settings!$K$6),Settings!$K$10),MROUND(P56*(1+Settings!$K$6),Settings!$K$10)))</f>
        <v/>
      </c>
      <c r="R56" s="95" t="str">
        <f t="shared" si="3"/>
        <v/>
      </c>
      <c r="S56" s="82"/>
      <c r="T56" s="94" t="str">
        <f>IF(OR(D56="",S56=""),"",IF(D56="Buy",MROUND(S56*(1-Settings!$K$6),Settings!$K$10),MROUND(S56*(1+Settings!$K$6),Settings!$K$10)))</f>
        <v/>
      </c>
      <c r="U56" s="67"/>
      <c r="V56" s="109" t="str">
        <f t="shared" si="4"/>
        <v/>
      </c>
      <c r="W56" s="110"/>
      <c r="X56" s="109" t="str">
        <f t="shared" si="5"/>
        <v/>
      </c>
      <c r="Y56" s="109" t="str">
        <f t="shared" si="6"/>
        <v/>
      </c>
      <c r="Z56" s="82"/>
    </row>
    <row r="57" ht="20" customHeight="1" spans="1:26">
      <c r="A57" s="64">
        <v>44</v>
      </c>
      <c r="B57" s="65"/>
      <c r="C57" s="66"/>
      <c r="D57" s="67"/>
      <c r="E57" s="82"/>
      <c r="F57" s="82"/>
      <c r="G57" s="82"/>
      <c r="H57" s="82"/>
      <c r="I57" s="93" t="str">
        <f t="shared" si="0"/>
        <v/>
      </c>
      <c r="J57" s="82"/>
      <c r="K57" s="94" t="str">
        <f>IF(OR(D57="",E57=""),"",IF(J57="",G57,IF(D57="Buy",MROUND(MAX(E57*(1-Settings!$K$8),J57*(1-Settings!$K$6)),Settings!$K$10),MROUND(MIN(E57*(1+Settings!$K$8),J57*(1+Settings!$K$6)),Settings!$K$10))))</f>
        <v/>
      </c>
      <c r="L57" s="95" t="str">
        <f t="shared" si="1"/>
        <v/>
      </c>
      <c r="M57" s="82"/>
      <c r="N57" s="94" t="str">
        <f>IF(OR(D57="",E57=""),"",IF(M57="",H57,IF(D57="Buy",MROUND(MAX(E57*(1-Settings!$K$8),M57*(1-Settings!$K$6)),Settings!$K$10),MROUND(MIN(E57*(1+Settings!$K$8),M57*(1+Settings!$K$6)),Settings!$K$10))))</f>
        <v/>
      </c>
      <c r="O57" s="95" t="str">
        <f t="shared" si="2"/>
        <v/>
      </c>
      <c r="P57" s="82"/>
      <c r="Q57" s="94" t="str">
        <f>IF(OR(D57="",P57=""),"",IF(D57="Buy",MROUND(P57*(1-Settings!$K$6),Settings!$K$10),MROUND(P57*(1+Settings!$K$6),Settings!$K$10)))</f>
        <v/>
      </c>
      <c r="R57" s="95" t="str">
        <f t="shared" si="3"/>
        <v/>
      </c>
      <c r="S57" s="82"/>
      <c r="T57" s="94" t="str">
        <f>IF(OR(D57="",S57=""),"",IF(D57="Buy",MROUND(S57*(1-Settings!$K$6),Settings!$K$10),MROUND(S57*(1+Settings!$K$6),Settings!$K$10)))</f>
        <v/>
      </c>
      <c r="U57" s="67"/>
      <c r="V57" s="109" t="str">
        <f t="shared" si="4"/>
        <v/>
      </c>
      <c r="W57" s="110"/>
      <c r="X57" s="109" t="str">
        <f t="shared" si="5"/>
        <v/>
      </c>
      <c r="Y57" s="109" t="str">
        <f t="shared" si="6"/>
        <v/>
      </c>
      <c r="Z57" s="82"/>
    </row>
    <row r="58" ht="20" customHeight="1" spans="1:26">
      <c r="A58" s="64">
        <v>45</v>
      </c>
      <c r="B58" s="65"/>
      <c r="C58" s="66"/>
      <c r="D58" s="67"/>
      <c r="E58" s="82"/>
      <c r="F58" s="82"/>
      <c r="G58" s="82"/>
      <c r="H58" s="82"/>
      <c r="I58" s="93" t="str">
        <f t="shared" si="0"/>
        <v/>
      </c>
      <c r="J58" s="82"/>
      <c r="K58" s="94" t="str">
        <f>IF(OR(D58="",E58=""),"",IF(J58="",G58,IF(D58="Buy",MROUND(MAX(E58*(1-Settings!$K$8),J58*(1-Settings!$K$6)),Settings!$K$10),MROUND(MIN(E58*(1+Settings!$K$8),J58*(1+Settings!$K$6)),Settings!$K$10))))</f>
        <v/>
      </c>
      <c r="L58" s="95" t="str">
        <f t="shared" si="1"/>
        <v/>
      </c>
      <c r="M58" s="82"/>
      <c r="N58" s="94" t="str">
        <f>IF(OR(D58="",E58=""),"",IF(M58="",H58,IF(D58="Buy",MROUND(MAX(E58*(1-Settings!$K$8),M58*(1-Settings!$K$6)),Settings!$K$10),MROUND(MIN(E58*(1+Settings!$K$8),M58*(1+Settings!$K$6)),Settings!$K$10))))</f>
        <v/>
      </c>
      <c r="O58" s="95" t="str">
        <f t="shared" si="2"/>
        <v/>
      </c>
      <c r="P58" s="82"/>
      <c r="Q58" s="94" t="str">
        <f>IF(OR(D58="",P58=""),"",IF(D58="Buy",MROUND(P58*(1-Settings!$K$6),Settings!$K$10),MROUND(P58*(1+Settings!$K$6),Settings!$K$10)))</f>
        <v/>
      </c>
      <c r="R58" s="95" t="str">
        <f t="shared" si="3"/>
        <v/>
      </c>
      <c r="S58" s="82"/>
      <c r="T58" s="94" t="str">
        <f>IF(OR(D58="",S58=""),"",IF(D58="Buy",MROUND(S58*(1-Settings!$K$6),Settings!$K$10),MROUND(S58*(1+Settings!$K$6),Settings!$K$10)))</f>
        <v/>
      </c>
      <c r="U58" s="67"/>
      <c r="V58" s="109" t="str">
        <f t="shared" si="4"/>
        <v/>
      </c>
      <c r="W58" s="110"/>
      <c r="X58" s="109" t="str">
        <f t="shared" si="5"/>
        <v/>
      </c>
      <c r="Y58" s="109" t="str">
        <f t="shared" si="6"/>
        <v/>
      </c>
      <c r="Z58" s="82"/>
    </row>
    <row r="59" ht="20" customHeight="1" spans="1:26">
      <c r="A59" s="64">
        <v>46</v>
      </c>
      <c r="B59" s="65"/>
      <c r="C59" s="66"/>
      <c r="D59" s="67"/>
      <c r="E59" s="82"/>
      <c r="F59" s="82"/>
      <c r="G59" s="82"/>
      <c r="H59" s="82"/>
      <c r="I59" s="93" t="str">
        <f t="shared" si="0"/>
        <v/>
      </c>
      <c r="J59" s="82"/>
      <c r="K59" s="94" t="str">
        <f>IF(OR(D59="",E59=""),"",IF(J59="",G59,IF(D59="Buy",MROUND(MAX(E59*(1-Settings!$K$8),J59*(1-Settings!$K$6)),Settings!$K$10),MROUND(MIN(E59*(1+Settings!$K$8),J59*(1+Settings!$K$6)),Settings!$K$10))))</f>
        <v/>
      </c>
      <c r="L59" s="95" t="str">
        <f t="shared" si="1"/>
        <v/>
      </c>
      <c r="M59" s="82"/>
      <c r="N59" s="94" t="str">
        <f>IF(OR(D59="",E59=""),"",IF(M59="",H59,IF(D59="Buy",MROUND(MAX(E59*(1-Settings!$K$8),M59*(1-Settings!$K$6)),Settings!$K$10),MROUND(MIN(E59*(1+Settings!$K$8),M59*(1+Settings!$K$6)),Settings!$K$10))))</f>
        <v/>
      </c>
      <c r="O59" s="95" t="str">
        <f t="shared" si="2"/>
        <v/>
      </c>
      <c r="P59" s="82"/>
      <c r="Q59" s="94" t="str">
        <f>IF(OR(D59="",P59=""),"",IF(D59="Buy",MROUND(P59*(1-Settings!$K$6),Settings!$K$10),MROUND(P59*(1+Settings!$K$6),Settings!$K$10)))</f>
        <v/>
      </c>
      <c r="R59" s="95" t="str">
        <f t="shared" si="3"/>
        <v/>
      </c>
      <c r="S59" s="82"/>
      <c r="T59" s="94" t="str">
        <f>IF(OR(D59="",S59=""),"",IF(D59="Buy",MROUND(S59*(1-Settings!$K$6),Settings!$K$10),MROUND(S59*(1+Settings!$K$6),Settings!$K$10)))</f>
        <v/>
      </c>
      <c r="U59" s="67"/>
      <c r="V59" s="109" t="str">
        <f t="shared" si="4"/>
        <v/>
      </c>
      <c r="W59" s="110"/>
      <c r="X59" s="109" t="str">
        <f t="shared" si="5"/>
        <v/>
      </c>
      <c r="Y59" s="109" t="str">
        <f t="shared" si="6"/>
        <v/>
      </c>
      <c r="Z59" s="82"/>
    </row>
    <row r="60" ht="20" customHeight="1" spans="1:26">
      <c r="A60" s="64">
        <v>47</v>
      </c>
      <c r="B60" s="65"/>
      <c r="C60" s="66"/>
      <c r="D60" s="67"/>
      <c r="E60" s="82"/>
      <c r="F60" s="82"/>
      <c r="G60" s="82"/>
      <c r="H60" s="82"/>
      <c r="I60" s="93" t="str">
        <f t="shared" si="0"/>
        <v/>
      </c>
      <c r="J60" s="82"/>
      <c r="K60" s="94" t="str">
        <f>IF(OR(D60="",E60=""),"",IF(J60="",G60,IF(D60="Buy",MROUND(MAX(E60*(1-Settings!$K$8),J60*(1-Settings!$K$6)),Settings!$K$10),MROUND(MIN(E60*(1+Settings!$K$8),J60*(1+Settings!$K$6)),Settings!$K$10))))</f>
        <v/>
      </c>
      <c r="L60" s="95" t="str">
        <f t="shared" si="1"/>
        <v/>
      </c>
      <c r="M60" s="82"/>
      <c r="N60" s="94" t="str">
        <f>IF(OR(D60="",E60=""),"",IF(M60="",H60,IF(D60="Buy",MROUND(MAX(E60*(1-Settings!$K$8),M60*(1-Settings!$K$6)),Settings!$K$10),MROUND(MIN(E60*(1+Settings!$K$8),M60*(1+Settings!$K$6)),Settings!$K$10))))</f>
        <v/>
      </c>
      <c r="O60" s="95" t="str">
        <f t="shared" si="2"/>
        <v/>
      </c>
      <c r="P60" s="82"/>
      <c r="Q60" s="94" t="str">
        <f>IF(OR(D60="",P60=""),"",IF(D60="Buy",MROUND(P60*(1-Settings!$K$6),Settings!$K$10),MROUND(P60*(1+Settings!$K$6),Settings!$K$10)))</f>
        <v/>
      </c>
      <c r="R60" s="95" t="str">
        <f t="shared" si="3"/>
        <v/>
      </c>
      <c r="S60" s="82"/>
      <c r="T60" s="94" t="str">
        <f>IF(OR(D60="",S60=""),"",IF(D60="Buy",MROUND(S60*(1-Settings!$K$6),Settings!$K$10),MROUND(S60*(1+Settings!$K$6),Settings!$K$10)))</f>
        <v/>
      </c>
      <c r="U60" s="67"/>
      <c r="V60" s="109" t="str">
        <f t="shared" si="4"/>
        <v/>
      </c>
      <c r="W60" s="110"/>
      <c r="X60" s="109" t="str">
        <f t="shared" si="5"/>
        <v/>
      </c>
      <c r="Y60" s="109" t="str">
        <f t="shared" si="6"/>
        <v/>
      </c>
      <c r="Z60" s="82"/>
    </row>
    <row r="61" ht="20" customHeight="1" spans="1:26">
      <c r="A61" s="64">
        <v>48</v>
      </c>
      <c r="B61" s="65"/>
      <c r="C61" s="66"/>
      <c r="D61" s="67"/>
      <c r="E61" s="82"/>
      <c r="F61" s="82"/>
      <c r="G61" s="82"/>
      <c r="H61" s="82"/>
      <c r="I61" s="93" t="str">
        <f t="shared" si="0"/>
        <v/>
      </c>
      <c r="J61" s="82"/>
      <c r="K61" s="94" t="str">
        <f>IF(OR(D61="",E61=""),"",IF(J61="",G61,IF(D61="Buy",MROUND(MAX(E61*(1-Settings!$K$8),J61*(1-Settings!$K$6)),Settings!$K$10),MROUND(MIN(E61*(1+Settings!$K$8),J61*(1+Settings!$K$6)),Settings!$K$10))))</f>
        <v/>
      </c>
      <c r="L61" s="95" t="str">
        <f t="shared" si="1"/>
        <v/>
      </c>
      <c r="M61" s="82"/>
      <c r="N61" s="94" t="str">
        <f>IF(OR(D61="",E61=""),"",IF(M61="",H61,IF(D61="Buy",MROUND(MAX(E61*(1-Settings!$K$8),M61*(1-Settings!$K$6)),Settings!$K$10),MROUND(MIN(E61*(1+Settings!$K$8),M61*(1+Settings!$K$6)),Settings!$K$10))))</f>
        <v/>
      </c>
      <c r="O61" s="95" t="str">
        <f t="shared" si="2"/>
        <v/>
      </c>
      <c r="P61" s="82"/>
      <c r="Q61" s="94" t="str">
        <f>IF(OR(D61="",P61=""),"",IF(D61="Buy",MROUND(P61*(1-Settings!$K$6),Settings!$K$10),MROUND(P61*(1+Settings!$K$6),Settings!$K$10)))</f>
        <v/>
      </c>
      <c r="R61" s="95" t="str">
        <f t="shared" si="3"/>
        <v/>
      </c>
      <c r="S61" s="82"/>
      <c r="T61" s="94" t="str">
        <f>IF(OR(D61="",S61=""),"",IF(D61="Buy",MROUND(S61*(1-Settings!$K$6),Settings!$K$10),MROUND(S61*(1+Settings!$K$6),Settings!$K$10)))</f>
        <v/>
      </c>
      <c r="U61" s="67"/>
      <c r="V61" s="109" t="str">
        <f t="shared" si="4"/>
        <v/>
      </c>
      <c r="W61" s="110"/>
      <c r="X61" s="109" t="str">
        <f t="shared" si="5"/>
        <v/>
      </c>
      <c r="Y61" s="109" t="str">
        <f t="shared" si="6"/>
        <v/>
      </c>
      <c r="Z61" s="82"/>
    </row>
    <row r="62" ht="20" customHeight="1" spans="1:26">
      <c r="A62" s="64">
        <v>49</v>
      </c>
      <c r="B62" s="65"/>
      <c r="C62" s="66"/>
      <c r="D62" s="67"/>
      <c r="E62" s="82"/>
      <c r="F62" s="82"/>
      <c r="G62" s="82"/>
      <c r="H62" s="82"/>
      <c r="I62" s="93" t="str">
        <f t="shared" si="0"/>
        <v/>
      </c>
      <c r="J62" s="82"/>
      <c r="K62" s="94" t="str">
        <f>IF(OR(D62="",E62=""),"",IF(J62="",G62,IF(D62="Buy",MROUND(MAX(E62*(1-Settings!$K$8),J62*(1-Settings!$K$6)),Settings!$K$10),MROUND(MIN(E62*(1+Settings!$K$8),J62*(1+Settings!$K$6)),Settings!$K$10))))</f>
        <v/>
      </c>
      <c r="L62" s="95" t="str">
        <f t="shared" si="1"/>
        <v/>
      </c>
      <c r="M62" s="82"/>
      <c r="N62" s="94" t="str">
        <f>IF(OR(D62="",E62=""),"",IF(M62="",H62,IF(D62="Buy",MROUND(MAX(E62*(1-Settings!$K$8),M62*(1-Settings!$K$6)),Settings!$K$10),MROUND(MIN(E62*(1+Settings!$K$8),M62*(1+Settings!$K$6)),Settings!$K$10))))</f>
        <v/>
      </c>
      <c r="O62" s="95" t="str">
        <f t="shared" si="2"/>
        <v/>
      </c>
      <c r="P62" s="82"/>
      <c r="Q62" s="94" t="str">
        <f>IF(OR(D62="",P62=""),"",IF(D62="Buy",MROUND(P62*(1-Settings!$K$6),Settings!$K$10),MROUND(P62*(1+Settings!$K$6),Settings!$K$10)))</f>
        <v/>
      </c>
      <c r="R62" s="95" t="str">
        <f t="shared" si="3"/>
        <v/>
      </c>
      <c r="S62" s="82"/>
      <c r="T62" s="94" t="str">
        <f>IF(OR(D62="",S62=""),"",IF(D62="Buy",MROUND(S62*(1-Settings!$K$6),Settings!$K$10),MROUND(S62*(1+Settings!$K$6),Settings!$K$10)))</f>
        <v/>
      </c>
      <c r="U62" s="67"/>
      <c r="V62" s="109" t="str">
        <f t="shared" si="4"/>
        <v/>
      </c>
      <c r="W62" s="110"/>
      <c r="X62" s="109" t="str">
        <f t="shared" si="5"/>
        <v/>
      </c>
      <c r="Y62" s="109" t="str">
        <f t="shared" si="6"/>
        <v/>
      </c>
      <c r="Z62" s="82"/>
    </row>
    <row r="63" ht="20" customHeight="1" spans="1:26">
      <c r="A63" s="64">
        <v>50</v>
      </c>
      <c r="B63" s="65"/>
      <c r="C63" s="66"/>
      <c r="D63" s="67"/>
      <c r="E63" s="82"/>
      <c r="F63" s="82"/>
      <c r="G63" s="82"/>
      <c r="H63" s="82"/>
      <c r="I63" s="93" t="str">
        <f t="shared" si="0"/>
        <v/>
      </c>
      <c r="J63" s="82"/>
      <c r="K63" s="94" t="str">
        <f>IF(OR(D63="",E63=""),"",IF(J63="",G63,IF(D63="Buy",MROUND(MAX(E63*(1-Settings!$K$8),J63*(1-Settings!$K$6)),Settings!$K$10),MROUND(MIN(E63*(1+Settings!$K$8),J63*(1+Settings!$K$6)),Settings!$K$10))))</f>
        <v/>
      </c>
      <c r="L63" s="95" t="str">
        <f t="shared" si="1"/>
        <v/>
      </c>
      <c r="M63" s="82"/>
      <c r="N63" s="94" t="str">
        <f>IF(OR(D63="",E63=""),"",IF(M63="",H63,IF(D63="Buy",MROUND(MAX(E63*(1-Settings!$K$8),M63*(1-Settings!$K$6)),Settings!$K$10),MROUND(MIN(E63*(1+Settings!$K$8),M63*(1+Settings!$K$6)),Settings!$K$10))))</f>
        <v/>
      </c>
      <c r="O63" s="95" t="str">
        <f t="shared" si="2"/>
        <v/>
      </c>
      <c r="P63" s="82"/>
      <c r="Q63" s="94" t="str">
        <f>IF(OR(D63="",P63=""),"",IF(D63="Buy",MROUND(P63*(1-Settings!$K$6),Settings!$K$10),MROUND(P63*(1+Settings!$K$6),Settings!$K$10)))</f>
        <v/>
      </c>
      <c r="R63" s="95" t="str">
        <f t="shared" si="3"/>
        <v/>
      </c>
      <c r="S63" s="82"/>
      <c r="T63" s="94" t="str">
        <f>IF(OR(D63="",S63=""),"",IF(D63="Buy",MROUND(S63*(1-Settings!$K$6),Settings!$K$10),MROUND(S63*(1+Settings!$K$6),Settings!$K$10)))</f>
        <v/>
      </c>
      <c r="U63" s="67"/>
      <c r="V63" s="109" t="str">
        <f t="shared" si="4"/>
        <v/>
      </c>
      <c r="W63" s="110"/>
      <c r="X63" s="109" t="str">
        <f t="shared" si="5"/>
        <v/>
      </c>
      <c r="Y63" s="109" t="str">
        <f t="shared" si="6"/>
        <v/>
      </c>
      <c r="Z63" s="82"/>
    </row>
    <row r="64" ht="20" customHeight="1" spans="1:26">
      <c r="A64" s="64">
        <v>51</v>
      </c>
      <c r="B64" s="65"/>
      <c r="C64" s="66"/>
      <c r="D64" s="67"/>
      <c r="E64" s="82"/>
      <c r="F64" s="82"/>
      <c r="G64" s="82"/>
      <c r="H64" s="82"/>
      <c r="I64" s="93" t="str">
        <f t="shared" si="0"/>
        <v/>
      </c>
      <c r="J64" s="82"/>
      <c r="K64" s="94" t="str">
        <f>IF(OR(D64="",E64=""),"",IF(J64="",G64,IF(D64="Buy",MROUND(MAX(E64*(1-Settings!$K$8),J64*(1-Settings!$K$6)),Settings!$K$10),MROUND(MIN(E64*(1+Settings!$K$8),J64*(1+Settings!$K$6)),Settings!$K$10))))</f>
        <v/>
      </c>
      <c r="L64" s="95" t="str">
        <f t="shared" si="1"/>
        <v/>
      </c>
      <c r="M64" s="82"/>
      <c r="N64" s="94" t="str">
        <f>IF(OR(D64="",E64=""),"",IF(M64="",H64,IF(D64="Buy",MROUND(MAX(E64*(1-Settings!$K$8),M64*(1-Settings!$K$6)),Settings!$K$10),MROUND(MIN(E64*(1+Settings!$K$8),M64*(1+Settings!$K$6)),Settings!$K$10))))</f>
        <v/>
      </c>
      <c r="O64" s="95" t="str">
        <f t="shared" si="2"/>
        <v/>
      </c>
      <c r="P64" s="82"/>
      <c r="Q64" s="94" t="str">
        <f>IF(OR(D64="",P64=""),"",IF(D64="Buy",MROUND(P64*(1-Settings!$K$6),Settings!$K$10),MROUND(P64*(1+Settings!$K$6),Settings!$K$10)))</f>
        <v/>
      </c>
      <c r="R64" s="95" t="str">
        <f t="shared" si="3"/>
        <v/>
      </c>
      <c r="S64" s="82"/>
      <c r="T64" s="94" t="str">
        <f>IF(OR(D64="",S64=""),"",IF(D64="Buy",MROUND(S64*(1-Settings!$K$6),Settings!$K$10),MROUND(S64*(1+Settings!$K$6),Settings!$K$10)))</f>
        <v/>
      </c>
      <c r="U64" s="67"/>
      <c r="V64" s="109" t="str">
        <f t="shared" si="4"/>
        <v/>
      </c>
      <c r="W64" s="110"/>
      <c r="X64" s="109" t="str">
        <f t="shared" si="5"/>
        <v/>
      </c>
      <c r="Y64" s="109" t="str">
        <f t="shared" si="6"/>
        <v/>
      </c>
      <c r="Z64" s="82"/>
    </row>
    <row r="65" ht="20" customHeight="1" spans="1:26">
      <c r="A65" s="64">
        <v>52</v>
      </c>
      <c r="B65" s="65"/>
      <c r="C65" s="66"/>
      <c r="D65" s="67"/>
      <c r="E65" s="82"/>
      <c r="F65" s="82"/>
      <c r="G65" s="82"/>
      <c r="H65" s="82"/>
      <c r="I65" s="93" t="str">
        <f t="shared" si="0"/>
        <v/>
      </c>
      <c r="J65" s="82"/>
      <c r="K65" s="94" t="str">
        <f>IF(OR(D65="",E65=""),"",IF(J65="",G65,IF(D65="Buy",MROUND(MAX(E65*(1-Settings!$K$8),J65*(1-Settings!$K$6)),Settings!$K$10),MROUND(MIN(E65*(1+Settings!$K$8),J65*(1+Settings!$K$6)),Settings!$K$10))))</f>
        <v/>
      </c>
      <c r="L65" s="95" t="str">
        <f t="shared" si="1"/>
        <v/>
      </c>
      <c r="M65" s="82"/>
      <c r="N65" s="94" t="str">
        <f>IF(OR(D65="",E65=""),"",IF(M65="",H65,IF(D65="Buy",MROUND(MAX(E65*(1-Settings!$K$8),M65*(1-Settings!$K$6)),Settings!$K$10),MROUND(MIN(E65*(1+Settings!$K$8),M65*(1+Settings!$K$6)),Settings!$K$10))))</f>
        <v/>
      </c>
      <c r="O65" s="95" t="str">
        <f t="shared" si="2"/>
        <v/>
      </c>
      <c r="P65" s="82"/>
      <c r="Q65" s="94" t="str">
        <f>IF(OR(D65="",P65=""),"",IF(D65="Buy",MROUND(P65*(1-Settings!$K$6),Settings!$K$10),MROUND(P65*(1+Settings!$K$6),Settings!$K$10)))</f>
        <v/>
      </c>
      <c r="R65" s="95" t="str">
        <f t="shared" si="3"/>
        <v/>
      </c>
      <c r="S65" s="82"/>
      <c r="T65" s="94" t="str">
        <f>IF(OR(D65="",S65=""),"",IF(D65="Buy",MROUND(S65*(1-Settings!$K$6),Settings!$K$10),MROUND(S65*(1+Settings!$K$6),Settings!$K$10)))</f>
        <v/>
      </c>
      <c r="U65" s="67"/>
      <c r="V65" s="109" t="str">
        <f t="shared" si="4"/>
        <v/>
      </c>
      <c r="W65" s="110"/>
      <c r="X65" s="109" t="str">
        <f t="shared" si="5"/>
        <v/>
      </c>
      <c r="Y65" s="109" t="str">
        <f t="shared" si="6"/>
        <v/>
      </c>
      <c r="Z65" s="82"/>
    </row>
    <row r="66" ht="20" customHeight="1" spans="1:26">
      <c r="A66" s="64">
        <v>53</v>
      </c>
      <c r="B66" s="65"/>
      <c r="C66" s="66"/>
      <c r="D66" s="67"/>
      <c r="E66" s="82"/>
      <c r="F66" s="82"/>
      <c r="G66" s="82"/>
      <c r="H66" s="82"/>
      <c r="I66" s="93" t="str">
        <f t="shared" si="0"/>
        <v/>
      </c>
      <c r="J66" s="82"/>
      <c r="K66" s="94" t="str">
        <f>IF(OR(D66="",E66=""),"",IF(J66="",G66,IF(D66="Buy",MROUND(MAX(E66*(1-Settings!$K$8),J66*(1-Settings!$K$6)),Settings!$K$10),MROUND(MIN(E66*(1+Settings!$K$8),J66*(1+Settings!$K$6)),Settings!$K$10))))</f>
        <v/>
      </c>
      <c r="L66" s="95" t="str">
        <f t="shared" si="1"/>
        <v/>
      </c>
      <c r="M66" s="82"/>
      <c r="N66" s="94" t="str">
        <f>IF(OR(D66="",E66=""),"",IF(M66="",H66,IF(D66="Buy",MROUND(MAX(E66*(1-Settings!$K$8),M66*(1-Settings!$K$6)),Settings!$K$10),MROUND(MIN(E66*(1+Settings!$K$8),M66*(1+Settings!$K$6)),Settings!$K$10))))</f>
        <v/>
      </c>
      <c r="O66" s="95" t="str">
        <f t="shared" si="2"/>
        <v/>
      </c>
      <c r="P66" s="82"/>
      <c r="Q66" s="94" t="str">
        <f>IF(OR(D66="",P66=""),"",IF(D66="Buy",MROUND(P66*(1-Settings!$K$6),Settings!$K$10),MROUND(P66*(1+Settings!$K$6),Settings!$K$10)))</f>
        <v/>
      </c>
      <c r="R66" s="95" t="str">
        <f t="shared" si="3"/>
        <v/>
      </c>
      <c r="S66" s="82"/>
      <c r="T66" s="94" t="str">
        <f>IF(OR(D66="",S66=""),"",IF(D66="Buy",MROUND(S66*(1-Settings!$K$6),Settings!$K$10),MROUND(S66*(1+Settings!$K$6),Settings!$K$10)))</f>
        <v/>
      </c>
      <c r="U66" s="67"/>
      <c r="V66" s="109" t="str">
        <f t="shared" si="4"/>
        <v/>
      </c>
      <c r="W66" s="110"/>
      <c r="X66" s="109" t="str">
        <f t="shared" si="5"/>
        <v/>
      </c>
      <c r="Y66" s="109" t="str">
        <f t="shared" si="6"/>
        <v/>
      </c>
      <c r="Z66" s="82"/>
    </row>
    <row r="67" ht="20" customHeight="1" spans="1:26">
      <c r="A67" s="64">
        <v>54</v>
      </c>
      <c r="B67" s="65"/>
      <c r="C67" s="66"/>
      <c r="D67" s="67"/>
      <c r="E67" s="82"/>
      <c r="F67" s="82"/>
      <c r="G67" s="82"/>
      <c r="H67" s="82"/>
      <c r="I67" s="93" t="str">
        <f t="shared" si="0"/>
        <v/>
      </c>
      <c r="J67" s="82"/>
      <c r="K67" s="94" t="str">
        <f>IF(OR(D67="",E67=""),"",IF(J67="",G67,IF(D67="Buy",MROUND(MAX(E67*(1-Settings!$K$8),J67*(1-Settings!$K$6)),Settings!$K$10),MROUND(MIN(E67*(1+Settings!$K$8),J67*(1+Settings!$K$6)),Settings!$K$10))))</f>
        <v/>
      </c>
      <c r="L67" s="95" t="str">
        <f t="shared" si="1"/>
        <v/>
      </c>
      <c r="M67" s="82"/>
      <c r="N67" s="94" t="str">
        <f>IF(OR(D67="",E67=""),"",IF(M67="",H67,IF(D67="Buy",MROUND(MAX(E67*(1-Settings!$K$8),M67*(1-Settings!$K$6)),Settings!$K$10),MROUND(MIN(E67*(1+Settings!$K$8),M67*(1+Settings!$K$6)),Settings!$K$10))))</f>
        <v/>
      </c>
      <c r="O67" s="95" t="str">
        <f t="shared" si="2"/>
        <v/>
      </c>
      <c r="P67" s="82"/>
      <c r="Q67" s="94" t="str">
        <f>IF(OR(D67="",P67=""),"",IF(D67="Buy",MROUND(P67*(1-Settings!$K$6),Settings!$K$10),MROUND(P67*(1+Settings!$K$6),Settings!$K$10)))</f>
        <v/>
      </c>
      <c r="R67" s="95" t="str">
        <f t="shared" si="3"/>
        <v/>
      </c>
      <c r="S67" s="82"/>
      <c r="T67" s="94" t="str">
        <f>IF(OR(D67="",S67=""),"",IF(D67="Buy",MROUND(S67*(1-Settings!$K$6),Settings!$K$10),MROUND(S67*(1+Settings!$K$6),Settings!$K$10)))</f>
        <v/>
      </c>
      <c r="U67" s="67"/>
      <c r="V67" s="109" t="str">
        <f t="shared" si="4"/>
        <v/>
      </c>
      <c r="W67" s="110"/>
      <c r="X67" s="109" t="str">
        <f t="shared" si="5"/>
        <v/>
      </c>
      <c r="Y67" s="109" t="str">
        <f t="shared" si="6"/>
        <v/>
      </c>
      <c r="Z67" s="82"/>
    </row>
    <row r="68" ht="20" customHeight="1" spans="1:26">
      <c r="A68" s="64">
        <v>55</v>
      </c>
      <c r="B68" s="65"/>
      <c r="C68" s="66"/>
      <c r="D68" s="67"/>
      <c r="E68" s="82"/>
      <c r="F68" s="82"/>
      <c r="G68" s="82"/>
      <c r="H68" s="82"/>
      <c r="I68" s="93" t="str">
        <f t="shared" si="0"/>
        <v/>
      </c>
      <c r="J68" s="82"/>
      <c r="K68" s="94" t="str">
        <f>IF(OR(D68="",E68=""),"",IF(J68="",G68,IF(D68="Buy",MROUND(MAX(E68*(1-Settings!$K$8),J68*(1-Settings!$K$6)),Settings!$K$10),MROUND(MIN(E68*(1+Settings!$K$8),J68*(1+Settings!$K$6)),Settings!$K$10))))</f>
        <v/>
      </c>
      <c r="L68" s="95" t="str">
        <f t="shared" si="1"/>
        <v/>
      </c>
      <c r="M68" s="82"/>
      <c r="N68" s="94" t="str">
        <f>IF(OR(D68="",E68=""),"",IF(M68="",H68,IF(D68="Buy",MROUND(MAX(E68*(1-Settings!$K$8),M68*(1-Settings!$K$6)),Settings!$K$10),MROUND(MIN(E68*(1+Settings!$K$8),M68*(1+Settings!$K$6)),Settings!$K$10))))</f>
        <v/>
      </c>
      <c r="O68" s="95" t="str">
        <f t="shared" si="2"/>
        <v/>
      </c>
      <c r="P68" s="82"/>
      <c r="Q68" s="94" t="str">
        <f>IF(OR(D68="",P68=""),"",IF(D68="Buy",MROUND(P68*(1-Settings!$K$6),Settings!$K$10),MROUND(P68*(1+Settings!$K$6),Settings!$K$10)))</f>
        <v/>
      </c>
      <c r="R68" s="95" t="str">
        <f t="shared" si="3"/>
        <v/>
      </c>
      <c r="S68" s="82"/>
      <c r="T68" s="94" t="str">
        <f>IF(OR(D68="",S68=""),"",IF(D68="Buy",MROUND(S68*(1-Settings!$K$6),Settings!$K$10),MROUND(S68*(1+Settings!$K$6),Settings!$K$10)))</f>
        <v/>
      </c>
      <c r="U68" s="67"/>
      <c r="V68" s="109" t="str">
        <f t="shared" si="4"/>
        <v/>
      </c>
      <c r="W68" s="110"/>
      <c r="X68" s="109" t="str">
        <f t="shared" si="5"/>
        <v/>
      </c>
      <c r="Y68" s="109" t="str">
        <f t="shared" si="6"/>
        <v/>
      </c>
      <c r="Z68" s="82"/>
    </row>
    <row r="69" ht="20" customHeight="1" spans="1:26">
      <c r="A69" s="64">
        <v>56</v>
      </c>
      <c r="B69" s="65"/>
      <c r="C69" s="66"/>
      <c r="D69" s="67"/>
      <c r="E69" s="82"/>
      <c r="F69" s="82"/>
      <c r="G69" s="82"/>
      <c r="H69" s="82"/>
      <c r="I69" s="93" t="str">
        <f t="shared" si="0"/>
        <v/>
      </c>
      <c r="J69" s="82"/>
      <c r="K69" s="94" t="str">
        <f>IF(OR(D69="",E69=""),"",IF(J69="",G69,IF(D69="Buy",MROUND(MAX(E69*(1-Settings!$K$8),J69*(1-Settings!$K$6)),Settings!$K$10),MROUND(MIN(E69*(1+Settings!$K$8),J69*(1+Settings!$K$6)),Settings!$K$10))))</f>
        <v/>
      </c>
      <c r="L69" s="95" t="str">
        <f t="shared" si="1"/>
        <v/>
      </c>
      <c r="M69" s="82"/>
      <c r="N69" s="94" t="str">
        <f>IF(OR(D69="",E69=""),"",IF(M69="",H69,IF(D69="Buy",MROUND(MAX(E69*(1-Settings!$K$8),M69*(1-Settings!$K$6)),Settings!$K$10),MROUND(MIN(E69*(1+Settings!$K$8),M69*(1+Settings!$K$6)),Settings!$K$10))))</f>
        <v/>
      </c>
      <c r="O69" s="95" t="str">
        <f t="shared" si="2"/>
        <v/>
      </c>
      <c r="P69" s="82"/>
      <c r="Q69" s="94" t="str">
        <f>IF(OR(D69="",P69=""),"",IF(D69="Buy",MROUND(P69*(1-Settings!$K$6),Settings!$K$10),MROUND(P69*(1+Settings!$K$6),Settings!$K$10)))</f>
        <v/>
      </c>
      <c r="R69" s="95" t="str">
        <f t="shared" si="3"/>
        <v/>
      </c>
      <c r="S69" s="82"/>
      <c r="T69" s="94" t="str">
        <f>IF(OR(D69="",S69=""),"",IF(D69="Buy",MROUND(S69*(1-Settings!$K$6),Settings!$K$10),MROUND(S69*(1+Settings!$K$6),Settings!$K$10)))</f>
        <v/>
      </c>
      <c r="U69" s="67"/>
      <c r="V69" s="109" t="str">
        <f t="shared" si="4"/>
        <v/>
      </c>
      <c r="W69" s="110"/>
      <c r="X69" s="109" t="str">
        <f t="shared" si="5"/>
        <v/>
      </c>
      <c r="Y69" s="109" t="str">
        <f t="shared" si="6"/>
        <v/>
      </c>
      <c r="Z69" s="82"/>
    </row>
    <row r="70" ht="20" customHeight="1" spans="1:26">
      <c r="A70" s="64">
        <v>57</v>
      </c>
      <c r="B70" s="65"/>
      <c r="C70" s="66"/>
      <c r="D70" s="67"/>
      <c r="E70" s="82"/>
      <c r="F70" s="82"/>
      <c r="G70" s="82"/>
      <c r="H70" s="82"/>
      <c r="I70" s="93" t="str">
        <f t="shared" si="0"/>
        <v/>
      </c>
      <c r="J70" s="82"/>
      <c r="K70" s="94" t="str">
        <f>IF(OR(D70="",E70=""),"",IF(J70="",G70,IF(D70="Buy",MROUND(MAX(E70*(1-Settings!$K$8),J70*(1-Settings!$K$6)),Settings!$K$10),MROUND(MIN(E70*(1+Settings!$K$8),J70*(1+Settings!$K$6)),Settings!$K$10))))</f>
        <v/>
      </c>
      <c r="L70" s="95" t="str">
        <f t="shared" si="1"/>
        <v/>
      </c>
      <c r="M70" s="82"/>
      <c r="N70" s="94" t="str">
        <f>IF(OR(D70="",E70=""),"",IF(M70="",H70,IF(D70="Buy",MROUND(MAX(E70*(1-Settings!$K$8),M70*(1-Settings!$K$6)),Settings!$K$10),MROUND(MIN(E70*(1+Settings!$K$8),M70*(1+Settings!$K$6)),Settings!$K$10))))</f>
        <v/>
      </c>
      <c r="O70" s="95" t="str">
        <f t="shared" si="2"/>
        <v/>
      </c>
      <c r="P70" s="82"/>
      <c r="Q70" s="94" t="str">
        <f>IF(OR(D70="",P70=""),"",IF(D70="Buy",MROUND(P70*(1-Settings!$K$6),Settings!$K$10),MROUND(P70*(1+Settings!$K$6),Settings!$K$10)))</f>
        <v/>
      </c>
      <c r="R70" s="95" t="str">
        <f t="shared" si="3"/>
        <v/>
      </c>
      <c r="S70" s="82"/>
      <c r="T70" s="94" t="str">
        <f>IF(OR(D70="",S70=""),"",IF(D70="Buy",MROUND(S70*(1-Settings!$K$6),Settings!$K$10),MROUND(S70*(1+Settings!$K$6),Settings!$K$10)))</f>
        <v/>
      </c>
      <c r="U70" s="67"/>
      <c r="V70" s="109" t="str">
        <f t="shared" si="4"/>
        <v/>
      </c>
      <c r="W70" s="110"/>
      <c r="X70" s="109" t="str">
        <f t="shared" si="5"/>
        <v/>
      </c>
      <c r="Y70" s="109" t="str">
        <f t="shared" si="6"/>
        <v/>
      </c>
      <c r="Z70" s="82"/>
    </row>
    <row r="71" ht="20" customHeight="1" spans="1:26">
      <c r="A71" s="64">
        <v>58</v>
      </c>
      <c r="B71" s="65"/>
      <c r="C71" s="66"/>
      <c r="D71" s="67"/>
      <c r="E71" s="82"/>
      <c r="F71" s="82"/>
      <c r="G71" s="82"/>
      <c r="H71" s="82"/>
      <c r="I71" s="93" t="str">
        <f t="shared" si="0"/>
        <v/>
      </c>
      <c r="J71" s="82"/>
      <c r="K71" s="94" t="str">
        <f>IF(OR(D71="",E71=""),"",IF(J71="",G71,IF(D71="Buy",MROUND(MAX(E71*(1-Settings!$K$8),J71*(1-Settings!$K$6)),Settings!$K$10),MROUND(MIN(E71*(1+Settings!$K$8),J71*(1+Settings!$K$6)),Settings!$K$10))))</f>
        <v/>
      </c>
      <c r="L71" s="95" t="str">
        <f t="shared" si="1"/>
        <v/>
      </c>
      <c r="M71" s="82"/>
      <c r="N71" s="94" t="str">
        <f>IF(OR(D71="",E71=""),"",IF(M71="",H71,IF(D71="Buy",MROUND(MAX(E71*(1-Settings!$K$8),M71*(1-Settings!$K$6)),Settings!$K$10),MROUND(MIN(E71*(1+Settings!$K$8),M71*(1+Settings!$K$6)),Settings!$K$10))))</f>
        <v/>
      </c>
      <c r="O71" s="95" t="str">
        <f t="shared" si="2"/>
        <v/>
      </c>
      <c r="P71" s="82"/>
      <c r="Q71" s="94" t="str">
        <f>IF(OR(D71="",P71=""),"",IF(D71="Buy",MROUND(P71*(1-Settings!$K$6),Settings!$K$10),MROUND(P71*(1+Settings!$K$6),Settings!$K$10)))</f>
        <v/>
      </c>
      <c r="R71" s="95" t="str">
        <f t="shared" si="3"/>
        <v/>
      </c>
      <c r="S71" s="82"/>
      <c r="T71" s="94" t="str">
        <f>IF(OR(D71="",S71=""),"",IF(D71="Buy",MROUND(S71*(1-Settings!$K$6),Settings!$K$10),MROUND(S71*(1+Settings!$K$6),Settings!$K$10)))</f>
        <v/>
      </c>
      <c r="U71" s="67"/>
      <c r="V71" s="109" t="str">
        <f t="shared" si="4"/>
        <v/>
      </c>
      <c r="W71" s="110"/>
      <c r="X71" s="109" t="str">
        <f t="shared" si="5"/>
        <v/>
      </c>
      <c r="Y71" s="109" t="str">
        <f t="shared" si="6"/>
        <v/>
      </c>
      <c r="Z71" s="82"/>
    </row>
    <row r="72" ht="20" customHeight="1" spans="1:26">
      <c r="A72" s="64">
        <v>59</v>
      </c>
      <c r="B72" s="65"/>
      <c r="C72" s="66"/>
      <c r="D72" s="67"/>
      <c r="E72" s="82"/>
      <c r="F72" s="82"/>
      <c r="G72" s="82"/>
      <c r="H72" s="82"/>
      <c r="I72" s="93" t="str">
        <f t="shared" si="0"/>
        <v/>
      </c>
      <c r="J72" s="82"/>
      <c r="K72" s="94" t="str">
        <f>IF(OR(D72="",E72=""),"",IF(J72="",G72,IF(D72="Buy",MROUND(MAX(E72*(1-Settings!$K$8),J72*(1-Settings!$K$6)),Settings!$K$10),MROUND(MIN(E72*(1+Settings!$K$8),J72*(1+Settings!$K$6)),Settings!$K$10))))</f>
        <v/>
      </c>
      <c r="L72" s="95" t="str">
        <f t="shared" si="1"/>
        <v/>
      </c>
      <c r="M72" s="82"/>
      <c r="N72" s="94" t="str">
        <f>IF(OR(D72="",E72=""),"",IF(M72="",H72,IF(D72="Buy",MROUND(MAX(E72*(1-Settings!$K$8),M72*(1-Settings!$K$6)),Settings!$K$10),MROUND(MIN(E72*(1+Settings!$K$8),M72*(1+Settings!$K$6)),Settings!$K$10))))</f>
        <v/>
      </c>
      <c r="O72" s="95" t="str">
        <f t="shared" si="2"/>
        <v/>
      </c>
      <c r="P72" s="82"/>
      <c r="Q72" s="94" t="str">
        <f>IF(OR(D72="",P72=""),"",IF(D72="Buy",MROUND(P72*(1-Settings!$K$6),Settings!$K$10),MROUND(P72*(1+Settings!$K$6),Settings!$K$10)))</f>
        <v/>
      </c>
      <c r="R72" s="95" t="str">
        <f t="shared" si="3"/>
        <v/>
      </c>
      <c r="S72" s="82"/>
      <c r="T72" s="94" t="str">
        <f>IF(OR(D72="",S72=""),"",IF(D72="Buy",MROUND(S72*(1-Settings!$K$6),Settings!$K$10),MROUND(S72*(1+Settings!$K$6),Settings!$K$10)))</f>
        <v/>
      </c>
      <c r="U72" s="67"/>
      <c r="V72" s="109" t="str">
        <f t="shared" si="4"/>
        <v/>
      </c>
      <c r="W72" s="110"/>
      <c r="X72" s="109" t="str">
        <f t="shared" si="5"/>
        <v/>
      </c>
      <c r="Y72" s="109" t="str">
        <f t="shared" si="6"/>
        <v/>
      </c>
      <c r="Z72" s="82"/>
    </row>
    <row r="73" ht="20" customHeight="1" spans="1:26">
      <c r="A73" s="64">
        <v>60</v>
      </c>
      <c r="B73" s="65"/>
      <c r="C73" s="66"/>
      <c r="D73" s="67"/>
      <c r="E73" s="82"/>
      <c r="F73" s="82"/>
      <c r="G73" s="82"/>
      <c r="H73" s="82"/>
      <c r="I73" s="93" t="str">
        <f t="shared" si="0"/>
        <v/>
      </c>
      <c r="J73" s="82"/>
      <c r="K73" s="94" t="str">
        <f>IF(OR(D73="",E73=""),"",IF(J73="",G73,IF(D73="Buy",MROUND(MAX(E73*(1-Settings!$K$8),J73*(1-Settings!$K$6)),Settings!$K$10),MROUND(MIN(E73*(1+Settings!$K$8),J73*(1+Settings!$K$6)),Settings!$K$10))))</f>
        <v/>
      </c>
      <c r="L73" s="95" t="str">
        <f t="shared" si="1"/>
        <v/>
      </c>
      <c r="M73" s="82"/>
      <c r="N73" s="94" t="str">
        <f>IF(OR(D73="",E73=""),"",IF(M73="",H73,IF(D73="Buy",MROUND(MAX(E73*(1-Settings!$K$8),M73*(1-Settings!$K$6)),Settings!$K$10),MROUND(MIN(E73*(1+Settings!$K$8),M73*(1+Settings!$K$6)),Settings!$K$10))))</f>
        <v/>
      </c>
      <c r="O73" s="95" t="str">
        <f t="shared" si="2"/>
        <v/>
      </c>
      <c r="P73" s="82"/>
      <c r="Q73" s="94" t="str">
        <f>IF(OR(D73="",P73=""),"",IF(D73="Buy",MROUND(P73*(1-Settings!$K$6),Settings!$K$10),MROUND(P73*(1+Settings!$K$6),Settings!$K$10)))</f>
        <v/>
      </c>
      <c r="R73" s="95" t="str">
        <f t="shared" si="3"/>
        <v/>
      </c>
      <c r="S73" s="82"/>
      <c r="T73" s="94" t="str">
        <f>IF(OR(D73="",S73=""),"",IF(D73="Buy",MROUND(S73*(1-Settings!$K$6),Settings!$K$10),MROUND(S73*(1+Settings!$K$6),Settings!$K$10)))</f>
        <v/>
      </c>
      <c r="U73" s="67"/>
      <c r="V73" s="109" t="str">
        <f t="shared" si="4"/>
        <v/>
      </c>
      <c r="W73" s="110"/>
      <c r="X73" s="109" t="str">
        <f t="shared" si="5"/>
        <v/>
      </c>
      <c r="Y73" s="109" t="str">
        <f t="shared" si="6"/>
        <v/>
      </c>
      <c r="Z73" s="82"/>
    </row>
    <row r="74" ht="20" customHeight="1" spans="1:26">
      <c r="A74" s="64">
        <v>61</v>
      </c>
      <c r="B74" s="65"/>
      <c r="C74" s="66"/>
      <c r="D74" s="67"/>
      <c r="E74" s="82"/>
      <c r="F74" s="82"/>
      <c r="G74" s="82"/>
      <c r="H74" s="82"/>
      <c r="I74" s="93" t="str">
        <f t="shared" si="0"/>
        <v/>
      </c>
      <c r="J74" s="82"/>
      <c r="K74" s="94" t="str">
        <f>IF(OR(D74="",E74=""),"",IF(J74="",G74,IF(D74="Buy",MROUND(MAX(E74*(1-Settings!$K$8),J74*(1-Settings!$K$6)),Settings!$K$10),MROUND(MIN(E74*(1+Settings!$K$8),J74*(1+Settings!$K$6)),Settings!$K$10))))</f>
        <v/>
      </c>
      <c r="L74" s="95" t="str">
        <f t="shared" si="1"/>
        <v/>
      </c>
      <c r="M74" s="82"/>
      <c r="N74" s="94" t="str">
        <f>IF(OR(D74="",E74=""),"",IF(M74="",H74,IF(D74="Buy",MROUND(MAX(E74*(1-Settings!$K$8),M74*(1-Settings!$K$6)),Settings!$K$10),MROUND(MIN(E74*(1+Settings!$K$8),M74*(1+Settings!$K$6)),Settings!$K$10))))</f>
        <v/>
      </c>
      <c r="O74" s="95" t="str">
        <f t="shared" si="2"/>
        <v/>
      </c>
      <c r="P74" s="82"/>
      <c r="Q74" s="94" t="str">
        <f>IF(OR(D74="",P74=""),"",IF(D74="Buy",MROUND(P74*(1-Settings!$K$6),Settings!$K$10),MROUND(P74*(1+Settings!$K$6),Settings!$K$10)))</f>
        <v/>
      </c>
      <c r="R74" s="95" t="str">
        <f t="shared" si="3"/>
        <v/>
      </c>
      <c r="S74" s="82"/>
      <c r="T74" s="94" t="str">
        <f>IF(OR(D74="",S74=""),"",IF(D74="Buy",MROUND(S74*(1-Settings!$K$6),Settings!$K$10),MROUND(S74*(1+Settings!$K$6),Settings!$K$10)))</f>
        <v/>
      </c>
      <c r="U74" s="67"/>
      <c r="V74" s="109" t="str">
        <f t="shared" si="4"/>
        <v/>
      </c>
      <c r="W74" s="110"/>
      <c r="X74" s="109" t="str">
        <f t="shared" si="5"/>
        <v/>
      </c>
      <c r="Y74" s="109" t="str">
        <f t="shared" si="6"/>
        <v/>
      </c>
      <c r="Z74" s="82"/>
    </row>
    <row r="75" ht="20" customHeight="1" spans="1:26">
      <c r="A75" s="64">
        <v>62</v>
      </c>
      <c r="B75" s="65"/>
      <c r="C75" s="66"/>
      <c r="D75" s="67"/>
      <c r="E75" s="82"/>
      <c r="F75" s="82"/>
      <c r="G75" s="82"/>
      <c r="H75" s="82"/>
      <c r="I75" s="93" t="str">
        <f t="shared" si="0"/>
        <v/>
      </c>
      <c r="J75" s="82"/>
      <c r="K75" s="94" t="str">
        <f>IF(OR(D75="",E75=""),"",IF(J75="",G75,IF(D75="Buy",MROUND(MAX(E75*(1-Settings!$K$8),J75*(1-Settings!$K$6)),Settings!$K$10),MROUND(MIN(E75*(1+Settings!$K$8),J75*(1+Settings!$K$6)),Settings!$K$10))))</f>
        <v/>
      </c>
      <c r="L75" s="95" t="str">
        <f t="shared" si="1"/>
        <v/>
      </c>
      <c r="M75" s="82"/>
      <c r="N75" s="94" t="str">
        <f>IF(OR(D75="",E75=""),"",IF(M75="",H75,IF(D75="Buy",MROUND(MAX(E75*(1-Settings!$K$8),M75*(1-Settings!$K$6)),Settings!$K$10),MROUND(MIN(E75*(1+Settings!$K$8),M75*(1+Settings!$K$6)),Settings!$K$10))))</f>
        <v/>
      </c>
      <c r="O75" s="95" t="str">
        <f t="shared" si="2"/>
        <v/>
      </c>
      <c r="P75" s="82"/>
      <c r="Q75" s="94" t="str">
        <f>IF(OR(D75="",P75=""),"",IF(D75="Buy",MROUND(P75*(1-Settings!$K$6),Settings!$K$10),MROUND(P75*(1+Settings!$K$6),Settings!$K$10)))</f>
        <v/>
      </c>
      <c r="R75" s="95" t="str">
        <f t="shared" si="3"/>
        <v/>
      </c>
      <c r="S75" s="82"/>
      <c r="T75" s="94" t="str">
        <f>IF(OR(D75="",S75=""),"",IF(D75="Buy",MROUND(S75*(1-Settings!$K$6),Settings!$K$10),MROUND(S75*(1+Settings!$K$6),Settings!$K$10)))</f>
        <v/>
      </c>
      <c r="U75" s="67"/>
      <c r="V75" s="109" t="str">
        <f t="shared" si="4"/>
        <v/>
      </c>
      <c r="W75" s="110"/>
      <c r="X75" s="109" t="str">
        <f t="shared" si="5"/>
        <v/>
      </c>
      <c r="Y75" s="109" t="str">
        <f t="shared" si="6"/>
        <v/>
      </c>
      <c r="Z75" s="82"/>
    </row>
    <row r="76" ht="20" customHeight="1" spans="1:26">
      <c r="A76" s="64">
        <v>63</v>
      </c>
      <c r="B76" s="65"/>
      <c r="C76" s="66"/>
      <c r="D76" s="67"/>
      <c r="E76" s="82"/>
      <c r="F76" s="82"/>
      <c r="G76" s="82"/>
      <c r="H76" s="82"/>
      <c r="I76" s="93" t="str">
        <f t="shared" si="0"/>
        <v/>
      </c>
      <c r="J76" s="82"/>
      <c r="K76" s="94" t="str">
        <f>IF(OR(D76="",E76=""),"",IF(J76="",G76,IF(D76="Buy",MROUND(MAX(E76*(1-Settings!$K$8),J76*(1-Settings!$K$6)),Settings!$K$10),MROUND(MIN(E76*(1+Settings!$K$8),J76*(1+Settings!$K$6)),Settings!$K$10))))</f>
        <v/>
      </c>
      <c r="L76" s="95" t="str">
        <f t="shared" si="1"/>
        <v/>
      </c>
      <c r="M76" s="82"/>
      <c r="N76" s="94" t="str">
        <f>IF(OR(D76="",E76=""),"",IF(M76="",H76,IF(D76="Buy",MROUND(MAX(E76*(1-Settings!$K$8),M76*(1-Settings!$K$6)),Settings!$K$10),MROUND(MIN(E76*(1+Settings!$K$8),M76*(1+Settings!$K$6)),Settings!$K$10))))</f>
        <v/>
      </c>
      <c r="O76" s="95" t="str">
        <f t="shared" si="2"/>
        <v/>
      </c>
      <c r="P76" s="82"/>
      <c r="Q76" s="94" t="str">
        <f>IF(OR(D76="",P76=""),"",IF(D76="Buy",MROUND(P76*(1-Settings!$K$6),Settings!$K$10),MROUND(P76*(1+Settings!$K$6),Settings!$K$10)))</f>
        <v/>
      </c>
      <c r="R76" s="95" t="str">
        <f t="shared" si="3"/>
        <v/>
      </c>
      <c r="S76" s="82"/>
      <c r="T76" s="94" t="str">
        <f>IF(OR(D76="",S76=""),"",IF(D76="Buy",MROUND(S76*(1-Settings!$K$6),Settings!$K$10),MROUND(S76*(1+Settings!$K$6),Settings!$K$10)))</f>
        <v/>
      </c>
      <c r="U76" s="67"/>
      <c r="V76" s="109" t="str">
        <f t="shared" si="4"/>
        <v/>
      </c>
      <c r="W76" s="110"/>
      <c r="X76" s="109" t="str">
        <f t="shared" si="5"/>
        <v/>
      </c>
      <c r="Y76" s="109" t="str">
        <f t="shared" si="6"/>
        <v/>
      </c>
      <c r="Z76" s="82"/>
    </row>
    <row r="77" ht="20" customHeight="1" spans="1:26">
      <c r="A77" s="64">
        <v>64</v>
      </c>
      <c r="B77" s="65"/>
      <c r="C77" s="66"/>
      <c r="D77" s="67"/>
      <c r="E77" s="82"/>
      <c r="F77" s="82"/>
      <c r="G77" s="82"/>
      <c r="H77" s="82"/>
      <c r="I77" s="93" t="str">
        <f t="shared" si="0"/>
        <v/>
      </c>
      <c r="J77" s="82"/>
      <c r="K77" s="94" t="str">
        <f>IF(OR(D77="",E77=""),"",IF(J77="",G77,IF(D77="Buy",MROUND(MAX(E77*(1-Settings!$K$8),J77*(1-Settings!$K$6)),Settings!$K$10),MROUND(MIN(E77*(1+Settings!$K$8),J77*(1+Settings!$K$6)),Settings!$K$10))))</f>
        <v/>
      </c>
      <c r="L77" s="95" t="str">
        <f t="shared" si="1"/>
        <v/>
      </c>
      <c r="M77" s="82"/>
      <c r="N77" s="94" t="str">
        <f>IF(OR(D77="",E77=""),"",IF(M77="",H77,IF(D77="Buy",MROUND(MAX(E77*(1-Settings!$K$8),M77*(1-Settings!$K$6)),Settings!$K$10),MROUND(MIN(E77*(1+Settings!$K$8),M77*(1+Settings!$K$6)),Settings!$K$10))))</f>
        <v/>
      </c>
      <c r="O77" s="95" t="str">
        <f t="shared" si="2"/>
        <v/>
      </c>
      <c r="P77" s="82"/>
      <c r="Q77" s="94" t="str">
        <f>IF(OR(D77="",P77=""),"",IF(D77="Buy",MROUND(P77*(1-Settings!$K$6),Settings!$K$10),MROUND(P77*(1+Settings!$K$6),Settings!$K$10)))</f>
        <v/>
      </c>
      <c r="R77" s="95" t="str">
        <f t="shared" si="3"/>
        <v/>
      </c>
      <c r="S77" s="82"/>
      <c r="T77" s="94" t="str">
        <f>IF(OR(D77="",S77=""),"",IF(D77="Buy",MROUND(S77*(1-Settings!$K$6),Settings!$K$10),MROUND(S77*(1+Settings!$K$6),Settings!$K$10)))</f>
        <v/>
      </c>
      <c r="U77" s="67"/>
      <c r="V77" s="109" t="str">
        <f t="shared" si="4"/>
        <v/>
      </c>
      <c r="W77" s="110"/>
      <c r="X77" s="109" t="str">
        <f t="shared" si="5"/>
        <v/>
      </c>
      <c r="Y77" s="109" t="str">
        <f t="shared" si="6"/>
        <v/>
      </c>
      <c r="Z77" s="82"/>
    </row>
    <row r="78" ht="20" customHeight="1" spans="1:26">
      <c r="A78" s="64">
        <v>65</v>
      </c>
      <c r="B78" s="65"/>
      <c r="C78" s="66"/>
      <c r="D78" s="67"/>
      <c r="E78" s="82"/>
      <c r="F78" s="82"/>
      <c r="G78" s="82"/>
      <c r="H78" s="82"/>
      <c r="I78" s="93" t="str">
        <f t="shared" ref="I78:I141" si="7">IF(D78="Buy","Enter New 2DLL",IF(D78="Sell","Enter New 2DHH",""))</f>
        <v/>
      </c>
      <c r="J78" s="82"/>
      <c r="K78" s="94" t="str">
        <f>IF(OR(D78="",E78=""),"",IF(J78="",G78,IF(D78="Buy",MROUND(MAX(E78*(1-Settings!$K$8),J78*(1-Settings!$K$6)),Settings!$K$10),MROUND(MIN(E78*(1+Settings!$K$8),J78*(1+Settings!$K$6)),Settings!$K$10))))</f>
        <v/>
      </c>
      <c r="L78" s="95" t="str">
        <f t="shared" ref="L78:L141" si="8">IF(D78="Buy","Enter New 4DLL",IF(D78="Sell","Enter New 4DHH",""))</f>
        <v/>
      </c>
      <c r="M78" s="82"/>
      <c r="N78" s="94" t="str">
        <f>IF(OR(D78="",E78=""),"",IF(M78="",H78,IF(D78="Buy",MROUND(MAX(E78*(1-Settings!$K$8),M78*(1-Settings!$K$6)),Settings!$K$10),MROUND(MIN(E78*(1+Settings!$K$8),M78*(1+Settings!$K$6)),Settings!$K$10))))</f>
        <v/>
      </c>
      <c r="O78" s="95" t="str">
        <f t="shared" ref="O78:O141" si="9">IF(D78="Buy","Enter First 15-Minute Low",IF(D78="Sell","Enter First 15-Minute High",""))</f>
        <v/>
      </c>
      <c r="P78" s="82"/>
      <c r="Q78" s="94" t="str">
        <f>IF(OR(D78="",P78=""),"",IF(D78="Buy",MROUND(P78*(1-Settings!$K$6),Settings!$K$10),MROUND(P78*(1+Settings!$K$6),Settings!$K$10)))</f>
        <v/>
      </c>
      <c r="R78" s="95" t="str">
        <f t="shared" ref="R78:R141" si="10">IF(D78="Buy","Enter First 15-Minute Low",IF(D78="Sell","Enter First 15-Minute High",""))</f>
        <v/>
      </c>
      <c r="S78" s="82"/>
      <c r="T78" s="94" t="str">
        <f>IF(OR(D78="",S78=""),"",IF(D78="Buy",MROUND(S78*(1-Settings!$K$6),Settings!$K$10),MROUND(S78*(1+Settings!$K$6),Settings!$K$10)))</f>
        <v/>
      </c>
      <c r="U78" s="67"/>
      <c r="V78" s="109" t="str">
        <f t="shared" ref="V78:V141" si="11">IF(OR(D78="",E78="",U78="",$C$8="",$C$9=""),"",IF(U78="Target Hit",IF(F78="","",IF(D78="Buy",(F78-E78)*($C$8/2)*$C$9,(E78-F78)*($C$8/2)*$C$9)),IF(U78="Rollover",IF(Z78="","",IF(D78="Buy",(Z78-E78)*$C$8*$C$9,(E78-Z78)*$C$8*$C$9)),IF(U78="Stoploss 1 Hit",IF(K78="","",IF(D78="Buy",(K78-E78)*$C$8*$C$9,(E78-K78)*$C$8*$C$9)),IF(OR(AND(D78="Buy",U78="Gap Down Stoploss 1 Hit"),AND(D78="Sell",U78="Gap Up Stoploss 1 Hit")),IF(Q78="","",IF(D78="Buy",(Q78-E78)*$C$8*$C$9,(E78-Q78)*$C$8*$C$9)),"")))))</f>
        <v/>
      </c>
      <c r="W78" s="110"/>
      <c r="X78" s="109" t="str">
        <f t="shared" ref="X78:X141" si="12">IF(OR(D78="",E78="",U78&lt;&gt;"Target Hit",W78="",$C$8="",$C$9=""),"",IF(W78="Stoploss 2 Hit",IF(N78="","",IF(D78="Buy",(N78-E78)*($C$8/2)*$C$9,(E78-N78)*($C$8/2)*$C$9)),IF(W78="Rollover",IF(Z78="","",IF(D78="Buy",(Z78-E78)*($C$8/2)*$C$9,(E78-Z78)*($C$8/2)*$C$9)),IF(OR(AND(D78="Buy",W78="Gap Down Stoploss 2 Hit"),AND(D78="Sell",W78="Gap Up Stoploss 2 Hit")),IF(T78="","",IF(D78="Buy",(T78-E78)*($C$8/2)*$C$9,(E78-T78)*($C$8/2)*$C$9)),""))))</f>
        <v/>
      </c>
      <c r="Y78" s="109" t="str">
        <f t="shared" ref="Y78:Y141" si="13">IF(AND(V78="",X78=""),"",SUM(V78,X78))</f>
        <v/>
      </c>
      <c r="Z78" s="82"/>
    </row>
    <row r="79" ht="20" customHeight="1" spans="1:26">
      <c r="A79" s="64">
        <v>66</v>
      </c>
      <c r="B79" s="65"/>
      <c r="C79" s="66"/>
      <c r="D79" s="67"/>
      <c r="E79" s="82"/>
      <c r="F79" s="82"/>
      <c r="G79" s="82"/>
      <c r="H79" s="82"/>
      <c r="I79" s="93" t="str">
        <f t="shared" si="7"/>
        <v/>
      </c>
      <c r="J79" s="82"/>
      <c r="K79" s="94" t="str">
        <f>IF(OR(D79="",E79=""),"",IF(J79="",G79,IF(D79="Buy",MROUND(MAX(E79*(1-Settings!$K$8),J79*(1-Settings!$K$6)),Settings!$K$10),MROUND(MIN(E79*(1+Settings!$K$8),J79*(1+Settings!$K$6)),Settings!$K$10))))</f>
        <v/>
      </c>
      <c r="L79" s="95" t="str">
        <f t="shared" si="8"/>
        <v/>
      </c>
      <c r="M79" s="82"/>
      <c r="N79" s="94" t="str">
        <f>IF(OR(D79="",E79=""),"",IF(M79="",H79,IF(D79="Buy",MROUND(MAX(E79*(1-Settings!$K$8),M79*(1-Settings!$K$6)),Settings!$K$10),MROUND(MIN(E79*(1+Settings!$K$8),M79*(1+Settings!$K$6)),Settings!$K$10))))</f>
        <v/>
      </c>
      <c r="O79" s="95" t="str">
        <f t="shared" si="9"/>
        <v/>
      </c>
      <c r="P79" s="82"/>
      <c r="Q79" s="94" t="str">
        <f>IF(OR(D79="",P79=""),"",IF(D79="Buy",MROUND(P79*(1-Settings!$K$6),Settings!$K$10),MROUND(P79*(1+Settings!$K$6),Settings!$K$10)))</f>
        <v/>
      </c>
      <c r="R79" s="95" t="str">
        <f t="shared" si="10"/>
        <v/>
      </c>
      <c r="S79" s="82"/>
      <c r="T79" s="94" t="str">
        <f>IF(OR(D79="",S79=""),"",IF(D79="Buy",MROUND(S79*(1-Settings!$K$6),Settings!$K$10),MROUND(S79*(1+Settings!$K$6),Settings!$K$10)))</f>
        <v/>
      </c>
      <c r="U79" s="67"/>
      <c r="V79" s="109" t="str">
        <f t="shared" si="11"/>
        <v/>
      </c>
      <c r="W79" s="110"/>
      <c r="X79" s="109" t="str">
        <f t="shared" si="12"/>
        <v/>
      </c>
      <c r="Y79" s="109" t="str">
        <f t="shared" si="13"/>
        <v/>
      </c>
      <c r="Z79" s="82"/>
    </row>
    <row r="80" ht="20" customHeight="1" spans="1:26">
      <c r="A80" s="64">
        <v>67</v>
      </c>
      <c r="B80" s="65"/>
      <c r="C80" s="66"/>
      <c r="D80" s="67"/>
      <c r="E80" s="82"/>
      <c r="F80" s="82"/>
      <c r="G80" s="82"/>
      <c r="H80" s="82"/>
      <c r="I80" s="93" t="str">
        <f t="shared" si="7"/>
        <v/>
      </c>
      <c r="J80" s="82"/>
      <c r="K80" s="94" t="str">
        <f>IF(OR(D80="",E80=""),"",IF(J80="",G80,IF(D80="Buy",MROUND(MAX(E80*(1-Settings!$K$8),J80*(1-Settings!$K$6)),Settings!$K$10),MROUND(MIN(E80*(1+Settings!$K$8),J80*(1+Settings!$K$6)),Settings!$K$10))))</f>
        <v/>
      </c>
      <c r="L80" s="95" t="str">
        <f t="shared" si="8"/>
        <v/>
      </c>
      <c r="M80" s="82"/>
      <c r="N80" s="94" t="str">
        <f>IF(OR(D80="",E80=""),"",IF(M80="",H80,IF(D80="Buy",MROUND(MAX(E80*(1-Settings!$K$8),M80*(1-Settings!$K$6)),Settings!$K$10),MROUND(MIN(E80*(1+Settings!$K$8),M80*(1+Settings!$K$6)),Settings!$K$10))))</f>
        <v/>
      </c>
      <c r="O80" s="95" t="str">
        <f t="shared" si="9"/>
        <v/>
      </c>
      <c r="P80" s="82"/>
      <c r="Q80" s="94" t="str">
        <f>IF(OR(D80="",P80=""),"",IF(D80="Buy",MROUND(P80*(1-Settings!$K$6),Settings!$K$10),MROUND(P80*(1+Settings!$K$6),Settings!$K$10)))</f>
        <v/>
      </c>
      <c r="R80" s="95" t="str">
        <f t="shared" si="10"/>
        <v/>
      </c>
      <c r="S80" s="82"/>
      <c r="T80" s="94" t="str">
        <f>IF(OR(D80="",S80=""),"",IF(D80="Buy",MROUND(S80*(1-Settings!$K$6),Settings!$K$10),MROUND(S80*(1+Settings!$K$6),Settings!$K$10)))</f>
        <v/>
      </c>
      <c r="U80" s="67"/>
      <c r="V80" s="109" t="str">
        <f t="shared" si="11"/>
        <v/>
      </c>
      <c r="W80" s="110"/>
      <c r="X80" s="109" t="str">
        <f t="shared" si="12"/>
        <v/>
      </c>
      <c r="Y80" s="109" t="str">
        <f t="shared" si="13"/>
        <v/>
      </c>
      <c r="Z80" s="82"/>
    </row>
    <row r="81" ht="20" customHeight="1" spans="1:26">
      <c r="A81" s="64">
        <v>68</v>
      </c>
      <c r="B81" s="65"/>
      <c r="C81" s="66"/>
      <c r="D81" s="67"/>
      <c r="E81" s="82"/>
      <c r="F81" s="82"/>
      <c r="G81" s="82"/>
      <c r="H81" s="82"/>
      <c r="I81" s="93" t="str">
        <f t="shared" si="7"/>
        <v/>
      </c>
      <c r="J81" s="82"/>
      <c r="K81" s="94" t="str">
        <f>IF(OR(D81="",E81=""),"",IF(J81="",G81,IF(D81="Buy",MROUND(MAX(E81*(1-Settings!$K$8),J81*(1-Settings!$K$6)),Settings!$K$10),MROUND(MIN(E81*(1+Settings!$K$8),J81*(1+Settings!$K$6)),Settings!$K$10))))</f>
        <v/>
      </c>
      <c r="L81" s="95" t="str">
        <f t="shared" si="8"/>
        <v/>
      </c>
      <c r="M81" s="82"/>
      <c r="N81" s="94" t="str">
        <f>IF(OR(D81="",E81=""),"",IF(M81="",H81,IF(D81="Buy",MROUND(MAX(E81*(1-Settings!$K$8),M81*(1-Settings!$K$6)),Settings!$K$10),MROUND(MIN(E81*(1+Settings!$K$8),M81*(1+Settings!$K$6)),Settings!$K$10))))</f>
        <v/>
      </c>
      <c r="O81" s="95" t="str">
        <f t="shared" si="9"/>
        <v/>
      </c>
      <c r="P81" s="82"/>
      <c r="Q81" s="94" t="str">
        <f>IF(OR(D81="",P81=""),"",IF(D81="Buy",MROUND(P81*(1-Settings!$K$6),Settings!$K$10),MROUND(P81*(1+Settings!$K$6),Settings!$K$10)))</f>
        <v/>
      </c>
      <c r="R81" s="95" t="str">
        <f t="shared" si="10"/>
        <v/>
      </c>
      <c r="S81" s="82"/>
      <c r="T81" s="94" t="str">
        <f>IF(OR(D81="",S81=""),"",IF(D81="Buy",MROUND(S81*(1-Settings!$K$6),Settings!$K$10),MROUND(S81*(1+Settings!$K$6),Settings!$K$10)))</f>
        <v/>
      </c>
      <c r="U81" s="67"/>
      <c r="V81" s="109" t="str">
        <f t="shared" si="11"/>
        <v/>
      </c>
      <c r="W81" s="110"/>
      <c r="X81" s="109" t="str">
        <f t="shared" si="12"/>
        <v/>
      </c>
      <c r="Y81" s="109" t="str">
        <f t="shared" si="13"/>
        <v/>
      </c>
      <c r="Z81" s="82"/>
    </row>
    <row r="82" ht="20" customHeight="1" spans="1:26">
      <c r="A82" s="64">
        <v>69</v>
      </c>
      <c r="B82" s="65"/>
      <c r="C82" s="66"/>
      <c r="D82" s="67"/>
      <c r="E82" s="82"/>
      <c r="F82" s="82"/>
      <c r="G82" s="82"/>
      <c r="H82" s="82"/>
      <c r="I82" s="93" t="str">
        <f t="shared" si="7"/>
        <v/>
      </c>
      <c r="J82" s="82"/>
      <c r="K82" s="94" t="str">
        <f>IF(OR(D82="",E82=""),"",IF(J82="",G82,IF(D82="Buy",MROUND(MAX(E82*(1-Settings!$K$8),J82*(1-Settings!$K$6)),Settings!$K$10),MROUND(MIN(E82*(1+Settings!$K$8),J82*(1+Settings!$K$6)),Settings!$K$10))))</f>
        <v/>
      </c>
      <c r="L82" s="95" t="str">
        <f t="shared" si="8"/>
        <v/>
      </c>
      <c r="M82" s="82"/>
      <c r="N82" s="94" t="str">
        <f>IF(OR(D82="",E82=""),"",IF(M82="",H82,IF(D82="Buy",MROUND(MAX(E82*(1-Settings!$K$8),M82*(1-Settings!$K$6)),Settings!$K$10),MROUND(MIN(E82*(1+Settings!$K$8),M82*(1+Settings!$K$6)),Settings!$K$10))))</f>
        <v/>
      </c>
      <c r="O82" s="95" t="str">
        <f t="shared" si="9"/>
        <v/>
      </c>
      <c r="P82" s="82"/>
      <c r="Q82" s="94" t="str">
        <f>IF(OR(D82="",P82=""),"",IF(D82="Buy",MROUND(P82*(1-Settings!$K$6),Settings!$K$10),MROUND(P82*(1+Settings!$K$6),Settings!$K$10)))</f>
        <v/>
      </c>
      <c r="R82" s="95" t="str">
        <f t="shared" si="10"/>
        <v/>
      </c>
      <c r="S82" s="82"/>
      <c r="T82" s="94" t="str">
        <f>IF(OR(D82="",S82=""),"",IF(D82="Buy",MROUND(S82*(1-Settings!$K$6),Settings!$K$10),MROUND(S82*(1+Settings!$K$6),Settings!$K$10)))</f>
        <v/>
      </c>
      <c r="U82" s="67"/>
      <c r="V82" s="109" t="str">
        <f t="shared" si="11"/>
        <v/>
      </c>
      <c r="W82" s="110"/>
      <c r="X82" s="109" t="str">
        <f t="shared" si="12"/>
        <v/>
      </c>
      <c r="Y82" s="109" t="str">
        <f t="shared" si="13"/>
        <v/>
      </c>
      <c r="Z82" s="82"/>
    </row>
    <row r="83" ht="20" customHeight="1" spans="1:26">
      <c r="A83" s="64">
        <v>70</v>
      </c>
      <c r="B83" s="65"/>
      <c r="C83" s="66"/>
      <c r="D83" s="67"/>
      <c r="E83" s="82"/>
      <c r="F83" s="82"/>
      <c r="G83" s="82"/>
      <c r="H83" s="82"/>
      <c r="I83" s="93" t="str">
        <f t="shared" si="7"/>
        <v/>
      </c>
      <c r="J83" s="82"/>
      <c r="K83" s="94" t="str">
        <f>IF(OR(D83="",E83=""),"",IF(J83="",G83,IF(D83="Buy",MROUND(MAX(E83*(1-Settings!$K$8),J83*(1-Settings!$K$6)),Settings!$K$10),MROUND(MIN(E83*(1+Settings!$K$8),J83*(1+Settings!$K$6)),Settings!$K$10))))</f>
        <v/>
      </c>
      <c r="L83" s="95" t="str">
        <f t="shared" si="8"/>
        <v/>
      </c>
      <c r="M83" s="82"/>
      <c r="N83" s="94" t="str">
        <f>IF(OR(D83="",E83=""),"",IF(M83="",H83,IF(D83="Buy",MROUND(MAX(E83*(1-Settings!$K$8),M83*(1-Settings!$K$6)),Settings!$K$10),MROUND(MIN(E83*(1+Settings!$K$8),M83*(1+Settings!$K$6)),Settings!$K$10))))</f>
        <v/>
      </c>
      <c r="O83" s="95" t="str">
        <f t="shared" si="9"/>
        <v/>
      </c>
      <c r="P83" s="82"/>
      <c r="Q83" s="94" t="str">
        <f>IF(OR(D83="",P83=""),"",IF(D83="Buy",MROUND(P83*(1-Settings!$K$6),Settings!$K$10),MROUND(P83*(1+Settings!$K$6),Settings!$K$10)))</f>
        <v/>
      </c>
      <c r="R83" s="95" t="str">
        <f t="shared" si="10"/>
        <v/>
      </c>
      <c r="S83" s="82"/>
      <c r="T83" s="94" t="str">
        <f>IF(OR(D83="",S83=""),"",IF(D83="Buy",MROUND(S83*(1-Settings!$K$6),Settings!$K$10),MROUND(S83*(1+Settings!$K$6),Settings!$K$10)))</f>
        <v/>
      </c>
      <c r="U83" s="67"/>
      <c r="V83" s="109" t="str">
        <f t="shared" si="11"/>
        <v/>
      </c>
      <c r="W83" s="110"/>
      <c r="X83" s="109" t="str">
        <f t="shared" si="12"/>
        <v/>
      </c>
      <c r="Y83" s="109" t="str">
        <f t="shared" si="13"/>
        <v/>
      </c>
      <c r="Z83" s="82"/>
    </row>
    <row r="84" ht="20" customHeight="1" spans="1:26">
      <c r="A84" s="64">
        <v>71</v>
      </c>
      <c r="B84" s="65"/>
      <c r="C84" s="66"/>
      <c r="D84" s="67"/>
      <c r="E84" s="82"/>
      <c r="F84" s="82"/>
      <c r="G84" s="82"/>
      <c r="H84" s="82"/>
      <c r="I84" s="93" t="str">
        <f t="shared" si="7"/>
        <v/>
      </c>
      <c r="J84" s="82"/>
      <c r="K84" s="94" t="str">
        <f>IF(OR(D84="",E84=""),"",IF(J84="",G84,IF(D84="Buy",MROUND(MAX(E84*(1-Settings!$K$8),J84*(1-Settings!$K$6)),Settings!$K$10),MROUND(MIN(E84*(1+Settings!$K$8),J84*(1+Settings!$K$6)),Settings!$K$10))))</f>
        <v/>
      </c>
      <c r="L84" s="95" t="str">
        <f t="shared" si="8"/>
        <v/>
      </c>
      <c r="M84" s="82"/>
      <c r="N84" s="94" t="str">
        <f>IF(OR(D84="",E84=""),"",IF(M84="",H84,IF(D84="Buy",MROUND(MAX(E84*(1-Settings!$K$8),M84*(1-Settings!$K$6)),Settings!$K$10),MROUND(MIN(E84*(1+Settings!$K$8),M84*(1+Settings!$K$6)),Settings!$K$10))))</f>
        <v/>
      </c>
      <c r="O84" s="95" t="str">
        <f t="shared" si="9"/>
        <v/>
      </c>
      <c r="P84" s="82"/>
      <c r="Q84" s="94" t="str">
        <f>IF(OR(D84="",P84=""),"",IF(D84="Buy",MROUND(P84*(1-Settings!$K$6),Settings!$K$10),MROUND(P84*(1+Settings!$K$6),Settings!$K$10)))</f>
        <v/>
      </c>
      <c r="R84" s="95" t="str">
        <f t="shared" si="10"/>
        <v/>
      </c>
      <c r="S84" s="82"/>
      <c r="T84" s="94" t="str">
        <f>IF(OR(D84="",S84=""),"",IF(D84="Buy",MROUND(S84*(1-Settings!$K$6),Settings!$K$10),MROUND(S84*(1+Settings!$K$6),Settings!$K$10)))</f>
        <v/>
      </c>
      <c r="U84" s="67"/>
      <c r="V84" s="109" t="str">
        <f t="shared" si="11"/>
        <v/>
      </c>
      <c r="W84" s="110"/>
      <c r="X84" s="109" t="str">
        <f t="shared" si="12"/>
        <v/>
      </c>
      <c r="Y84" s="109" t="str">
        <f t="shared" si="13"/>
        <v/>
      </c>
      <c r="Z84" s="82"/>
    </row>
    <row r="85" ht="20" customHeight="1" spans="1:26">
      <c r="A85" s="64">
        <v>72</v>
      </c>
      <c r="B85" s="65"/>
      <c r="C85" s="66"/>
      <c r="D85" s="67"/>
      <c r="E85" s="82"/>
      <c r="F85" s="82"/>
      <c r="G85" s="82"/>
      <c r="H85" s="82"/>
      <c r="I85" s="93" t="str">
        <f t="shared" si="7"/>
        <v/>
      </c>
      <c r="J85" s="82"/>
      <c r="K85" s="94" t="str">
        <f>IF(OR(D85="",E85=""),"",IF(J85="",G85,IF(D85="Buy",MROUND(MAX(E85*(1-Settings!$K$8),J85*(1-Settings!$K$6)),Settings!$K$10),MROUND(MIN(E85*(1+Settings!$K$8),J85*(1+Settings!$K$6)),Settings!$K$10))))</f>
        <v/>
      </c>
      <c r="L85" s="95" t="str">
        <f t="shared" si="8"/>
        <v/>
      </c>
      <c r="M85" s="82"/>
      <c r="N85" s="94" t="str">
        <f>IF(OR(D85="",E85=""),"",IF(M85="",H85,IF(D85="Buy",MROUND(MAX(E85*(1-Settings!$K$8),M85*(1-Settings!$K$6)),Settings!$K$10),MROUND(MIN(E85*(1+Settings!$K$8),M85*(1+Settings!$K$6)),Settings!$K$10))))</f>
        <v/>
      </c>
      <c r="O85" s="95" t="str">
        <f t="shared" si="9"/>
        <v/>
      </c>
      <c r="P85" s="82"/>
      <c r="Q85" s="94" t="str">
        <f>IF(OR(D85="",P85=""),"",IF(D85="Buy",MROUND(P85*(1-Settings!$K$6),Settings!$K$10),MROUND(P85*(1+Settings!$K$6),Settings!$K$10)))</f>
        <v/>
      </c>
      <c r="R85" s="95" t="str">
        <f t="shared" si="10"/>
        <v/>
      </c>
      <c r="S85" s="82"/>
      <c r="T85" s="94" t="str">
        <f>IF(OR(D85="",S85=""),"",IF(D85="Buy",MROUND(S85*(1-Settings!$K$6),Settings!$K$10),MROUND(S85*(1+Settings!$K$6),Settings!$K$10)))</f>
        <v/>
      </c>
      <c r="U85" s="67"/>
      <c r="V85" s="109" t="str">
        <f t="shared" si="11"/>
        <v/>
      </c>
      <c r="W85" s="110"/>
      <c r="X85" s="109" t="str">
        <f t="shared" si="12"/>
        <v/>
      </c>
      <c r="Y85" s="109" t="str">
        <f t="shared" si="13"/>
        <v/>
      </c>
      <c r="Z85" s="82"/>
    </row>
    <row r="86" ht="20" customHeight="1" spans="1:26">
      <c r="A86" s="64">
        <v>73</v>
      </c>
      <c r="B86" s="65"/>
      <c r="C86" s="66"/>
      <c r="D86" s="67"/>
      <c r="E86" s="82"/>
      <c r="F86" s="82"/>
      <c r="G86" s="82"/>
      <c r="H86" s="82"/>
      <c r="I86" s="93" t="str">
        <f t="shared" si="7"/>
        <v/>
      </c>
      <c r="J86" s="82"/>
      <c r="K86" s="94" t="str">
        <f>IF(OR(D86="",E86=""),"",IF(J86="",G86,IF(D86="Buy",MROUND(MAX(E86*(1-Settings!$K$8),J86*(1-Settings!$K$6)),Settings!$K$10),MROUND(MIN(E86*(1+Settings!$K$8),J86*(1+Settings!$K$6)),Settings!$K$10))))</f>
        <v/>
      </c>
      <c r="L86" s="95" t="str">
        <f t="shared" si="8"/>
        <v/>
      </c>
      <c r="M86" s="82"/>
      <c r="N86" s="94" t="str">
        <f>IF(OR(D86="",E86=""),"",IF(M86="",H86,IF(D86="Buy",MROUND(MAX(E86*(1-Settings!$K$8),M86*(1-Settings!$K$6)),Settings!$K$10),MROUND(MIN(E86*(1+Settings!$K$8),M86*(1+Settings!$K$6)),Settings!$K$10))))</f>
        <v/>
      </c>
      <c r="O86" s="95" t="str">
        <f t="shared" si="9"/>
        <v/>
      </c>
      <c r="P86" s="82"/>
      <c r="Q86" s="94" t="str">
        <f>IF(OR(D86="",P86=""),"",IF(D86="Buy",MROUND(P86*(1-Settings!$K$6),Settings!$K$10),MROUND(P86*(1+Settings!$K$6),Settings!$K$10)))</f>
        <v/>
      </c>
      <c r="R86" s="95" t="str">
        <f t="shared" si="10"/>
        <v/>
      </c>
      <c r="S86" s="82"/>
      <c r="T86" s="94" t="str">
        <f>IF(OR(D86="",S86=""),"",IF(D86="Buy",MROUND(S86*(1-Settings!$K$6),Settings!$K$10),MROUND(S86*(1+Settings!$K$6),Settings!$K$10)))</f>
        <v/>
      </c>
      <c r="U86" s="67"/>
      <c r="V86" s="109" t="str">
        <f t="shared" si="11"/>
        <v/>
      </c>
      <c r="W86" s="110"/>
      <c r="X86" s="109" t="str">
        <f t="shared" si="12"/>
        <v/>
      </c>
      <c r="Y86" s="109" t="str">
        <f t="shared" si="13"/>
        <v/>
      </c>
      <c r="Z86" s="82"/>
    </row>
    <row r="87" ht="20" customHeight="1" spans="1:26">
      <c r="A87" s="64">
        <v>74</v>
      </c>
      <c r="B87" s="65"/>
      <c r="C87" s="66"/>
      <c r="D87" s="67"/>
      <c r="E87" s="82"/>
      <c r="F87" s="82"/>
      <c r="G87" s="82"/>
      <c r="H87" s="82"/>
      <c r="I87" s="93" t="str">
        <f t="shared" si="7"/>
        <v/>
      </c>
      <c r="J87" s="82"/>
      <c r="K87" s="94" t="str">
        <f>IF(OR(D87="",E87=""),"",IF(J87="",G87,IF(D87="Buy",MROUND(MAX(E87*(1-Settings!$K$8),J87*(1-Settings!$K$6)),Settings!$K$10),MROUND(MIN(E87*(1+Settings!$K$8),J87*(1+Settings!$K$6)),Settings!$K$10))))</f>
        <v/>
      </c>
      <c r="L87" s="95" t="str">
        <f t="shared" si="8"/>
        <v/>
      </c>
      <c r="M87" s="82"/>
      <c r="N87" s="94" t="str">
        <f>IF(OR(D87="",E87=""),"",IF(M87="",H87,IF(D87="Buy",MROUND(MAX(E87*(1-Settings!$K$8),M87*(1-Settings!$K$6)),Settings!$K$10),MROUND(MIN(E87*(1+Settings!$K$8),M87*(1+Settings!$K$6)),Settings!$K$10))))</f>
        <v/>
      </c>
      <c r="O87" s="95" t="str">
        <f t="shared" si="9"/>
        <v/>
      </c>
      <c r="P87" s="82"/>
      <c r="Q87" s="94" t="str">
        <f>IF(OR(D87="",P87=""),"",IF(D87="Buy",MROUND(P87*(1-Settings!$K$6),Settings!$K$10),MROUND(P87*(1+Settings!$K$6),Settings!$K$10)))</f>
        <v/>
      </c>
      <c r="R87" s="95" t="str">
        <f t="shared" si="10"/>
        <v/>
      </c>
      <c r="S87" s="82"/>
      <c r="T87" s="94" t="str">
        <f>IF(OR(D87="",S87=""),"",IF(D87="Buy",MROUND(S87*(1-Settings!$K$6),Settings!$K$10),MROUND(S87*(1+Settings!$K$6),Settings!$K$10)))</f>
        <v/>
      </c>
      <c r="U87" s="67"/>
      <c r="V87" s="109" t="str">
        <f t="shared" si="11"/>
        <v/>
      </c>
      <c r="W87" s="110"/>
      <c r="X87" s="109" t="str">
        <f t="shared" si="12"/>
        <v/>
      </c>
      <c r="Y87" s="109" t="str">
        <f t="shared" si="13"/>
        <v/>
      </c>
      <c r="Z87" s="82"/>
    </row>
    <row r="88" ht="20" customHeight="1" spans="1:26">
      <c r="A88" s="64">
        <v>75</v>
      </c>
      <c r="B88" s="65"/>
      <c r="C88" s="66"/>
      <c r="D88" s="67"/>
      <c r="E88" s="82"/>
      <c r="F88" s="82"/>
      <c r="G88" s="82"/>
      <c r="H88" s="82"/>
      <c r="I88" s="93" t="str">
        <f t="shared" si="7"/>
        <v/>
      </c>
      <c r="J88" s="82"/>
      <c r="K88" s="94" t="str">
        <f>IF(OR(D88="",E88=""),"",IF(J88="",G88,IF(D88="Buy",MROUND(MAX(E88*(1-Settings!$K$8),J88*(1-Settings!$K$6)),Settings!$K$10),MROUND(MIN(E88*(1+Settings!$K$8),J88*(1+Settings!$K$6)),Settings!$K$10))))</f>
        <v/>
      </c>
      <c r="L88" s="95" t="str">
        <f t="shared" si="8"/>
        <v/>
      </c>
      <c r="M88" s="82"/>
      <c r="N88" s="94" t="str">
        <f>IF(OR(D88="",E88=""),"",IF(M88="",H88,IF(D88="Buy",MROUND(MAX(E88*(1-Settings!$K$8),M88*(1-Settings!$K$6)),Settings!$K$10),MROUND(MIN(E88*(1+Settings!$K$8),M88*(1+Settings!$K$6)),Settings!$K$10))))</f>
        <v/>
      </c>
      <c r="O88" s="95" t="str">
        <f t="shared" si="9"/>
        <v/>
      </c>
      <c r="P88" s="82"/>
      <c r="Q88" s="94" t="str">
        <f>IF(OR(D88="",P88=""),"",IF(D88="Buy",MROUND(P88*(1-Settings!$K$6),Settings!$K$10),MROUND(P88*(1+Settings!$K$6),Settings!$K$10)))</f>
        <v/>
      </c>
      <c r="R88" s="95" t="str">
        <f t="shared" si="10"/>
        <v/>
      </c>
      <c r="S88" s="82"/>
      <c r="T88" s="94" t="str">
        <f>IF(OR(D88="",S88=""),"",IF(D88="Buy",MROUND(S88*(1-Settings!$K$6),Settings!$K$10),MROUND(S88*(1+Settings!$K$6),Settings!$K$10)))</f>
        <v/>
      </c>
      <c r="U88" s="67"/>
      <c r="V88" s="109" t="str">
        <f t="shared" si="11"/>
        <v/>
      </c>
      <c r="W88" s="110"/>
      <c r="X88" s="109" t="str">
        <f t="shared" si="12"/>
        <v/>
      </c>
      <c r="Y88" s="109" t="str">
        <f t="shared" si="13"/>
        <v/>
      </c>
      <c r="Z88" s="82"/>
    </row>
    <row r="89" ht="20" customHeight="1" spans="1:26">
      <c r="A89" s="64">
        <v>76</v>
      </c>
      <c r="B89" s="65"/>
      <c r="C89" s="66"/>
      <c r="D89" s="67"/>
      <c r="E89" s="82"/>
      <c r="F89" s="82"/>
      <c r="G89" s="82"/>
      <c r="H89" s="82"/>
      <c r="I89" s="93" t="str">
        <f t="shared" si="7"/>
        <v/>
      </c>
      <c r="J89" s="82"/>
      <c r="K89" s="94" t="str">
        <f>IF(OR(D89="",E89=""),"",IF(J89="",G89,IF(D89="Buy",MROUND(MAX(E89*(1-Settings!$K$8),J89*(1-Settings!$K$6)),Settings!$K$10),MROUND(MIN(E89*(1+Settings!$K$8),J89*(1+Settings!$K$6)),Settings!$K$10))))</f>
        <v/>
      </c>
      <c r="L89" s="95" t="str">
        <f t="shared" si="8"/>
        <v/>
      </c>
      <c r="M89" s="82"/>
      <c r="N89" s="94" t="str">
        <f>IF(OR(D89="",E89=""),"",IF(M89="",H89,IF(D89="Buy",MROUND(MAX(E89*(1-Settings!$K$8),M89*(1-Settings!$K$6)),Settings!$K$10),MROUND(MIN(E89*(1+Settings!$K$8),M89*(1+Settings!$K$6)),Settings!$K$10))))</f>
        <v/>
      </c>
      <c r="O89" s="95" t="str">
        <f t="shared" si="9"/>
        <v/>
      </c>
      <c r="P89" s="82"/>
      <c r="Q89" s="94" t="str">
        <f>IF(OR(D89="",P89=""),"",IF(D89="Buy",MROUND(P89*(1-Settings!$K$6),Settings!$K$10),MROUND(P89*(1+Settings!$K$6),Settings!$K$10)))</f>
        <v/>
      </c>
      <c r="R89" s="95" t="str">
        <f t="shared" si="10"/>
        <v/>
      </c>
      <c r="S89" s="82"/>
      <c r="T89" s="94" t="str">
        <f>IF(OR(D89="",S89=""),"",IF(D89="Buy",MROUND(S89*(1-Settings!$K$6),Settings!$K$10),MROUND(S89*(1+Settings!$K$6),Settings!$K$10)))</f>
        <v/>
      </c>
      <c r="U89" s="67"/>
      <c r="V89" s="109" t="str">
        <f t="shared" si="11"/>
        <v/>
      </c>
      <c r="W89" s="110"/>
      <c r="X89" s="109" t="str">
        <f t="shared" si="12"/>
        <v/>
      </c>
      <c r="Y89" s="109" t="str">
        <f t="shared" si="13"/>
        <v/>
      </c>
      <c r="Z89" s="82"/>
    </row>
    <row r="90" ht="20" customHeight="1" spans="1:26">
      <c r="A90" s="64">
        <v>77</v>
      </c>
      <c r="B90" s="65"/>
      <c r="C90" s="66"/>
      <c r="D90" s="67"/>
      <c r="E90" s="82"/>
      <c r="F90" s="82"/>
      <c r="G90" s="82"/>
      <c r="H90" s="82"/>
      <c r="I90" s="93" t="str">
        <f t="shared" si="7"/>
        <v/>
      </c>
      <c r="J90" s="82"/>
      <c r="K90" s="94" t="str">
        <f>IF(OR(D90="",E90=""),"",IF(J90="",G90,IF(D90="Buy",MROUND(MAX(E90*(1-Settings!$K$8),J90*(1-Settings!$K$6)),Settings!$K$10),MROUND(MIN(E90*(1+Settings!$K$8),J90*(1+Settings!$K$6)),Settings!$K$10))))</f>
        <v/>
      </c>
      <c r="L90" s="95" t="str">
        <f t="shared" si="8"/>
        <v/>
      </c>
      <c r="M90" s="82"/>
      <c r="N90" s="94" t="str">
        <f>IF(OR(D90="",E90=""),"",IF(M90="",H90,IF(D90="Buy",MROUND(MAX(E90*(1-Settings!$K$8),M90*(1-Settings!$K$6)),Settings!$K$10),MROUND(MIN(E90*(1+Settings!$K$8),M90*(1+Settings!$K$6)),Settings!$K$10))))</f>
        <v/>
      </c>
      <c r="O90" s="95" t="str">
        <f t="shared" si="9"/>
        <v/>
      </c>
      <c r="P90" s="82"/>
      <c r="Q90" s="94" t="str">
        <f>IF(OR(D90="",P90=""),"",IF(D90="Buy",MROUND(P90*(1-Settings!$K$6),Settings!$K$10),MROUND(P90*(1+Settings!$K$6),Settings!$K$10)))</f>
        <v/>
      </c>
      <c r="R90" s="95" t="str">
        <f t="shared" si="10"/>
        <v/>
      </c>
      <c r="S90" s="82"/>
      <c r="T90" s="94" t="str">
        <f>IF(OR(D90="",S90=""),"",IF(D90="Buy",MROUND(S90*(1-Settings!$K$6),Settings!$K$10),MROUND(S90*(1+Settings!$K$6),Settings!$K$10)))</f>
        <v/>
      </c>
      <c r="U90" s="67"/>
      <c r="V90" s="109" t="str">
        <f t="shared" si="11"/>
        <v/>
      </c>
      <c r="W90" s="110"/>
      <c r="X90" s="109" t="str">
        <f t="shared" si="12"/>
        <v/>
      </c>
      <c r="Y90" s="109" t="str">
        <f t="shared" si="13"/>
        <v/>
      </c>
      <c r="Z90" s="82"/>
    </row>
    <row r="91" ht="20" customHeight="1" spans="1:26">
      <c r="A91" s="64">
        <v>78</v>
      </c>
      <c r="B91" s="65"/>
      <c r="C91" s="66"/>
      <c r="D91" s="67"/>
      <c r="E91" s="82"/>
      <c r="F91" s="82"/>
      <c r="G91" s="82"/>
      <c r="H91" s="82"/>
      <c r="I91" s="93" t="str">
        <f t="shared" si="7"/>
        <v/>
      </c>
      <c r="J91" s="82"/>
      <c r="K91" s="94" t="str">
        <f>IF(OR(D91="",E91=""),"",IF(J91="",G91,IF(D91="Buy",MROUND(MAX(E91*(1-Settings!$K$8),J91*(1-Settings!$K$6)),Settings!$K$10),MROUND(MIN(E91*(1+Settings!$K$8),J91*(1+Settings!$K$6)),Settings!$K$10))))</f>
        <v/>
      </c>
      <c r="L91" s="95" t="str">
        <f t="shared" si="8"/>
        <v/>
      </c>
      <c r="M91" s="82"/>
      <c r="N91" s="94" t="str">
        <f>IF(OR(D91="",E91=""),"",IF(M91="",H91,IF(D91="Buy",MROUND(MAX(E91*(1-Settings!$K$8),M91*(1-Settings!$K$6)),Settings!$K$10),MROUND(MIN(E91*(1+Settings!$K$8),M91*(1+Settings!$K$6)),Settings!$K$10))))</f>
        <v/>
      </c>
      <c r="O91" s="95" t="str">
        <f t="shared" si="9"/>
        <v/>
      </c>
      <c r="P91" s="82"/>
      <c r="Q91" s="94" t="str">
        <f>IF(OR(D91="",P91=""),"",IF(D91="Buy",MROUND(P91*(1-Settings!$K$6),Settings!$K$10),MROUND(P91*(1+Settings!$K$6),Settings!$K$10)))</f>
        <v/>
      </c>
      <c r="R91" s="95" t="str">
        <f t="shared" si="10"/>
        <v/>
      </c>
      <c r="S91" s="82"/>
      <c r="T91" s="94" t="str">
        <f>IF(OR(D91="",S91=""),"",IF(D91="Buy",MROUND(S91*(1-Settings!$K$6),Settings!$K$10),MROUND(S91*(1+Settings!$K$6),Settings!$K$10)))</f>
        <v/>
      </c>
      <c r="U91" s="67"/>
      <c r="V91" s="109" t="str">
        <f t="shared" si="11"/>
        <v/>
      </c>
      <c r="W91" s="110"/>
      <c r="X91" s="109" t="str">
        <f t="shared" si="12"/>
        <v/>
      </c>
      <c r="Y91" s="109" t="str">
        <f t="shared" si="13"/>
        <v/>
      </c>
      <c r="Z91" s="82"/>
    </row>
    <row r="92" ht="20" customHeight="1" spans="1:26">
      <c r="A92" s="64">
        <v>79</v>
      </c>
      <c r="B92" s="65"/>
      <c r="C92" s="66"/>
      <c r="D92" s="67"/>
      <c r="E92" s="82"/>
      <c r="F92" s="82"/>
      <c r="G92" s="82"/>
      <c r="H92" s="82"/>
      <c r="I92" s="93" t="str">
        <f t="shared" si="7"/>
        <v/>
      </c>
      <c r="J92" s="82"/>
      <c r="K92" s="94" t="str">
        <f>IF(OR(D92="",E92=""),"",IF(J92="",G92,IF(D92="Buy",MROUND(MAX(E92*(1-Settings!$K$8),J92*(1-Settings!$K$6)),Settings!$K$10),MROUND(MIN(E92*(1+Settings!$K$8),J92*(1+Settings!$K$6)),Settings!$K$10))))</f>
        <v/>
      </c>
      <c r="L92" s="95" t="str">
        <f t="shared" si="8"/>
        <v/>
      </c>
      <c r="M92" s="82"/>
      <c r="N92" s="94" t="str">
        <f>IF(OR(D92="",E92=""),"",IF(M92="",H92,IF(D92="Buy",MROUND(MAX(E92*(1-Settings!$K$8),M92*(1-Settings!$K$6)),Settings!$K$10),MROUND(MIN(E92*(1+Settings!$K$8),M92*(1+Settings!$K$6)),Settings!$K$10))))</f>
        <v/>
      </c>
      <c r="O92" s="95" t="str">
        <f t="shared" si="9"/>
        <v/>
      </c>
      <c r="P92" s="82"/>
      <c r="Q92" s="94" t="str">
        <f>IF(OR(D92="",P92=""),"",IF(D92="Buy",MROUND(P92*(1-Settings!$K$6),Settings!$K$10),MROUND(P92*(1+Settings!$K$6),Settings!$K$10)))</f>
        <v/>
      </c>
      <c r="R92" s="95" t="str">
        <f t="shared" si="10"/>
        <v/>
      </c>
      <c r="S92" s="82"/>
      <c r="T92" s="94" t="str">
        <f>IF(OR(D92="",S92=""),"",IF(D92="Buy",MROUND(S92*(1-Settings!$K$6),Settings!$K$10),MROUND(S92*(1+Settings!$K$6),Settings!$K$10)))</f>
        <v/>
      </c>
      <c r="U92" s="67"/>
      <c r="V92" s="109" t="str">
        <f t="shared" si="11"/>
        <v/>
      </c>
      <c r="W92" s="110"/>
      <c r="X92" s="109" t="str">
        <f t="shared" si="12"/>
        <v/>
      </c>
      <c r="Y92" s="109" t="str">
        <f t="shared" si="13"/>
        <v/>
      </c>
      <c r="Z92" s="82"/>
    </row>
    <row r="93" ht="20" customHeight="1" spans="1:26">
      <c r="A93" s="64">
        <v>80</v>
      </c>
      <c r="B93" s="65"/>
      <c r="C93" s="66"/>
      <c r="D93" s="67"/>
      <c r="E93" s="82"/>
      <c r="F93" s="82"/>
      <c r="G93" s="82"/>
      <c r="H93" s="82"/>
      <c r="I93" s="93" t="str">
        <f t="shared" si="7"/>
        <v/>
      </c>
      <c r="J93" s="82"/>
      <c r="K93" s="94" t="str">
        <f>IF(OR(D93="",E93=""),"",IF(J93="",G93,IF(D93="Buy",MROUND(MAX(E93*(1-Settings!$K$8),J93*(1-Settings!$K$6)),Settings!$K$10),MROUND(MIN(E93*(1+Settings!$K$8),J93*(1+Settings!$K$6)),Settings!$K$10))))</f>
        <v/>
      </c>
      <c r="L93" s="95" t="str">
        <f t="shared" si="8"/>
        <v/>
      </c>
      <c r="M93" s="82"/>
      <c r="N93" s="94" t="str">
        <f>IF(OR(D93="",E93=""),"",IF(M93="",H93,IF(D93="Buy",MROUND(MAX(E93*(1-Settings!$K$8),M93*(1-Settings!$K$6)),Settings!$K$10),MROUND(MIN(E93*(1+Settings!$K$8),M93*(1+Settings!$K$6)),Settings!$K$10))))</f>
        <v/>
      </c>
      <c r="O93" s="95" t="str">
        <f t="shared" si="9"/>
        <v/>
      </c>
      <c r="P93" s="82"/>
      <c r="Q93" s="94" t="str">
        <f>IF(OR(D93="",P93=""),"",IF(D93="Buy",MROUND(P93*(1-Settings!$K$6),Settings!$K$10),MROUND(P93*(1+Settings!$K$6),Settings!$K$10)))</f>
        <v/>
      </c>
      <c r="R93" s="95" t="str">
        <f t="shared" si="10"/>
        <v/>
      </c>
      <c r="S93" s="82"/>
      <c r="T93" s="94" t="str">
        <f>IF(OR(D93="",S93=""),"",IF(D93="Buy",MROUND(S93*(1-Settings!$K$6),Settings!$K$10),MROUND(S93*(1+Settings!$K$6),Settings!$K$10)))</f>
        <v/>
      </c>
      <c r="U93" s="67"/>
      <c r="V93" s="109" t="str">
        <f t="shared" si="11"/>
        <v/>
      </c>
      <c r="W93" s="110"/>
      <c r="X93" s="109" t="str">
        <f t="shared" si="12"/>
        <v/>
      </c>
      <c r="Y93" s="109" t="str">
        <f t="shared" si="13"/>
        <v/>
      </c>
      <c r="Z93" s="82"/>
    </row>
    <row r="94" ht="20" customHeight="1" spans="1:26">
      <c r="A94" s="64">
        <v>81</v>
      </c>
      <c r="B94" s="65"/>
      <c r="C94" s="66"/>
      <c r="D94" s="67"/>
      <c r="E94" s="82"/>
      <c r="F94" s="82"/>
      <c r="G94" s="82"/>
      <c r="H94" s="82"/>
      <c r="I94" s="93" t="str">
        <f t="shared" si="7"/>
        <v/>
      </c>
      <c r="J94" s="82"/>
      <c r="K94" s="94" t="str">
        <f>IF(OR(D94="",E94=""),"",IF(J94="",G94,IF(D94="Buy",MROUND(MAX(E94*(1-Settings!$K$8),J94*(1-Settings!$K$6)),Settings!$K$10),MROUND(MIN(E94*(1+Settings!$K$8),J94*(1+Settings!$K$6)),Settings!$K$10))))</f>
        <v/>
      </c>
      <c r="L94" s="95" t="str">
        <f t="shared" si="8"/>
        <v/>
      </c>
      <c r="M94" s="82"/>
      <c r="N94" s="94" t="str">
        <f>IF(OR(D94="",E94=""),"",IF(M94="",H94,IF(D94="Buy",MROUND(MAX(E94*(1-Settings!$K$8),M94*(1-Settings!$K$6)),Settings!$K$10),MROUND(MIN(E94*(1+Settings!$K$8),M94*(1+Settings!$K$6)),Settings!$K$10))))</f>
        <v/>
      </c>
      <c r="O94" s="95" t="str">
        <f t="shared" si="9"/>
        <v/>
      </c>
      <c r="P94" s="82"/>
      <c r="Q94" s="94" t="str">
        <f>IF(OR(D94="",P94=""),"",IF(D94="Buy",MROUND(P94*(1-Settings!$K$6),Settings!$K$10),MROUND(P94*(1+Settings!$K$6),Settings!$K$10)))</f>
        <v/>
      </c>
      <c r="R94" s="95" t="str">
        <f t="shared" si="10"/>
        <v/>
      </c>
      <c r="S94" s="82"/>
      <c r="T94" s="94" t="str">
        <f>IF(OR(D94="",S94=""),"",IF(D94="Buy",MROUND(S94*(1-Settings!$K$6),Settings!$K$10),MROUND(S94*(1+Settings!$K$6),Settings!$K$10)))</f>
        <v/>
      </c>
      <c r="U94" s="67"/>
      <c r="V94" s="109" t="str">
        <f t="shared" si="11"/>
        <v/>
      </c>
      <c r="W94" s="110"/>
      <c r="X94" s="109" t="str">
        <f t="shared" si="12"/>
        <v/>
      </c>
      <c r="Y94" s="109" t="str">
        <f t="shared" si="13"/>
        <v/>
      </c>
      <c r="Z94" s="82"/>
    </row>
    <row r="95" ht="20" customHeight="1" spans="1:26">
      <c r="A95" s="64">
        <v>82</v>
      </c>
      <c r="B95" s="65"/>
      <c r="C95" s="66"/>
      <c r="D95" s="67"/>
      <c r="E95" s="82"/>
      <c r="F95" s="82"/>
      <c r="G95" s="82"/>
      <c r="H95" s="82"/>
      <c r="I95" s="93" t="str">
        <f t="shared" si="7"/>
        <v/>
      </c>
      <c r="J95" s="82"/>
      <c r="K95" s="94" t="str">
        <f>IF(OR(D95="",E95=""),"",IF(J95="",G95,IF(D95="Buy",MROUND(MAX(E95*(1-Settings!$K$8),J95*(1-Settings!$K$6)),Settings!$K$10),MROUND(MIN(E95*(1+Settings!$K$8),J95*(1+Settings!$K$6)),Settings!$K$10))))</f>
        <v/>
      </c>
      <c r="L95" s="95" t="str">
        <f t="shared" si="8"/>
        <v/>
      </c>
      <c r="M95" s="82"/>
      <c r="N95" s="94" t="str">
        <f>IF(OR(D95="",E95=""),"",IF(M95="",H95,IF(D95="Buy",MROUND(MAX(E95*(1-Settings!$K$8),M95*(1-Settings!$K$6)),Settings!$K$10),MROUND(MIN(E95*(1+Settings!$K$8),M95*(1+Settings!$K$6)),Settings!$K$10))))</f>
        <v/>
      </c>
      <c r="O95" s="95" t="str">
        <f t="shared" si="9"/>
        <v/>
      </c>
      <c r="P95" s="82"/>
      <c r="Q95" s="94" t="str">
        <f>IF(OR(D95="",P95=""),"",IF(D95="Buy",MROUND(P95*(1-Settings!$K$6),Settings!$K$10),MROUND(P95*(1+Settings!$K$6),Settings!$K$10)))</f>
        <v/>
      </c>
      <c r="R95" s="95" t="str">
        <f t="shared" si="10"/>
        <v/>
      </c>
      <c r="S95" s="82"/>
      <c r="T95" s="94" t="str">
        <f>IF(OR(D95="",S95=""),"",IF(D95="Buy",MROUND(S95*(1-Settings!$K$6),Settings!$K$10),MROUND(S95*(1+Settings!$K$6),Settings!$K$10)))</f>
        <v/>
      </c>
      <c r="U95" s="67"/>
      <c r="V95" s="109" t="str">
        <f t="shared" si="11"/>
        <v/>
      </c>
      <c r="W95" s="110"/>
      <c r="X95" s="109" t="str">
        <f t="shared" si="12"/>
        <v/>
      </c>
      <c r="Y95" s="109" t="str">
        <f t="shared" si="13"/>
        <v/>
      </c>
      <c r="Z95" s="82"/>
    </row>
    <row r="96" ht="20" customHeight="1" spans="1:26">
      <c r="A96" s="64">
        <v>83</v>
      </c>
      <c r="B96" s="65"/>
      <c r="C96" s="66"/>
      <c r="D96" s="67"/>
      <c r="E96" s="82"/>
      <c r="F96" s="82"/>
      <c r="G96" s="82"/>
      <c r="H96" s="82"/>
      <c r="I96" s="93" t="str">
        <f t="shared" si="7"/>
        <v/>
      </c>
      <c r="J96" s="82"/>
      <c r="K96" s="94" t="str">
        <f>IF(OR(D96="",E96=""),"",IF(J96="",G96,IF(D96="Buy",MROUND(MAX(E96*(1-Settings!$K$8),J96*(1-Settings!$K$6)),Settings!$K$10),MROUND(MIN(E96*(1+Settings!$K$8),J96*(1+Settings!$K$6)),Settings!$K$10))))</f>
        <v/>
      </c>
      <c r="L96" s="95" t="str">
        <f t="shared" si="8"/>
        <v/>
      </c>
      <c r="M96" s="82"/>
      <c r="N96" s="94" t="str">
        <f>IF(OR(D96="",E96=""),"",IF(M96="",H96,IF(D96="Buy",MROUND(MAX(E96*(1-Settings!$K$8),M96*(1-Settings!$K$6)),Settings!$K$10),MROUND(MIN(E96*(1+Settings!$K$8),M96*(1+Settings!$K$6)),Settings!$K$10))))</f>
        <v/>
      </c>
      <c r="O96" s="95" t="str">
        <f t="shared" si="9"/>
        <v/>
      </c>
      <c r="P96" s="82"/>
      <c r="Q96" s="94" t="str">
        <f>IF(OR(D96="",P96=""),"",IF(D96="Buy",MROUND(P96*(1-Settings!$K$6),Settings!$K$10),MROUND(P96*(1+Settings!$K$6),Settings!$K$10)))</f>
        <v/>
      </c>
      <c r="R96" s="95" t="str">
        <f t="shared" si="10"/>
        <v/>
      </c>
      <c r="S96" s="82"/>
      <c r="T96" s="94" t="str">
        <f>IF(OR(D96="",S96=""),"",IF(D96="Buy",MROUND(S96*(1-Settings!$K$6),Settings!$K$10),MROUND(S96*(1+Settings!$K$6),Settings!$K$10)))</f>
        <v/>
      </c>
      <c r="U96" s="67"/>
      <c r="V96" s="109" t="str">
        <f t="shared" si="11"/>
        <v/>
      </c>
      <c r="W96" s="110"/>
      <c r="X96" s="109" t="str">
        <f t="shared" si="12"/>
        <v/>
      </c>
      <c r="Y96" s="109" t="str">
        <f t="shared" si="13"/>
        <v/>
      </c>
      <c r="Z96" s="82"/>
    </row>
    <row r="97" ht="20" customHeight="1" spans="1:26">
      <c r="A97" s="64">
        <v>84</v>
      </c>
      <c r="B97" s="65"/>
      <c r="C97" s="66"/>
      <c r="D97" s="67"/>
      <c r="E97" s="82"/>
      <c r="F97" s="82"/>
      <c r="G97" s="82"/>
      <c r="H97" s="82"/>
      <c r="I97" s="93" t="str">
        <f t="shared" si="7"/>
        <v/>
      </c>
      <c r="J97" s="82"/>
      <c r="K97" s="94" t="str">
        <f>IF(OR(D97="",E97=""),"",IF(J97="",G97,IF(D97="Buy",MROUND(MAX(E97*(1-Settings!$K$8),J97*(1-Settings!$K$6)),Settings!$K$10),MROUND(MIN(E97*(1+Settings!$K$8),J97*(1+Settings!$K$6)),Settings!$K$10))))</f>
        <v/>
      </c>
      <c r="L97" s="95" t="str">
        <f t="shared" si="8"/>
        <v/>
      </c>
      <c r="M97" s="82"/>
      <c r="N97" s="94" t="str">
        <f>IF(OR(D97="",E97=""),"",IF(M97="",H97,IF(D97="Buy",MROUND(MAX(E97*(1-Settings!$K$8),M97*(1-Settings!$K$6)),Settings!$K$10),MROUND(MIN(E97*(1+Settings!$K$8),M97*(1+Settings!$K$6)),Settings!$K$10))))</f>
        <v/>
      </c>
      <c r="O97" s="95" t="str">
        <f t="shared" si="9"/>
        <v/>
      </c>
      <c r="P97" s="82"/>
      <c r="Q97" s="94" t="str">
        <f>IF(OR(D97="",P97=""),"",IF(D97="Buy",MROUND(P97*(1-Settings!$K$6),Settings!$K$10),MROUND(P97*(1+Settings!$K$6),Settings!$K$10)))</f>
        <v/>
      </c>
      <c r="R97" s="95" t="str">
        <f t="shared" si="10"/>
        <v/>
      </c>
      <c r="S97" s="82"/>
      <c r="T97" s="94" t="str">
        <f>IF(OR(D97="",S97=""),"",IF(D97="Buy",MROUND(S97*(1-Settings!$K$6),Settings!$K$10),MROUND(S97*(1+Settings!$K$6),Settings!$K$10)))</f>
        <v/>
      </c>
      <c r="U97" s="67"/>
      <c r="V97" s="109" t="str">
        <f t="shared" si="11"/>
        <v/>
      </c>
      <c r="W97" s="110"/>
      <c r="X97" s="109" t="str">
        <f t="shared" si="12"/>
        <v/>
      </c>
      <c r="Y97" s="109" t="str">
        <f t="shared" si="13"/>
        <v/>
      </c>
      <c r="Z97" s="82"/>
    </row>
    <row r="98" ht="20" customHeight="1" spans="1:26">
      <c r="A98" s="64">
        <v>85</v>
      </c>
      <c r="B98" s="65"/>
      <c r="C98" s="66"/>
      <c r="D98" s="67"/>
      <c r="E98" s="82"/>
      <c r="F98" s="82"/>
      <c r="G98" s="82"/>
      <c r="H98" s="82"/>
      <c r="I98" s="93" t="str">
        <f t="shared" si="7"/>
        <v/>
      </c>
      <c r="J98" s="82"/>
      <c r="K98" s="94" t="str">
        <f>IF(OR(D98="",E98=""),"",IF(J98="",G98,IF(D98="Buy",MROUND(MAX(E98*(1-Settings!$K$8),J98*(1-Settings!$K$6)),Settings!$K$10),MROUND(MIN(E98*(1+Settings!$K$8),J98*(1+Settings!$K$6)),Settings!$K$10))))</f>
        <v/>
      </c>
      <c r="L98" s="95" t="str">
        <f t="shared" si="8"/>
        <v/>
      </c>
      <c r="M98" s="82"/>
      <c r="N98" s="94" t="str">
        <f>IF(OR(D98="",E98=""),"",IF(M98="",H98,IF(D98="Buy",MROUND(MAX(E98*(1-Settings!$K$8),M98*(1-Settings!$K$6)),Settings!$K$10),MROUND(MIN(E98*(1+Settings!$K$8),M98*(1+Settings!$K$6)),Settings!$K$10))))</f>
        <v/>
      </c>
      <c r="O98" s="95" t="str">
        <f t="shared" si="9"/>
        <v/>
      </c>
      <c r="P98" s="82"/>
      <c r="Q98" s="94" t="str">
        <f>IF(OR(D98="",P98=""),"",IF(D98="Buy",MROUND(P98*(1-Settings!$K$6),Settings!$K$10),MROUND(P98*(1+Settings!$K$6),Settings!$K$10)))</f>
        <v/>
      </c>
      <c r="R98" s="95" t="str">
        <f t="shared" si="10"/>
        <v/>
      </c>
      <c r="S98" s="82"/>
      <c r="T98" s="94" t="str">
        <f>IF(OR(D98="",S98=""),"",IF(D98="Buy",MROUND(S98*(1-Settings!$K$6),Settings!$K$10),MROUND(S98*(1+Settings!$K$6),Settings!$K$10)))</f>
        <v/>
      </c>
      <c r="U98" s="67"/>
      <c r="V98" s="109" t="str">
        <f t="shared" si="11"/>
        <v/>
      </c>
      <c r="W98" s="110"/>
      <c r="X98" s="109" t="str">
        <f t="shared" si="12"/>
        <v/>
      </c>
      <c r="Y98" s="109" t="str">
        <f t="shared" si="13"/>
        <v/>
      </c>
      <c r="Z98" s="82"/>
    </row>
    <row r="99" ht="20" customHeight="1" spans="1:26">
      <c r="A99" s="64">
        <v>86</v>
      </c>
      <c r="B99" s="65"/>
      <c r="C99" s="66"/>
      <c r="D99" s="67"/>
      <c r="E99" s="82"/>
      <c r="F99" s="82"/>
      <c r="G99" s="82"/>
      <c r="H99" s="82"/>
      <c r="I99" s="93" t="str">
        <f t="shared" si="7"/>
        <v/>
      </c>
      <c r="J99" s="82"/>
      <c r="K99" s="94" t="str">
        <f>IF(OR(D99="",E99=""),"",IF(J99="",G99,IF(D99="Buy",MROUND(MAX(E99*(1-Settings!$K$8),J99*(1-Settings!$K$6)),Settings!$K$10),MROUND(MIN(E99*(1+Settings!$K$8),J99*(1+Settings!$K$6)),Settings!$K$10))))</f>
        <v/>
      </c>
      <c r="L99" s="95" t="str">
        <f t="shared" si="8"/>
        <v/>
      </c>
      <c r="M99" s="82"/>
      <c r="N99" s="94" t="str">
        <f>IF(OR(D99="",E99=""),"",IF(M99="",H99,IF(D99="Buy",MROUND(MAX(E99*(1-Settings!$K$8),M99*(1-Settings!$K$6)),Settings!$K$10),MROUND(MIN(E99*(1+Settings!$K$8),M99*(1+Settings!$K$6)),Settings!$K$10))))</f>
        <v/>
      </c>
      <c r="O99" s="95" t="str">
        <f t="shared" si="9"/>
        <v/>
      </c>
      <c r="P99" s="82"/>
      <c r="Q99" s="94" t="str">
        <f>IF(OR(D99="",P99=""),"",IF(D99="Buy",MROUND(P99*(1-Settings!$K$6),Settings!$K$10),MROUND(P99*(1+Settings!$K$6),Settings!$K$10)))</f>
        <v/>
      </c>
      <c r="R99" s="95" t="str">
        <f t="shared" si="10"/>
        <v/>
      </c>
      <c r="S99" s="82"/>
      <c r="T99" s="94" t="str">
        <f>IF(OR(D99="",S99=""),"",IF(D99="Buy",MROUND(S99*(1-Settings!$K$6),Settings!$K$10),MROUND(S99*(1+Settings!$K$6),Settings!$K$10)))</f>
        <v/>
      </c>
      <c r="U99" s="67"/>
      <c r="V99" s="109" t="str">
        <f t="shared" si="11"/>
        <v/>
      </c>
      <c r="W99" s="110"/>
      <c r="X99" s="109" t="str">
        <f t="shared" si="12"/>
        <v/>
      </c>
      <c r="Y99" s="109" t="str">
        <f t="shared" si="13"/>
        <v/>
      </c>
      <c r="Z99" s="82"/>
    </row>
    <row r="100" ht="20" customHeight="1" spans="1:26">
      <c r="A100" s="64">
        <v>87</v>
      </c>
      <c r="B100" s="65"/>
      <c r="C100" s="66"/>
      <c r="D100" s="67"/>
      <c r="E100" s="82"/>
      <c r="F100" s="82"/>
      <c r="G100" s="82"/>
      <c r="H100" s="82"/>
      <c r="I100" s="93" t="str">
        <f t="shared" si="7"/>
        <v/>
      </c>
      <c r="J100" s="82"/>
      <c r="K100" s="94" t="str">
        <f>IF(OR(D100="",E100=""),"",IF(J100="",G100,IF(D100="Buy",MROUND(MAX(E100*(1-Settings!$K$8),J100*(1-Settings!$K$6)),Settings!$K$10),MROUND(MIN(E100*(1+Settings!$K$8),J100*(1+Settings!$K$6)),Settings!$K$10))))</f>
        <v/>
      </c>
      <c r="L100" s="95" t="str">
        <f t="shared" si="8"/>
        <v/>
      </c>
      <c r="M100" s="82"/>
      <c r="N100" s="94" t="str">
        <f>IF(OR(D100="",E100=""),"",IF(M100="",H100,IF(D100="Buy",MROUND(MAX(E100*(1-Settings!$K$8),M100*(1-Settings!$K$6)),Settings!$K$10),MROUND(MIN(E100*(1+Settings!$K$8),M100*(1+Settings!$K$6)),Settings!$K$10))))</f>
        <v/>
      </c>
      <c r="O100" s="95" t="str">
        <f t="shared" si="9"/>
        <v/>
      </c>
      <c r="P100" s="82"/>
      <c r="Q100" s="94" t="str">
        <f>IF(OR(D100="",P100=""),"",IF(D100="Buy",MROUND(P100*(1-Settings!$K$6),Settings!$K$10),MROUND(P100*(1+Settings!$K$6),Settings!$K$10)))</f>
        <v/>
      </c>
      <c r="R100" s="95" t="str">
        <f t="shared" si="10"/>
        <v/>
      </c>
      <c r="S100" s="82"/>
      <c r="T100" s="94" t="str">
        <f>IF(OR(D100="",S100=""),"",IF(D100="Buy",MROUND(S100*(1-Settings!$K$6),Settings!$K$10),MROUND(S100*(1+Settings!$K$6),Settings!$K$10)))</f>
        <v/>
      </c>
      <c r="U100" s="67"/>
      <c r="V100" s="109" t="str">
        <f t="shared" si="11"/>
        <v/>
      </c>
      <c r="W100" s="110"/>
      <c r="X100" s="109" t="str">
        <f t="shared" si="12"/>
        <v/>
      </c>
      <c r="Y100" s="109" t="str">
        <f t="shared" si="13"/>
        <v/>
      </c>
      <c r="Z100" s="82"/>
    </row>
    <row r="101" ht="20" customHeight="1" spans="1:26">
      <c r="A101" s="64">
        <v>88</v>
      </c>
      <c r="B101" s="65"/>
      <c r="C101" s="66"/>
      <c r="D101" s="67"/>
      <c r="E101" s="82"/>
      <c r="F101" s="82"/>
      <c r="G101" s="82"/>
      <c r="H101" s="82"/>
      <c r="I101" s="93" t="str">
        <f t="shared" si="7"/>
        <v/>
      </c>
      <c r="J101" s="82"/>
      <c r="K101" s="94" t="str">
        <f>IF(OR(D101="",E101=""),"",IF(J101="",G101,IF(D101="Buy",MROUND(MAX(E101*(1-Settings!$K$8),J101*(1-Settings!$K$6)),Settings!$K$10),MROUND(MIN(E101*(1+Settings!$K$8),J101*(1+Settings!$K$6)),Settings!$K$10))))</f>
        <v/>
      </c>
      <c r="L101" s="95" t="str">
        <f t="shared" si="8"/>
        <v/>
      </c>
      <c r="M101" s="82"/>
      <c r="N101" s="94" t="str">
        <f>IF(OR(D101="",E101=""),"",IF(M101="",H101,IF(D101="Buy",MROUND(MAX(E101*(1-Settings!$K$8),M101*(1-Settings!$K$6)),Settings!$K$10),MROUND(MIN(E101*(1+Settings!$K$8),M101*(1+Settings!$K$6)),Settings!$K$10))))</f>
        <v/>
      </c>
      <c r="O101" s="95" t="str">
        <f t="shared" si="9"/>
        <v/>
      </c>
      <c r="P101" s="82"/>
      <c r="Q101" s="94" t="str">
        <f>IF(OR(D101="",P101=""),"",IF(D101="Buy",MROUND(P101*(1-Settings!$K$6),Settings!$K$10),MROUND(P101*(1+Settings!$K$6),Settings!$K$10)))</f>
        <v/>
      </c>
      <c r="R101" s="95" t="str">
        <f t="shared" si="10"/>
        <v/>
      </c>
      <c r="S101" s="82"/>
      <c r="T101" s="94" t="str">
        <f>IF(OR(D101="",S101=""),"",IF(D101="Buy",MROUND(S101*(1-Settings!$K$6),Settings!$K$10),MROUND(S101*(1+Settings!$K$6),Settings!$K$10)))</f>
        <v/>
      </c>
      <c r="U101" s="67"/>
      <c r="V101" s="109" t="str">
        <f t="shared" si="11"/>
        <v/>
      </c>
      <c r="W101" s="110"/>
      <c r="X101" s="109" t="str">
        <f t="shared" si="12"/>
        <v/>
      </c>
      <c r="Y101" s="109" t="str">
        <f t="shared" si="13"/>
        <v/>
      </c>
      <c r="Z101" s="82"/>
    </row>
    <row r="102" ht="20" customHeight="1" spans="1:26">
      <c r="A102" s="64">
        <v>89</v>
      </c>
      <c r="B102" s="65"/>
      <c r="C102" s="66"/>
      <c r="D102" s="67"/>
      <c r="E102" s="82"/>
      <c r="F102" s="82"/>
      <c r="G102" s="82"/>
      <c r="H102" s="82"/>
      <c r="I102" s="93" t="str">
        <f t="shared" si="7"/>
        <v/>
      </c>
      <c r="J102" s="82"/>
      <c r="K102" s="94" t="str">
        <f>IF(OR(D102="",E102=""),"",IF(J102="",G102,IF(D102="Buy",MROUND(MAX(E102*(1-Settings!$K$8),J102*(1-Settings!$K$6)),Settings!$K$10),MROUND(MIN(E102*(1+Settings!$K$8),J102*(1+Settings!$K$6)),Settings!$K$10))))</f>
        <v/>
      </c>
      <c r="L102" s="95" t="str">
        <f t="shared" si="8"/>
        <v/>
      </c>
      <c r="M102" s="82"/>
      <c r="N102" s="94" t="str">
        <f>IF(OR(D102="",E102=""),"",IF(M102="",H102,IF(D102="Buy",MROUND(MAX(E102*(1-Settings!$K$8),M102*(1-Settings!$K$6)),Settings!$K$10),MROUND(MIN(E102*(1+Settings!$K$8),M102*(1+Settings!$K$6)),Settings!$K$10))))</f>
        <v/>
      </c>
      <c r="O102" s="95" t="str">
        <f t="shared" si="9"/>
        <v/>
      </c>
      <c r="P102" s="82"/>
      <c r="Q102" s="94" t="str">
        <f>IF(OR(D102="",P102=""),"",IF(D102="Buy",MROUND(P102*(1-Settings!$K$6),Settings!$K$10),MROUND(P102*(1+Settings!$K$6),Settings!$K$10)))</f>
        <v/>
      </c>
      <c r="R102" s="95" t="str">
        <f t="shared" si="10"/>
        <v/>
      </c>
      <c r="S102" s="82"/>
      <c r="T102" s="94" t="str">
        <f>IF(OR(D102="",S102=""),"",IF(D102="Buy",MROUND(S102*(1-Settings!$K$6),Settings!$K$10),MROUND(S102*(1+Settings!$K$6),Settings!$K$10)))</f>
        <v/>
      </c>
      <c r="U102" s="67"/>
      <c r="V102" s="109" t="str">
        <f t="shared" si="11"/>
        <v/>
      </c>
      <c r="W102" s="110"/>
      <c r="X102" s="109" t="str">
        <f t="shared" si="12"/>
        <v/>
      </c>
      <c r="Y102" s="109" t="str">
        <f t="shared" si="13"/>
        <v/>
      </c>
      <c r="Z102" s="82"/>
    </row>
    <row r="103" ht="20" customHeight="1" spans="1:26">
      <c r="A103" s="64">
        <v>90</v>
      </c>
      <c r="B103" s="65"/>
      <c r="C103" s="66"/>
      <c r="D103" s="67"/>
      <c r="E103" s="82"/>
      <c r="F103" s="82"/>
      <c r="G103" s="82"/>
      <c r="H103" s="82"/>
      <c r="I103" s="93" t="str">
        <f t="shared" si="7"/>
        <v/>
      </c>
      <c r="J103" s="82"/>
      <c r="K103" s="94" t="str">
        <f>IF(OR(D103="",E103=""),"",IF(J103="",G103,IF(D103="Buy",MROUND(MAX(E103*(1-Settings!$K$8),J103*(1-Settings!$K$6)),Settings!$K$10),MROUND(MIN(E103*(1+Settings!$K$8),J103*(1+Settings!$K$6)),Settings!$K$10))))</f>
        <v/>
      </c>
      <c r="L103" s="95" t="str">
        <f t="shared" si="8"/>
        <v/>
      </c>
      <c r="M103" s="82"/>
      <c r="N103" s="94" t="str">
        <f>IF(OR(D103="",E103=""),"",IF(M103="",H103,IF(D103="Buy",MROUND(MAX(E103*(1-Settings!$K$8),M103*(1-Settings!$K$6)),Settings!$K$10),MROUND(MIN(E103*(1+Settings!$K$8),M103*(1+Settings!$K$6)),Settings!$K$10))))</f>
        <v/>
      </c>
      <c r="O103" s="95" t="str">
        <f t="shared" si="9"/>
        <v/>
      </c>
      <c r="P103" s="82"/>
      <c r="Q103" s="94" t="str">
        <f>IF(OR(D103="",P103=""),"",IF(D103="Buy",MROUND(P103*(1-Settings!$K$6),Settings!$K$10),MROUND(P103*(1+Settings!$K$6),Settings!$K$10)))</f>
        <v/>
      </c>
      <c r="R103" s="95" t="str">
        <f t="shared" si="10"/>
        <v/>
      </c>
      <c r="S103" s="82"/>
      <c r="T103" s="94" t="str">
        <f>IF(OR(D103="",S103=""),"",IF(D103="Buy",MROUND(S103*(1-Settings!$K$6),Settings!$K$10),MROUND(S103*(1+Settings!$K$6),Settings!$K$10)))</f>
        <v/>
      </c>
      <c r="U103" s="67"/>
      <c r="V103" s="109" t="str">
        <f t="shared" si="11"/>
        <v/>
      </c>
      <c r="W103" s="110"/>
      <c r="X103" s="109" t="str">
        <f t="shared" si="12"/>
        <v/>
      </c>
      <c r="Y103" s="109" t="str">
        <f t="shared" si="13"/>
        <v/>
      </c>
      <c r="Z103" s="82"/>
    </row>
    <row r="104" ht="20" customHeight="1" spans="1:26">
      <c r="A104" s="64">
        <v>91</v>
      </c>
      <c r="B104" s="65"/>
      <c r="C104" s="66"/>
      <c r="D104" s="67"/>
      <c r="E104" s="82"/>
      <c r="F104" s="82"/>
      <c r="G104" s="82"/>
      <c r="H104" s="82"/>
      <c r="I104" s="93" t="str">
        <f t="shared" si="7"/>
        <v/>
      </c>
      <c r="J104" s="82"/>
      <c r="K104" s="94" t="str">
        <f>IF(OR(D104="",E104=""),"",IF(J104="",G104,IF(D104="Buy",MROUND(MAX(E104*(1-Settings!$K$8),J104*(1-Settings!$K$6)),Settings!$K$10),MROUND(MIN(E104*(1+Settings!$K$8),J104*(1+Settings!$K$6)),Settings!$K$10))))</f>
        <v/>
      </c>
      <c r="L104" s="95" t="str">
        <f t="shared" si="8"/>
        <v/>
      </c>
      <c r="M104" s="82"/>
      <c r="N104" s="94" t="str">
        <f>IF(OR(D104="",E104=""),"",IF(M104="",H104,IF(D104="Buy",MROUND(MAX(E104*(1-Settings!$K$8),M104*(1-Settings!$K$6)),Settings!$K$10),MROUND(MIN(E104*(1+Settings!$K$8),M104*(1+Settings!$K$6)),Settings!$K$10))))</f>
        <v/>
      </c>
      <c r="O104" s="95" t="str">
        <f t="shared" si="9"/>
        <v/>
      </c>
      <c r="P104" s="82"/>
      <c r="Q104" s="94" t="str">
        <f>IF(OR(D104="",P104=""),"",IF(D104="Buy",MROUND(P104*(1-Settings!$K$6),Settings!$K$10),MROUND(P104*(1+Settings!$K$6),Settings!$K$10)))</f>
        <v/>
      </c>
      <c r="R104" s="95" t="str">
        <f t="shared" si="10"/>
        <v/>
      </c>
      <c r="S104" s="82"/>
      <c r="T104" s="94" t="str">
        <f>IF(OR(D104="",S104=""),"",IF(D104="Buy",MROUND(S104*(1-Settings!$K$6),Settings!$K$10),MROUND(S104*(1+Settings!$K$6),Settings!$K$10)))</f>
        <v/>
      </c>
      <c r="U104" s="67"/>
      <c r="V104" s="109" t="str">
        <f t="shared" si="11"/>
        <v/>
      </c>
      <c r="W104" s="110"/>
      <c r="X104" s="109" t="str">
        <f t="shared" si="12"/>
        <v/>
      </c>
      <c r="Y104" s="109" t="str">
        <f t="shared" si="13"/>
        <v/>
      </c>
      <c r="Z104" s="82"/>
    </row>
    <row r="105" ht="20" customHeight="1" spans="1:26">
      <c r="A105" s="64">
        <v>92</v>
      </c>
      <c r="B105" s="65"/>
      <c r="C105" s="66"/>
      <c r="D105" s="67"/>
      <c r="E105" s="82"/>
      <c r="F105" s="82"/>
      <c r="G105" s="82"/>
      <c r="H105" s="82"/>
      <c r="I105" s="93" t="str">
        <f t="shared" si="7"/>
        <v/>
      </c>
      <c r="J105" s="82"/>
      <c r="K105" s="94" t="str">
        <f>IF(OR(D105="",E105=""),"",IF(J105="",G105,IF(D105="Buy",MROUND(MAX(E105*(1-Settings!$K$8),J105*(1-Settings!$K$6)),Settings!$K$10),MROUND(MIN(E105*(1+Settings!$K$8),J105*(1+Settings!$K$6)),Settings!$K$10))))</f>
        <v/>
      </c>
      <c r="L105" s="95" t="str">
        <f t="shared" si="8"/>
        <v/>
      </c>
      <c r="M105" s="82"/>
      <c r="N105" s="94" t="str">
        <f>IF(OR(D105="",E105=""),"",IF(M105="",H105,IF(D105="Buy",MROUND(MAX(E105*(1-Settings!$K$8),M105*(1-Settings!$K$6)),Settings!$K$10),MROUND(MIN(E105*(1+Settings!$K$8),M105*(1+Settings!$K$6)),Settings!$K$10))))</f>
        <v/>
      </c>
      <c r="O105" s="95" t="str">
        <f t="shared" si="9"/>
        <v/>
      </c>
      <c r="P105" s="82"/>
      <c r="Q105" s="94" t="str">
        <f>IF(OR(D105="",P105=""),"",IF(D105="Buy",MROUND(P105*(1-Settings!$K$6),Settings!$K$10),MROUND(P105*(1+Settings!$K$6),Settings!$K$10)))</f>
        <v/>
      </c>
      <c r="R105" s="95" t="str">
        <f t="shared" si="10"/>
        <v/>
      </c>
      <c r="S105" s="82"/>
      <c r="T105" s="94" t="str">
        <f>IF(OR(D105="",S105=""),"",IF(D105="Buy",MROUND(S105*(1-Settings!$K$6),Settings!$K$10),MROUND(S105*(1+Settings!$K$6),Settings!$K$10)))</f>
        <v/>
      </c>
      <c r="U105" s="67"/>
      <c r="V105" s="109" t="str">
        <f t="shared" si="11"/>
        <v/>
      </c>
      <c r="W105" s="110"/>
      <c r="X105" s="109" t="str">
        <f t="shared" si="12"/>
        <v/>
      </c>
      <c r="Y105" s="109" t="str">
        <f t="shared" si="13"/>
        <v/>
      </c>
      <c r="Z105" s="82"/>
    </row>
    <row r="106" ht="20" customHeight="1" spans="1:26">
      <c r="A106" s="64">
        <v>93</v>
      </c>
      <c r="B106" s="65"/>
      <c r="C106" s="66"/>
      <c r="D106" s="67"/>
      <c r="E106" s="82"/>
      <c r="F106" s="82"/>
      <c r="G106" s="82"/>
      <c r="H106" s="82"/>
      <c r="I106" s="93" t="str">
        <f t="shared" si="7"/>
        <v/>
      </c>
      <c r="J106" s="82"/>
      <c r="K106" s="94" t="str">
        <f>IF(OR(D106="",E106=""),"",IF(J106="",G106,IF(D106="Buy",MROUND(MAX(E106*(1-Settings!$K$8),J106*(1-Settings!$K$6)),Settings!$K$10),MROUND(MIN(E106*(1+Settings!$K$8),J106*(1+Settings!$K$6)),Settings!$K$10))))</f>
        <v/>
      </c>
      <c r="L106" s="95" t="str">
        <f t="shared" si="8"/>
        <v/>
      </c>
      <c r="M106" s="82"/>
      <c r="N106" s="94" t="str">
        <f>IF(OR(D106="",E106=""),"",IF(M106="",H106,IF(D106="Buy",MROUND(MAX(E106*(1-Settings!$K$8),M106*(1-Settings!$K$6)),Settings!$K$10),MROUND(MIN(E106*(1+Settings!$K$8),M106*(1+Settings!$K$6)),Settings!$K$10))))</f>
        <v/>
      </c>
      <c r="O106" s="95" t="str">
        <f t="shared" si="9"/>
        <v/>
      </c>
      <c r="P106" s="82"/>
      <c r="Q106" s="94" t="str">
        <f>IF(OR(D106="",P106=""),"",IF(D106="Buy",MROUND(P106*(1-Settings!$K$6),Settings!$K$10),MROUND(P106*(1+Settings!$K$6),Settings!$K$10)))</f>
        <v/>
      </c>
      <c r="R106" s="95" t="str">
        <f t="shared" si="10"/>
        <v/>
      </c>
      <c r="S106" s="82"/>
      <c r="T106" s="94" t="str">
        <f>IF(OR(D106="",S106=""),"",IF(D106="Buy",MROUND(S106*(1-Settings!$K$6),Settings!$K$10),MROUND(S106*(1+Settings!$K$6),Settings!$K$10)))</f>
        <v/>
      </c>
      <c r="U106" s="67"/>
      <c r="V106" s="109" t="str">
        <f t="shared" si="11"/>
        <v/>
      </c>
      <c r="W106" s="110"/>
      <c r="X106" s="109" t="str">
        <f t="shared" si="12"/>
        <v/>
      </c>
      <c r="Y106" s="109" t="str">
        <f t="shared" si="13"/>
        <v/>
      </c>
      <c r="Z106" s="82"/>
    </row>
    <row r="107" ht="20" customHeight="1" spans="1:26">
      <c r="A107" s="64">
        <v>94</v>
      </c>
      <c r="B107" s="65"/>
      <c r="C107" s="66"/>
      <c r="D107" s="67"/>
      <c r="E107" s="82"/>
      <c r="F107" s="82"/>
      <c r="G107" s="82"/>
      <c r="H107" s="82"/>
      <c r="I107" s="93" t="str">
        <f t="shared" si="7"/>
        <v/>
      </c>
      <c r="J107" s="82"/>
      <c r="K107" s="94" t="str">
        <f>IF(OR(D107="",E107=""),"",IF(J107="",G107,IF(D107="Buy",MROUND(MAX(E107*(1-Settings!$K$8),J107*(1-Settings!$K$6)),Settings!$K$10),MROUND(MIN(E107*(1+Settings!$K$8),J107*(1+Settings!$K$6)),Settings!$K$10))))</f>
        <v/>
      </c>
      <c r="L107" s="95" t="str">
        <f t="shared" si="8"/>
        <v/>
      </c>
      <c r="M107" s="82"/>
      <c r="N107" s="94" t="str">
        <f>IF(OR(D107="",E107=""),"",IF(M107="",H107,IF(D107="Buy",MROUND(MAX(E107*(1-Settings!$K$8),M107*(1-Settings!$K$6)),Settings!$K$10),MROUND(MIN(E107*(1+Settings!$K$8),M107*(1+Settings!$K$6)),Settings!$K$10))))</f>
        <v/>
      </c>
      <c r="O107" s="95" t="str">
        <f t="shared" si="9"/>
        <v/>
      </c>
      <c r="P107" s="82"/>
      <c r="Q107" s="94" t="str">
        <f>IF(OR(D107="",P107=""),"",IF(D107="Buy",MROUND(P107*(1-Settings!$K$6),Settings!$K$10),MROUND(P107*(1+Settings!$K$6),Settings!$K$10)))</f>
        <v/>
      </c>
      <c r="R107" s="95" t="str">
        <f t="shared" si="10"/>
        <v/>
      </c>
      <c r="S107" s="82"/>
      <c r="T107" s="94" t="str">
        <f>IF(OR(D107="",S107=""),"",IF(D107="Buy",MROUND(S107*(1-Settings!$K$6),Settings!$K$10),MROUND(S107*(1+Settings!$K$6),Settings!$K$10)))</f>
        <v/>
      </c>
      <c r="U107" s="67"/>
      <c r="V107" s="109" t="str">
        <f t="shared" si="11"/>
        <v/>
      </c>
      <c r="W107" s="110"/>
      <c r="X107" s="109" t="str">
        <f t="shared" si="12"/>
        <v/>
      </c>
      <c r="Y107" s="109" t="str">
        <f t="shared" si="13"/>
        <v/>
      </c>
      <c r="Z107" s="82"/>
    </row>
    <row r="108" ht="20" customHeight="1" spans="1:26">
      <c r="A108" s="64">
        <v>95</v>
      </c>
      <c r="B108" s="65"/>
      <c r="C108" s="66"/>
      <c r="D108" s="67"/>
      <c r="E108" s="82"/>
      <c r="F108" s="82"/>
      <c r="G108" s="82"/>
      <c r="H108" s="82"/>
      <c r="I108" s="93" t="str">
        <f t="shared" si="7"/>
        <v/>
      </c>
      <c r="J108" s="82"/>
      <c r="K108" s="94" t="str">
        <f>IF(OR(D108="",E108=""),"",IF(J108="",G108,IF(D108="Buy",MROUND(MAX(E108*(1-Settings!$K$8),J108*(1-Settings!$K$6)),Settings!$K$10),MROUND(MIN(E108*(1+Settings!$K$8),J108*(1+Settings!$K$6)),Settings!$K$10))))</f>
        <v/>
      </c>
      <c r="L108" s="95" t="str">
        <f t="shared" si="8"/>
        <v/>
      </c>
      <c r="M108" s="82"/>
      <c r="N108" s="94" t="str">
        <f>IF(OR(D108="",E108=""),"",IF(M108="",H108,IF(D108="Buy",MROUND(MAX(E108*(1-Settings!$K$8),M108*(1-Settings!$K$6)),Settings!$K$10),MROUND(MIN(E108*(1+Settings!$K$8),M108*(1+Settings!$K$6)),Settings!$K$10))))</f>
        <v/>
      </c>
      <c r="O108" s="95" t="str">
        <f t="shared" si="9"/>
        <v/>
      </c>
      <c r="P108" s="82"/>
      <c r="Q108" s="94" t="str">
        <f>IF(OR(D108="",P108=""),"",IF(D108="Buy",MROUND(P108*(1-Settings!$K$6),Settings!$K$10),MROUND(P108*(1+Settings!$K$6),Settings!$K$10)))</f>
        <v/>
      </c>
      <c r="R108" s="95" t="str">
        <f t="shared" si="10"/>
        <v/>
      </c>
      <c r="S108" s="82"/>
      <c r="T108" s="94" t="str">
        <f>IF(OR(D108="",S108=""),"",IF(D108="Buy",MROUND(S108*(1-Settings!$K$6),Settings!$K$10),MROUND(S108*(1+Settings!$K$6),Settings!$K$10)))</f>
        <v/>
      </c>
      <c r="U108" s="67"/>
      <c r="V108" s="109" t="str">
        <f t="shared" si="11"/>
        <v/>
      </c>
      <c r="W108" s="110"/>
      <c r="X108" s="109" t="str">
        <f t="shared" si="12"/>
        <v/>
      </c>
      <c r="Y108" s="109" t="str">
        <f t="shared" si="13"/>
        <v/>
      </c>
      <c r="Z108" s="82"/>
    </row>
    <row r="109" ht="20" customHeight="1" spans="1:26">
      <c r="A109" s="64">
        <v>96</v>
      </c>
      <c r="B109" s="65"/>
      <c r="C109" s="66"/>
      <c r="D109" s="67"/>
      <c r="E109" s="82"/>
      <c r="F109" s="82"/>
      <c r="G109" s="82"/>
      <c r="H109" s="82"/>
      <c r="I109" s="93" t="str">
        <f t="shared" si="7"/>
        <v/>
      </c>
      <c r="J109" s="82"/>
      <c r="K109" s="94" t="str">
        <f>IF(OR(D109="",E109=""),"",IF(J109="",G109,IF(D109="Buy",MROUND(MAX(E109*(1-Settings!$K$8),J109*(1-Settings!$K$6)),Settings!$K$10),MROUND(MIN(E109*(1+Settings!$K$8),J109*(1+Settings!$K$6)),Settings!$K$10))))</f>
        <v/>
      </c>
      <c r="L109" s="95" t="str">
        <f t="shared" si="8"/>
        <v/>
      </c>
      <c r="M109" s="82"/>
      <c r="N109" s="94" t="str">
        <f>IF(OR(D109="",E109=""),"",IF(M109="",H109,IF(D109="Buy",MROUND(MAX(E109*(1-Settings!$K$8),M109*(1-Settings!$K$6)),Settings!$K$10),MROUND(MIN(E109*(1+Settings!$K$8),M109*(1+Settings!$K$6)),Settings!$K$10))))</f>
        <v/>
      </c>
      <c r="O109" s="95" t="str">
        <f t="shared" si="9"/>
        <v/>
      </c>
      <c r="P109" s="82"/>
      <c r="Q109" s="94" t="str">
        <f>IF(OR(D109="",P109=""),"",IF(D109="Buy",MROUND(P109*(1-Settings!$K$6),Settings!$K$10),MROUND(P109*(1+Settings!$K$6),Settings!$K$10)))</f>
        <v/>
      </c>
      <c r="R109" s="95" t="str">
        <f t="shared" si="10"/>
        <v/>
      </c>
      <c r="S109" s="82"/>
      <c r="T109" s="94" t="str">
        <f>IF(OR(D109="",S109=""),"",IF(D109="Buy",MROUND(S109*(1-Settings!$K$6),Settings!$K$10),MROUND(S109*(1+Settings!$K$6),Settings!$K$10)))</f>
        <v/>
      </c>
      <c r="U109" s="67"/>
      <c r="V109" s="109" t="str">
        <f t="shared" si="11"/>
        <v/>
      </c>
      <c r="W109" s="110"/>
      <c r="X109" s="109" t="str">
        <f t="shared" si="12"/>
        <v/>
      </c>
      <c r="Y109" s="109" t="str">
        <f t="shared" si="13"/>
        <v/>
      </c>
      <c r="Z109" s="82"/>
    </row>
    <row r="110" ht="20" customHeight="1" spans="1:26">
      <c r="A110" s="64">
        <v>97</v>
      </c>
      <c r="B110" s="65"/>
      <c r="C110" s="66"/>
      <c r="D110" s="67"/>
      <c r="E110" s="82"/>
      <c r="F110" s="82"/>
      <c r="G110" s="82"/>
      <c r="H110" s="82"/>
      <c r="I110" s="93" t="str">
        <f t="shared" si="7"/>
        <v/>
      </c>
      <c r="J110" s="82"/>
      <c r="K110" s="94" t="str">
        <f>IF(OR(D110="",E110=""),"",IF(J110="",G110,IF(D110="Buy",MROUND(MAX(E110*(1-Settings!$K$8),J110*(1-Settings!$K$6)),Settings!$K$10),MROUND(MIN(E110*(1+Settings!$K$8),J110*(1+Settings!$K$6)),Settings!$K$10))))</f>
        <v/>
      </c>
      <c r="L110" s="95" t="str">
        <f t="shared" si="8"/>
        <v/>
      </c>
      <c r="M110" s="82"/>
      <c r="N110" s="94" t="str">
        <f>IF(OR(D110="",E110=""),"",IF(M110="",H110,IF(D110="Buy",MROUND(MAX(E110*(1-Settings!$K$8),M110*(1-Settings!$K$6)),Settings!$K$10),MROUND(MIN(E110*(1+Settings!$K$8),M110*(1+Settings!$K$6)),Settings!$K$10))))</f>
        <v/>
      </c>
      <c r="O110" s="95" t="str">
        <f t="shared" si="9"/>
        <v/>
      </c>
      <c r="P110" s="82"/>
      <c r="Q110" s="94" t="str">
        <f>IF(OR(D110="",P110=""),"",IF(D110="Buy",MROUND(P110*(1-Settings!$K$6),Settings!$K$10),MROUND(P110*(1+Settings!$K$6),Settings!$K$10)))</f>
        <v/>
      </c>
      <c r="R110" s="95" t="str">
        <f t="shared" si="10"/>
        <v/>
      </c>
      <c r="S110" s="82"/>
      <c r="T110" s="94" t="str">
        <f>IF(OR(D110="",S110=""),"",IF(D110="Buy",MROUND(S110*(1-Settings!$K$6),Settings!$K$10),MROUND(S110*(1+Settings!$K$6),Settings!$K$10)))</f>
        <v/>
      </c>
      <c r="U110" s="67"/>
      <c r="V110" s="109" t="str">
        <f t="shared" si="11"/>
        <v/>
      </c>
      <c r="W110" s="110"/>
      <c r="X110" s="109" t="str">
        <f t="shared" si="12"/>
        <v/>
      </c>
      <c r="Y110" s="109" t="str">
        <f t="shared" si="13"/>
        <v/>
      </c>
      <c r="Z110" s="82"/>
    </row>
    <row r="111" ht="20" customHeight="1" spans="1:26">
      <c r="A111" s="64">
        <v>98</v>
      </c>
      <c r="B111" s="65"/>
      <c r="C111" s="66"/>
      <c r="D111" s="67"/>
      <c r="E111" s="82"/>
      <c r="F111" s="82"/>
      <c r="G111" s="82"/>
      <c r="H111" s="82"/>
      <c r="I111" s="93" t="str">
        <f t="shared" si="7"/>
        <v/>
      </c>
      <c r="J111" s="82"/>
      <c r="K111" s="94" t="str">
        <f>IF(OR(D111="",E111=""),"",IF(J111="",G111,IF(D111="Buy",MROUND(MAX(E111*(1-Settings!$K$8),J111*(1-Settings!$K$6)),Settings!$K$10),MROUND(MIN(E111*(1+Settings!$K$8),J111*(1+Settings!$K$6)),Settings!$K$10))))</f>
        <v/>
      </c>
      <c r="L111" s="95" t="str">
        <f t="shared" si="8"/>
        <v/>
      </c>
      <c r="M111" s="82"/>
      <c r="N111" s="94" t="str">
        <f>IF(OR(D111="",E111=""),"",IF(M111="",H111,IF(D111="Buy",MROUND(MAX(E111*(1-Settings!$K$8),M111*(1-Settings!$K$6)),Settings!$K$10),MROUND(MIN(E111*(1+Settings!$K$8),M111*(1+Settings!$K$6)),Settings!$K$10))))</f>
        <v/>
      </c>
      <c r="O111" s="95" t="str">
        <f t="shared" si="9"/>
        <v/>
      </c>
      <c r="P111" s="82"/>
      <c r="Q111" s="94" t="str">
        <f>IF(OR(D111="",P111=""),"",IF(D111="Buy",MROUND(P111*(1-Settings!$K$6),Settings!$K$10),MROUND(P111*(1+Settings!$K$6),Settings!$K$10)))</f>
        <v/>
      </c>
      <c r="R111" s="95" t="str">
        <f t="shared" si="10"/>
        <v/>
      </c>
      <c r="S111" s="82"/>
      <c r="T111" s="94" t="str">
        <f>IF(OR(D111="",S111=""),"",IF(D111="Buy",MROUND(S111*(1-Settings!$K$6),Settings!$K$10),MROUND(S111*(1+Settings!$K$6),Settings!$K$10)))</f>
        <v/>
      </c>
      <c r="U111" s="67"/>
      <c r="V111" s="109" t="str">
        <f t="shared" si="11"/>
        <v/>
      </c>
      <c r="W111" s="110"/>
      <c r="X111" s="109" t="str">
        <f t="shared" si="12"/>
        <v/>
      </c>
      <c r="Y111" s="109" t="str">
        <f t="shared" si="13"/>
        <v/>
      </c>
      <c r="Z111" s="82"/>
    </row>
    <row r="112" ht="20" customHeight="1" spans="1:26">
      <c r="A112" s="64">
        <v>99</v>
      </c>
      <c r="B112" s="65"/>
      <c r="C112" s="66"/>
      <c r="D112" s="67"/>
      <c r="E112" s="82"/>
      <c r="F112" s="82"/>
      <c r="G112" s="82"/>
      <c r="H112" s="82"/>
      <c r="I112" s="93" t="str">
        <f t="shared" si="7"/>
        <v/>
      </c>
      <c r="J112" s="82"/>
      <c r="K112" s="94" t="str">
        <f>IF(OR(D112="",E112=""),"",IF(J112="",G112,IF(D112="Buy",MROUND(MAX(E112*(1-Settings!$K$8),J112*(1-Settings!$K$6)),Settings!$K$10),MROUND(MIN(E112*(1+Settings!$K$8),J112*(1+Settings!$K$6)),Settings!$K$10))))</f>
        <v/>
      </c>
      <c r="L112" s="95" t="str">
        <f t="shared" si="8"/>
        <v/>
      </c>
      <c r="M112" s="82"/>
      <c r="N112" s="94" t="str">
        <f>IF(OR(D112="",E112=""),"",IF(M112="",H112,IF(D112="Buy",MROUND(MAX(E112*(1-Settings!$K$8),M112*(1-Settings!$K$6)),Settings!$K$10),MROUND(MIN(E112*(1+Settings!$K$8),M112*(1+Settings!$K$6)),Settings!$K$10))))</f>
        <v/>
      </c>
      <c r="O112" s="95" t="str">
        <f t="shared" si="9"/>
        <v/>
      </c>
      <c r="P112" s="82"/>
      <c r="Q112" s="94" t="str">
        <f>IF(OR(D112="",P112=""),"",IF(D112="Buy",MROUND(P112*(1-Settings!$K$6),Settings!$K$10),MROUND(P112*(1+Settings!$K$6),Settings!$K$10)))</f>
        <v/>
      </c>
      <c r="R112" s="95" t="str">
        <f t="shared" si="10"/>
        <v/>
      </c>
      <c r="S112" s="82"/>
      <c r="T112" s="94" t="str">
        <f>IF(OR(D112="",S112=""),"",IF(D112="Buy",MROUND(S112*(1-Settings!$K$6),Settings!$K$10),MROUND(S112*(1+Settings!$K$6),Settings!$K$10)))</f>
        <v/>
      </c>
      <c r="U112" s="67"/>
      <c r="V112" s="109" t="str">
        <f t="shared" si="11"/>
        <v/>
      </c>
      <c r="W112" s="110"/>
      <c r="X112" s="109" t="str">
        <f t="shared" si="12"/>
        <v/>
      </c>
      <c r="Y112" s="109" t="str">
        <f t="shared" si="13"/>
        <v/>
      </c>
      <c r="Z112" s="82"/>
    </row>
    <row r="113" ht="20" customHeight="1" spans="1:26">
      <c r="A113" s="64">
        <v>100</v>
      </c>
      <c r="B113" s="65"/>
      <c r="C113" s="66"/>
      <c r="D113" s="67"/>
      <c r="E113" s="82"/>
      <c r="F113" s="82"/>
      <c r="G113" s="82"/>
      <c r="H113" s="82"/>
      <c r="I113" s="93" t="str">
        <f t="shared" si="7"/>
        <v/>
      </c>
      <c r="J113" s="82"/>
      <c r="K113" s="94" t="str">
        <f>IF(OR(D113="",E113=""),"",IF(J113="",G113,IF(D113="Buy",MROUND(MAX(E113*(1-Settings!$K$8),J113*(1-Settings!$K$6)),Settings!$K$10),MROUND(MIN(E113*(1+Settings!$K$8),J113*(1+Settings!$K$6)),Settings!$K$10))))</f>
        <v/>
      </c>
      <c r="L113" s="95" t="str">
        <f t="shared" si="8"/>
        <v/>
      </c>
      <c r="M113" s="82"/>
      <c r="N113" s="94" t="str">
        <f>IF(OR(D113="",E113=""),"",IF(M113="",H113,IF(D113="Buy",MROUND(MAX(E113*(1-Settings!$K$8),M113*(1-Settings!$K$6)),Settings!$K$10),MROUND(MIN(E113*(1+Settings!$K$8),M113*(1+Settings!$K$6)),Settings!$K$10))))</f>
        <v/>
      </c>
      <c r="O113" s="95" t="str">
        <f t="shared" si="9"/>
        <v/>
      </c>
      <c r="P113" s="82"/>
      <c r="Q113" s="94" t="str">
        <f>IF(OR(D113="",P113=""),"",IF(D113="Buy",MROUND(P113*(1-Settings!$K$6),Settings!$K$10),MROUND(P113*(1+Settings!$K$6),Settings!$K$10)))</f>
        <v/>
      </c>
      <c r="R113" s="95" t="str">
        <f t="shared" si="10"/>
        <v/>
      </c>
      <c r="S113" s="82"/>
      <c r="T113" s="94" t="str">
        <f>IF(OR(D113="",S113=""),"",IF(D113="Buy",MROUND(S113*(1-Settings!$K$6),Settings!$K$10),MROUND(S113*(1+Settings!$K$6),Settings!$K$10)))</f>
        <v/>
      </c>
      <c r="U113" s="67"/>
      <c r="V113" s="109" t="str">
        <f t="shared" si="11"/>
        <v/>
      </c>
      <c r="W113" s="110"/>
      <c r="X113" s="109" t="str">
        <f t="shared" si="12"/>
        <v/>
      </c>
      <c r="Y113" s="109" t="str">
        <f t="shared" si="13"/>
        <v/>
      </c>
      <c r="Z113" s="82"/>
    </row>
    <row r="114" ht="20" customHeight="1" spans="1:26">
      <c r="A114" s="64">
        <v>101</v>
      </c>
      <c r="B114" s="65"/>
      <c r="C114" s="66"/>
      <c r="D114" s="67"/>
      <c r="E114" s="82"/>
      <c r="F114" s="82"/>
      <c r="G114" s="82"/>
      <c r="H114" s="82"/>
      <c r="I114" s="93" t="str">
        <f t="shared" si="7"/>
        <v/>
      </c>
      <c r="J114" s="82"/>
      <c r="K114" s="94" t="str">
        <f>IF(OR(D114="",E114=""),"",IF(J114="",G114,IF(D114="Buy",MROUND(MAX(E114*(1-Settings!$K$8),J114*(1-Settings!$K$6)),Settings!$K$10),MROUND(MIN(E114*(1+Settings!$K$8),J114*(1+Settings!$K$6)),Settings!$K$10))))</f>
        <v/>
      </c>
      <c r="L114" s="95" t="str">
        <f t="shared" si="8"/>
        <v/>
      </c>
      <c r="M114" s="82"/>
      <c r="N114" s="94" t="str">
        <f>IF(OR(D114="",E114=""),"",IF(M114="",H114,IF(D114="Buy",MROUND(MAX(E114*(1-Settings!$K$8),M114*(1-Settings!$K$6)),Settings!$K$10),MROUND(MIN(E114*(1+Settings!$K$8),M114*(1+Settings!$K$6)),Settings!$K$10))))</f>
        <v/>
      </c>
      <c r="O114" s="95" t="str">
        <f t="shared" si="9"/>
        <v/>
      </c>
      <c r="P114" s="82"/>
      <c r="Q114" s="94" t="str">
        <f>IF(OR(D114="",P114=""),"",IF(D114="Buy",MROUND(P114*(1-Settings!$K$6),Settings!$K$10),MROUND(P114*(1+Settings!$K$6),Settings!$K$10)))</f>
        <v/>
      </c>
      <c r="R114" s="95" t="str">
        <f t="shared" si="10"/>
        <v/>
      </c>
      <c r="S114" s="82"/>
      <c r="T114" s="94" t="str">
        <f>IF(OR(D114="",S114=""),"",IF(D114="Buy",MROUND(S114*(1-Settings!$K$6),Settings!$K$10),MROUND(S114*(1+Settings!$K$6),Settings!$K$10)))</f>
        <v/>
      </c>
      <c r="U114" s="67"/>
      <c r="V114" s="109" t="str">
        <f t="shared" si="11"/>
        <v/>
      </c>
      <c r="W114" s="110"/>
      <c r="X114" s="109" t="str">
        <f t="shared" si="12"/>
        <v/>
      </c>
      <c r="Y114" s="109" t="str">
        <f t="shared" si="13"/>
        <v/>
      </c>
      <c r="Z114" s="82"/>
    </row>
    <row r="115" ht="20" customHeight="1" spans="1:26">
      <c r="A115" s="64">
        <v>102</v>
      </c>
      <c r="B115" s="65"/>
      <c r="C115" s="66"/>
      <c r="D115" s="67"/>
      <c r="E115" s="82"/>
      <c r="F115" s="82"/>
      <c r="G115" s="82"/>
      <c r="H115" s="82"/>
      <c r="I115" s="93" t="str">
        <f t="shared" si="7"/>
        <v/>
      </c>
      <c r="J115" s="82"/>
      <c r="K115" s="94" t="str">
        <f>IF(OR(D115="",E115=""),"",IF(J115="",G115,IF(D115="Buy",MROUND(MAX(E115*(1-Settings!$K$8),J115*(1-Settings!$K$6)),Settings!$K$10),MROUND(MIN(E115*(1+Settings!$K$8),J115*(1+Settings!$K$6)),Settings!$K$10))))</f>
        <v/>
      </c>
      <c r="L115" s="95" t="str">
        <f t="shared" si="8"/>
        <v/>
      </c>
      <c r="M115" s="82"/>
      <c r="N115" s="94" t="str">
        <f>IF(OR(D115="",E115=""),"",IF(M115="",H115,IF(D115="Buy",MROUND(MAX(E115*(1-Settings!$K$8),M115*(1-Settings!$K$6)),Settings!$K$10),MROUND(MIN(E115*(1+Settings!$K$8),M115*(1+Settings!$K$6)),Settings!$K$10))))</f>
        <v/>
      </c>
      <c r="O115" s="95" t="str">
        <f t="shared" si="9"/>
        <v/>
      </c>
      <c r="P115" s="82"/>
      <c r="Q115" s="94" t="str">
        <f>IF(OR(D115="",P115=""),"",IF(D115="Buy",MROUND(P115*(1-Settings!$K$6),Settings!$K$10),MROUND(P115*(1+Settings!$K$6),Settings!$K$10)))</f>
        <v/>
      </c>
      <c r="R115" s="95" t="str">
        <f t="shared" si="10"/>
        <v/>
      </c>
      <c r="S115" s="82"/>
      <c r="T115" s="94" t="str">
        <f>IF(OR(D115="",S115=""),"",IF(D115="Buy",MROUND(S115*(1-Settings!$K$6),Settings!$K$10),MROUND(S115*(1+Settings!$K$6),Settings!$K$10)))</f>
        <v/>
      </c>
      <c r="U115" s="67"/>
      <c r="V115" s="109" t="str">
        <f t="shared" si="11"/>
        <v/>
      </c>
      <c r="W115" s="110"/>
      <c r="X115" s="109" t="str">
        <f t="shared" si="12"/>
        <v/>
      </c>
      <c r="Y115" s="109" t="str">
        <f t="shared" si="13"/>
        <v/>
      </c>
      <c r="Z115" s="82"/>
    </row>
    <row r="116" ht="20" customHeight="1" spans="1:26">
      <c r="A116" s="64">
        <v>103</v>
      </c>
      <c r="B116" s="65"/>
      <c r="C116" s="66"/>
      <c r="D116" s="67"/>
      <c r="E116" s="82"/>
      <c r="F116" s="82"/>
      <c r="G116" s="82"/>
      <c r="H116" s="82"/>
      <c r="I116" s="93" t="str">
        <f t="shared" si="7"/>
        <v/>
      </c>
      <c r="J116" s="82"/>
      <c r="K116" s="94" t="str">
        <f>IF(OR(D116="",E116=""),"",IF(J116="",G116,IF(D116="Buy",MROUND(MAX(E116*(1-Settings!$K$8),J116*(1-Settings!$K$6)),Settings!$K$10),MROUND(MIN(E116*(1+Settings!$K$8),J116*(1+Settings!$K$6)),Settings!$K$10))))</f>
        <v/>
      </c>
      <c r="L116" s="95" t="str">
        <f t="shared" si="8"/>
        <v/>
      </c>
      <c r="M116" s="82"/>
      <c r="N116" s="94" t="str">
        <f>IF(OR(D116="",E116=""),"",IF(M116="",H116,IF(D116="Buy",MROUND(MAX(E116*(1-Settings!$K$8),M116*(1-Settings!$K$6)),Settings!$K$10),MROUND(MIN(E116*(1+Settings!$K$8),M116*(1+Settings!$K$6)),Settings!$K$10))))</f>
        <v/>
      </c>
      <c r="O116" s="95" t="str">
        <f t="shared" si="9"/>
        <v/>
      </c>
      <c r="P116" s="82"/>
      <c r="Q116" s="94" t="str">
        <f>IF(OR(D116="",P116=""),"",IF(D116="Buy",MROUND(P116*(1-Settings!$K$6),Settings!$K$10),MROUND(P116*(1+Settings!$K$6),Settings!$K$10)))</f>
        <v/>
      </c>
      <c r="R116" s="95" t="str">
        <f t="shared" si="10"/>
        <v/>
      </c>
      <c r="S116" s="82"/>
      <c r="T116" s="94" t="str">
        <f>IF(OR(D116="",S116=""),"",IF(D116="Buy",MROUND(S116*(1-Settings!$K$6),Settings!$K$10),MROUND(S116*(1+Settings!$K$6),Settings!$K$10)))</f>
        <v/>
      </c>
      <c r="U116" s="67"/>
      <c r="V116" s="109" t="str">
        <f t="shared" si="11"/>
        <v/>
      </c>
      <c r="W116" s="110"/>
      <c r="X116" s="109" t="str">
        <f t="shared" si="12"/>
        <v/>
      </c>
      <c r="Y116" s="109" t="str">
        <f t="shared" si="13"/>
        <v/>
      </c>
      <c r="Z116" s="82"/>
    </row>
    <row r="117" ht="20" customHeight="1" spans="1:26">
      <c r="A117" s="64">
        <v>104</v>
      </c>
      <c r="B117" s="65"/>
      <c r="C117" s="66"/>
      <c r="D117" s="67"/>
      <c r="E117" s="82"/>
      <c r="F117" s="82"/>
      <c r="G117" s="82"/>
      <c r="H117" s="82"/>
      <c r="I117" s="93" t="str">
        <f t="shared" si="7"/>
        <v/>
      </c>
      <c r="J117" s="82"/>
      <c r="K117" s="94" t="str">
        <f>IF(OR(D117="",E117=""),"",IF(J117="",G117,IF(D117="Buy",MROUND(MAX(E117*(1-Settings!$K$8),J117*(1-Settings!$K$6)),Settings!$K$10),MROUND(MIN(E117*(1+Settings!$K$8),J117*(1+Settings!$K$6)),Settings!$K$10))))</f>
        <v/>
      </c>
      <c r="L117" s="95" t="str">
        <f t="shared" si="8"/>
        <v/>
      </c>
      <c r="M117" s="82"/>
      <c r="N117" s="94" t="str">
        <f>IF(OR(D117="",E117=""),"",IF(M117="",H117,IF(D117="Buy",MROUND(MAX(E117*(1-Settings!$K$8),M117*(1-Settings!$K$6)),Settings!$K$10),MROUND(MIN(E117*(1+Settings!$K$8),M117*(1+Settings!$K$6)),Settings!$K$10))))</f>
        <v/>
      </c>
      <c r="O117" s="95" t="str">
        <f t="shared" si="9"/>
        <v/>
      </c>
      <c r="P117" s="82"/>
      <c r="Q117" s="94" t="str">
        <f>IF(OR(D117="",P117=""),"",IF(D117="Buy",MROUND(P117*(1-Settings!$K$6),Settings!$K$10),MROUND(P117*(1+Settings!$K$6),Settings!$K$10)))</f>
        <v/>
      </c>
      <c r="R117" s="95" t="str">
        <f t="shared" si="10"/>
        <v/>
      </c>
      <c r="S117" s="82"/>
      <c r="T117" s="94" t="str">
        <f>IF(OR(D117="",S117=""),"",IF(D117="Buy",MROUND(S117*(1-Settings!$K$6),Settings!$K$10),MROUND(S117*(1+Settings!$K$6),Settings!$K$10)))</f>
        <v/>
      </c>
      <c r="U117" s="67"/>
      <c r="V117" s="109" t="str">
        <f t="shared" si="11"/>
        <v/>
      </c>
      <c r="W117" s="110"/>
      <c r="X117" s="109" t="str">
        <f t="shared" si="12"/>
        <v/>
      </c>
      <c r="Y117" s="109" t="str">
        <f t="shared" si="13"/>
        <v/>
      </c>
      <c r="Z117" s="82"/>
    </row>
    <row r="118" ht="20" customHeight="1" spans="1:26">
      <c r="A118" s="64">
        <v>105</v>
      </c>
      <c r="B118" s="65"/>
      <c r="C118" s="66"/>
      <c r="D118" s="67"/>
      <c r="E118" s="82"/>
      <c r="F118" s="82"/>
      <c r="G118" s="82"/>
      <c r="H118" s="82"/>
      <c r="I118" s="93" t="str">
        <f t="shared" si="7"/>
        <v/>
      </c>
      <c r="J118" s="82"/>
      <c r="K118" s="94" t="str">
        <f>IF(OR(D118="",E118=""),"",IF(J118="",G118,IF(D118="Buy",MROUND(MAX(E118*(1-Settings!$K$8),J118*(1-Settings!$K$6)),Settings!$K$10),MROUND(MIN(E118*(1+Settings!$K$8),J118*(1+Settings!$K$6)),Settings!$K$10))))</f>
        <v/>
      </c>
      <c r="L118" s="95" t="str">
        <f t="shared" si="8"/>
        <v/>
      </c>
      <c r="M118" s="82"/>
      <c r="N118" s="94" t="str">
        <f>IF(OR(D118="",E118=""),"",IF(M118="",H118,IF(D118="Buy",MROUND(MAX(E118*(1-Settings!$K$8),M118*(1-Settings!$K$6)),Settings!$K$10),MROUND(MIN(E118*(1+Settings!$K$8),M118*(1+Settings!$K$6)),Settings!$K$10))))</f>
        <v/>
      </c>
      <c r="O118" s="95" t="str">
        <f t="shared" si="9"/>
        <v/>
      </c>
      <c r="P118" s="82"/>
      <c r="Q118" s="94" t="str">
        <f>IF(OR(D118="",P118=""),"",IF(D118="Buy",MROUND(P118*(1-Settings!$K$6),Settings!$K$10),MROUND(P118*(1+Settings!$K$6),Settings!$K$10)))</f>
        <v/>
      </c>
      <c r="R118" s="95" t="str">
        <f t="shared" si="10"/>
        <v/>
      </c>
      <c r="S118" s="82"/>
      <c r="T118" s="94" t="str">
        <f>IF(OR(D118="",S118=""),"",IF(D118="Buy",MROUND(S118*(1-Settings!$K$6),Settings!$K$10),MROUND(S118*(1+Settings!$K$6),Settings!$K$10)))</f>
        <v/>
      </c>
      <c r="U118" s="67"/>
      <c r="V118" s="109" t="str">
        <f t="shared" si="11"/>
        <v/>
      </c>
      <c r="W118" s="110"/>
      <c r="X118" s="109" t="str">
        <f t="shared" si="12"/>
        <v/>
      </c>
      <c r="Y118" s="109" t="str">
        <f t="shared" si="13"/>
        <v/>
      </c>
      <c r="Z118" s="82"/>
    </row>
    <row r="119" ht="20" customHeight="1" spans="1:26">
      <c r="A119" s="64">
        <v>106</v>
      </c>
      <c r="B119" s="65"/>
      <c r="C119" s="66"/>
      <c r="D119" s="67"/>
      <c r="E119" s="82"/>
      <c r="F119" s="82"/>
      <c r="G119" s="82"/>
      <c r="H119" s="82"/>
      <c r="I119" s="93" t="str">
        <f t="shared" si="7"/>
        <v/>
      </c>
      <c r="J119" s="82"/>
      <c r="K119" s="94" t="str">
        <f>IF(OR(D119="",E119=""),"",IF(J119="",G119,IF(D119="Buy",MROUND(MAX(E119*(1-Settings!$K$8),J119*(1-Settings!$K$6)),Settings!$K$10),MROUND(MIN(E119*(1+Settings!$K$8),J119*(1+Settings!$K$6)),Settings!$K$10))))</f>
        <v/>
      </c>
      <c r="L119" s="95" t="str">
        <f t="shared" si="8"/>
        <v/>
      </c>
      <c r="M119" s="82"/>
      <c r="N119" s="94" t="str">
        <f>IF(OR(D119="",E119=""),"",IF(M119="",H119,IF(D119="Buy",MROUND(MAX(E119*(1-Settings!$K$8),M119*(1-Settings!$K$6)),Settings!$K$10),MROUND(MIN(E119*(1+Settings!$K$8),M119*(1+Settings!$K$6)),Settings!$K$10))))</f>
        <v/>
      </c>
      <c r="O119" s="95" t="str">
        <f t="shared" si="9"/>
        <v/>
      </c>
      <c r="P119" s="82"/>
      <c r="Q119" s="94" t="str">
        <f>IF(OR(D119="",P119=""),"",IF(D119="Buy",MROUND(P119*(1-Settings!$K$6),Settings!$K$10),MROUND(P119*(1+Settings!$K$6),Settings!$K$10)))</f>
        <v/>
      </c>
      <c r="R119" s="95" t="str">
        <f t="shared" si="10"/>
        <v/>
      </c>
      <c r="S119" s="82"/>
      <c r="T119" s="94" t="str">
        <f>IF(OR(D119="",S119=""),"",IF(D119="Buy",MROUND(S119*(1-Settings!$K$6),Settings!$K$10),MROUND(S119*(1+Settings!$K$6),Settings!$K$10)))</f>
        <v/>
      </c>
      <c r="U119" s="67"/>
      <c r="V119" s="109" t="str">
        <f t="shared" si="11"/>
        <v/>
      </c>
      <c r="W119" s="110"/>
      <c r="X119" s="109" t="str">
        <f t="shared" si="12"/>
        <v/>
      </c>
      <c r="Y119" s="109" t="str">
        <f t="shared" si="13"/>
        <v/>
      </c>
      <c r="Z119" s="82"/>
    </row>
    <row r="120" ht="20" customHeight="1" spans="1:26">
      <c r="A120" s="64">
        <v>107</v>
      </c>
      <c r="B120" s="65"/>
      <c r="C120" s="66"/>
      <c r="D120" s="67"/>
      <c r="E120" s="82"/>
      <c r="F120" s="82"/>
      <c r="G120" s="82"/>
      <c r="H120" s="82"/>
      <c r="I120" s="93" t="str">
        <f t="shared" si="7"/>
        <v/>
      </c>
      <c r="J120" s="82"/>
      <c r="K120" s="94" t="str">
        <f>IF(OR(D120="",E120=""),"",IF(J120="",G120,IF(D120="Buy",MROUND(MAX(E120*(1-Settings!$K$8),J120*(1-Settings!$K$6)),Settings!$K$10),MROUND(MIN(E120*(1+Settings!$K$8),J120*(1+Settings!$K$6)),Settings!$K$10))))</f>
        <v/>
      </c>
      <c r="L120" s="95" t="str">
        <f t="shared" si="8"/>
        <v/>
      </c>
      <c r="M120" s="82"/>
      <c r="N120" s="94" t="str">
        <f>IF(OR(D120="",E120=""),"",IF(M120="",H120,IF(D120="Buy",MROUND(MAX(E120*(1-Settings!$K$8),M120*(1-Settings!$K$6)),Settings!$K$10),MROUND(MIN(E120*(1+Settings!$K$8),M120*(1+Settings!$K$6)),Settings!$K$10))))</f>
        <v/>
      </c>
      <c r="O120" s="95" t="str">
        <f t="shared" si="9"/>
        <v/>
      </c>
      <c r="P120" s="82"/>
      <c r="Q120" s="94" t="str">
        <f>IF(OR(D120="",P120=""),"",IF(D120="Buy",MROUND(P120*(1-Settings!$K$6),Settings!$K$10),MROUND(P120*(1+Settings!$K$6),Settings!$K$10)))</f>
        <v/>
      </c>
      <c r="R120" s="95" t="str">
        <f t="shared" si="10"/>
        <v/>
      </c>
      <c r="S120" s="82"/>
      <c r="T120" s="94" t="str">
        <f>IF(OR(D120="",S120=""),"",IF(D120="Buy",MROUND(S120*(1-Settings!$K$6),Settings!$K$10),MROUND(S120*(1+Settings!$K$6),Settings!$K$10)))</f>
        <v/>
      </c>
      <c r="U120" s="67"/>
      <c r="V120" s="109" t="str">
        <f t="shared" si="11"/>
        <v/>
      </c>
      <c r="W120" s="110"/>
      <c r="X120" s="109" t="str">
        <f t="shared" si="12"/>
        <v/>
      </c>
      <c r="Y120" s="109" t="str">
        <f t="shared" si="13"/>
        <v/>
      </c>
      <c r="Z120" s="82"/>
    </row>
    <row r="121" ht="20" customHeight="1" spans="1:26">
      <c r="A121" s="64">
        <v>108</v>
      </c>
      <c r="B121" s="65"/>
      <c r="C121" s="66"/>
      <c r="D121" s="67"/>
      <c r="E121" s="82"/>
      <c r="F121" s="82"/>
      <c r="G121" s="82"/>
      <c r="H121" s="82"/>
      <c r="I121" s="93" t="str">
        <f t="shared" si="7"/>
        <v/>
      </c>
      <c r="J121" s="82"/>
      <c r="K121" s="94" t="str">
        <f>IF(OR(D121="",E121=""),"",IF(J121="",G121,IF(D121="Buy",MROUND(MAX(E121*(1-Settings!$K$8),J121*(1-Settings!$K$6)),Settings!$K$10),MROUND(MIN(E121*(1+Settings!$K$8),J121*(1+Settings!$K$6)),Settings!$K$10))))</f>
        <v/>
      </c>
      <c r="L121" s="95" t="str">
        <f t="shared" si="8"/>
        <v/>
      </c>
      <c r="M121" s="82"/>
      <c r="N121" s="94" t="str">
        <f>IF(OR(D121="",E121=""),"",IF(M121="",H121,IF(D121="Buy",MROUND(MAX(E121*(1-Settings!$K$8),M121*(1-Settings!$K$6)),Settings!$K$10),MROUND(MIN(E121*(1+Settings!$K$8),M121*(1+Settings!$K$6)),Settings!$K$10))))</f>
        <v/>
      </c>
      <c r="O121" s="95" t="str">
        <f t="shared" si="9"/>
        <v/>
      </c>
      <c r="P121" s="82"/>
      <c r="Q121" s="94" t="str">
        <f>IF(OR(D121="",P121=""),"",IF(D121="Buy",MROUND(P121*(1-Settings!$K$6),Settings!$K$10),MROUND(P121*(1+Settings!$K$6),Settings!$K$10)))</f>
        <v/>
      </c>
      <c r="R121" s="95" t="str">
        <f t="shared" si="10"/>
        <v/>
      </c>
      <c r="S121" s="82"/>
      <c r="T121" s="94" t="str">
        <f>IF(OR(D121="",S121=""),"",IF(D121="Buy",MROUND(S121*(1-Settings!$K$6),Settings!$K$10),MROUND(S121*(1+Settings!$K$6),Settings!$K$10)))</f>
        <v/>
      </c>
      <c r="U121" s="67"/>
      <c r="V121" s="109" t="str">
        <f t="shared" si="11"/>
        <v/>
      </c>
      <c r="W121" s="110"/>
      <c r="X121" s="109" t="str">
        <f t="shared" si="12"/>
        <v/>
      </c>
      <c r="Y121" s="109" t="str">
        <f t="shared" si="13"/>
        <v/>
      </c>
      <c r="Z121" s="82"/>
    </row>
    <row r="122" ht="20" customHeight="1" spans="1:26">
      <c r="A122" s="64">
        <v>109</v>
      </c>
      <c r="B122" s="65"/>
      <c r="C122" s="66"/>
      <c r="D122" s="67"/>
      <c r="E122" s="82"/>
      <c r="F122" s="82"/>
      <c r="G122" s="82"/>
      <c r="H122" s="82"/>
      <c r="I122" s="93" t="str">
        <f t="shared" si="7"/>
        <v/>
      </c>
      <c r="J122" s="82"/>
      <c r="K122" s="94" t="str">
        <f>IF(OR(D122="",E122=""),"",IF(J122="",G122,IF(D122="Buy",MROUND(MAX(E122*(1-Settings!$K$8),J122*(1-Settings!$K$6)),Settings!$K$10),MROUND(MIN(E122*(1+Settings!$K$8),J122*(1+Settings!$K$6)),Settings!$K$10))))</f>
        <v/>
      </c>
      <c r="L122" s="95" t="str">
        <f t="shared" si="8"/>
        <v/>
      </c>
      <c r="M122" s="82"/>
      <c r="N122" s="94" t="str">
        <f>IF(OR(D122="",E122=""),"",IF(M122="",H122,IF(D122="Buy",MROUND(MAX(E122*(1-Settings!$K$8),M122*(1-Settings!$K$6)),Settings!$K$10),MROUND(MIN(E122*(1+Settings!$K$8),M122*(1+Settings!$K$6)),Settings!$K$10))))</f>
        <v/>
      </c>
      <c r="O122" s="95" t="str">
        <f t="shared" si="9"/>
        <v/>
      </c>
      <c r="P122" s="82"/>
      <c r="Q122" s="94" t="str">
        <f>IF(OR(D122="",P122=""),"",IF(D122="Buy",MROUND(P122*(1-Settings!$K$6),Settings!$K$10),MROUND(P122*(1+Settings!$K$6),Settings!$K$10)))</f>
        <v/>
      </c>
      <c r="R122" s="95" t="str">
        <f t="shared" si="10"/>
        <v/>
      </c>
      <c r="S122" s="82"/>
      <c r="T122" s="94" t="str">
        <f>IF(OR(D122="",S122=""),"",IF(D122="Buy",MROUND(S122*(1-Settings!$K$6),Settings!$K$10),MROUND(S122*(1+Settings!$K$6),Settings!$K$10)))</f>
        <v/>
      </c>
      <c r="U122" s="67"/>
      <c r="V122" s="109" t="str">
        <f t="shared" si="11"/>
        <v/>
      </c>
      <c r="W122" s="110"/>
      <c r="X122" s="109" t="str">
        <f t="shared" si="12"/>
        <v/>
      </c>
      <c r="Y122" s="109" t="str">
        <f t="shared" si="13"/>
        <v/>
      </c>
      <c r="Z122" s="82"/>
    </row>
    <row r="123" ht="20" customHeight="1" spans="1:26">
      <c r="A123" s="64">
        <v>110</v>
      </c>
      <c r="B123" s="65"/>
      <c r="C123" s="66"/>
      <c r="D123" s="67"/>
      <c r="E123" s="82"/>
      <c r="F123" s="82"/>
      <c r="G123" s="82"/>
      <c r="H123" s="82"/>
      <c r="I123" s="93" t="str">
        <f t="shared" si="7"/>
        <v/>
      </c>
      <c r="J123" s="82"/>
      <c r="K123" s="94" t="str">
        <f>IF(OR(D123="",E123=""),"",IF(J123="",G123,IF(D123="Buy",MROUND(MAX(E123*(1-Settings!$K$8),J123*(1-Settings!$K$6)),Settings!$K$10),MROUND(MIN(E123*(1+Settings!$K$8),J123*(1+Settings!$K$6)),Settings!$K$10))))</f>
        <v/>
      </c>
      <c r="L123" s="95" t="str">
        <f t="shared" si="8"/>
        <v/>
      </c>
      <c r="M123" s="82"/>
      <c r="N123" s="94" t="str">
        <f>IF(OR(D123="",E123=""),"",IF(M123="",H123,IF(D123="Buy",MROUND(MAX(E123*(1-Settings!$K$8),M123*(1-Settings!$K$6)),Settings!$K$10),MROUND(MIN(E123*(1+Settings!$K$8),M123*(1+Settings!$K$6)),Settings!$K$10))))</f>
        <v/>
      </c>
      <c r="O123" s="95" t="str">
        <f t="shared" si="9"/>
        <v/>
      </c>
      <c r="P123" s="82"/>
      <c r="Q123" s="94" t="str">
        <f>IF(OR(D123="",P123=""),"",IF(D123="Buy",MROUND(P123*(1-Settings!$K$6),Settings!$K$10),MROUND(P123*(1+Settings!$K$6),Settings!$K$10)))</f>
        <v/>
      </c>
      <c r="R123" s="95" t="str">
        <f t="shared" si="10"/>
        <v/>
      </c>
      <c r="S123" s="82"/>
      <c r="T123" s="94" t="str">
        <f>IF(OR(D123="",S123=""),"",IF(D123="Buy",MROUND(S123*(1-Settings!$K$6),Settings!$K$10),MROUND(S123*(1+Settings!$K$6),Settings!$K$10)))</f>
        <v/>
      </c>
      <c r="U123" s="67"/>
      <c r="V123" s="109" t="str">
        <f t="shared" si="11"/>
        <v/>
      </c>
      <c r="W123" s="110"/>
      <c r="X123" s="109" t="str">
        <f t="shared" si="12"/>
        <v/>
      </c>
      <c r="Y123" s="109" t="str">
        <f t="shared" si="13"/>
        <v/>
      </c>
      <c r="Z123" s="82"/>
    </row>
    <row r="124" ht="20" customHeight="1" spans="1:26">
      <c r="A124" s="64">
        <v>111</v>
      </c>
      <c r="B124" s="65"/>
      <c r="C124" s="66"/>
      <c r="D124" s="67"/>
      <c r="E124" s="82"/>
      <c r="F124" s="82"/>
      <c r="G124" s="82"/>
      <c r="H124" s="82"/>
      <c r="I124" s="93" t="str">
        <f t="shared" si="7"/>
        <v/>
      </c>
      <c r="J124" s="82"/>
      <c r="K124" s="94" t="str">
        <f>IF(OR(D124="",E124=""),"",IF(J124="",G124,IF(D124="Buy",MROUND(MAX(E124*(1-Settings!$K$8),J124*(1-Settings!$K$6)),Settings!$K$10),MROUND(MIN(E124*(1+Settings!$K$8),J124*(1+Settings!$K$6)),Settings!$K$10))))</f>
        <v/>
      </c>
      <c r="L124" s="95" t="str">
        <f t="shared" si="8"/>
        <v/>
      </c>
      <c r="M124" s="82"/>
      <c r="N124" s="94" t="str">
        <f>IF(OR(D124="",E124=""),"",IF(M124="",H124,IF(D124="Buy",MROUND(MAX(E124*(1-Settings!$K$8),M124*(1-Settings!$K$6)),Settings!$K$10),MROUND(MIN(E124*(1+Settings!$K$8),M124*(1+Settings!$K$6)),Settings!$K$10))))</f>
        <v/>
      </c>
      <c r="O124" s="95" t="str">
        <f t="shared" si="9"/>
        <v/>
      </c>
      <c r="P124" s="82"/>
      <c r="Q124" s="94" t="str">
        <f>IF(OR(D124="",P124=""),"",IF(D124="Buy",MROUND(P124*(1-Settings!$K$6),Settings!$K$10),MROUND(P124*(1+Settings!$K$6),Settings!$K$10)))</f>
        <v/>
      </c>
      <c r="R124" s="95" t="str">
        <f t="shared" si="10"/>
        <v/>
      </c>
      <c r="S124" s="82"/>
      <c r="T124" s="94" t="str">
        <f>IF(OR(D124="",S124=""),"",IF(D124="Buy",MROUND(S124*(1-Settings!$K$6),Settings!$K$10),MROUND(S124*(1+Settings!$K$6),Settings!$K$10)))</f>
        <v/>
      </c>
      <c r="U124" s="67"/>
      <c r="V124" s="109" t="str">
        <f t="shared" si="11"/>
        <v/>
      </c>
      <c r="W124" s="110"/>
      <c r="X124" s="109" t="str">
        <f t="shared" si="12"/>
        <v/>
      </c>
      <c r="Y124" s="109" t="str">
        <f t="shared" si="13"/>
        <v/>
      </c>
      <c r="Z124" s="82"/>
    </row>
    <row r="125" ht="20" customHeight="1" spans="1:26">
      <c r="A125" s="64">
        <v>112</v>
      </c>
      <c r="B125" s="65"/>
      <c r="C125" s="66"/>
      <c r="D125" s="67"/>
      <c r="E125" s="82"/>
      <c r="F125" s="82"/>
      <c r="G125" s="82"/>
      <c r="H125" s="82"/>
      <c r="I125" s="93" t="str">
        <f t="shared" si="7"/>
        <v/>
      </c>
      <c r="J125" s="82"/>
      <c r="K125" s="94" t="str">
        <f>IF(OR(D125="",E125=""),"",IF(J125="",G125,IF(D125="Buy",MROUND(MAX(E125*(1-Settings!$K$8),J125*(1-Settings!$K$6)),Settings!$K$10),MROUND(MIN(E125*(1+Settings!$K$8),J125*(1+Settings!$K$6)),Settings!$K$10))))</f>
        <v/>
      </c>
      <c r="L125" s="95" t="str">
        <f t="shared" si="8"/>
        <v/>
      </c>
      <c r="M125" s="82"/>
      <c r="N125" s="94" t="str">
        <f>IF(OR(D125="",E125=""),"",IF(M125="",H125,IF(D125="Buy",MROUND(MAX(E125*(1-Settings!$K$8),M125*(1-Settings!$K$6)),Settings!$K$10),MROUND(MIN(E125*(1+Settings!$K$8),M125*(1+Settings!$K$6)),Settings!$K$10))))</f>
        <v/>
      </c>
      <c r="O125" s="95" t="str">
        <f t="shared" si="9"/>
        <v/>
      </c>
      <c r="P125" s="82"/>
      <c r="Q125" s="94" t="str">
        <f>IF(OR(D125="",P125=""),"",IF(D125="Buy",MROUND(P125*(1-Settings!$K$6),Settings!$K$10),MROUND(P125*(1+Settings!$K$6),Settings!$K$10)))</f>
        <v/>
      </c>
      <c r="R125" s="95" t="str">
        <f t="shared" si="10"/>
        <v/>
      </c>
      <c r="S125" s="82"/>
      <c r="T125" s="94" t="str">
        <f>IF(OR(D125="",S125=""),"",IF(D125="Buy",MROUND(S125*(1-Settings!$K$6),Settings!$K$10),MROUND(S125*(1+Settings!$K$6),Settings!$K$10)))</f>
        <v/>
      </c>
      <c r="U125" s="67"/>
      <c r="V125" s="109" t="str">
        <f t="shared" si="11"/>
        <v/>
      </c>
      <c r="W125" s="110"/>
      <c r="X125" s="109" t="str">
        <f t="shared" si="12"/>
        <v/>
      </c>
      <c r="Y125" s="109" t="str">
        <f t="shared" si="13"/>
        <v/>
      </c>
      <c r="Z125" s="82"/>
    </row>
    <row r="126" ht="20" customHeight="1" spans="1:26">
      <c r="A126" s="64">
        <v>113</v>
      </c>
      <c r="B126" s="65"/>
      <c r="C126" s="66"/>
      <c r="D126" s="67"/>
      <c r="E126" s="82"/>
      <c r="F126" s="82"/>
      <c r="G126" s="82"/>
      <c r="H126" s="82"/>
      <c r="I126" s="93" t="str">
        <f t="shared" si="7"/>
        <v/>
      </c>
      <c r="J126" s="82"/>
      <c r="K126" s="94" t="str">
        <f>IF(OR(D126="",E126=""),"",IF(J126="",G126,IF(D126="Buy",MROUND(MAX(E126*(1-Settings!$K$8),J126*(1-Settings!$K$6)),Settings!$K$10),MROUND(MIN(E126*(1+Settings!$K$8),J126*(1+Settings!$K$6)),Settings!$K$10))))</f>
        <v/>
      </c>
      <c r="L126" s="95" t="str">
        <f t="shared" si="8"/>
        <v/>
      </c>
      <c r="M126" s="82"/>
      <c r="N126" s="94" t="str">
        <f>IF(OR(D126="",E126=""),"",IF(M126="",H126,IF(D126="Buy",MROUND(MAX(E126*(1-Settings!$K$8),M126*(1-Settings!$K$6)),Settings!$K$10),MROUND(MIN(E126*(1+Settings!$K$8),M126*(1+Settings!$K$6)),Settings!$K$10))))</f>
        <v/>
      </c>
      <c r="O126" s="95" t="str">
        <f t="shared" si="9"/>
        <v/>
      </c>
      <c r="P126" s="82"/>
      <c r="Q126" s="94" t="str">
        <f>IF(OR(D126="",P126=""),"",IF(D126="Buy",MROUND(P126*(1-Settings!$K$6),Settings!$K$10),MROUND(P126*(1+Settings!$K$6),Settings!$K$10)))</f>
        <v/>
      </c>
      <c r="R126" s="95" t="str">
        <f t="shared" si="10"/>
        <v/>
      </c>
      <c r="S126" s="82"/>
      <c r="T126" s="94" t="str">
        <f>IF(OR(D126="",S126=""),"",IF(D126="Buy",MROUND(S126*(1-Settings!$K$6),Settings!$K$10),MROUND(S126*(1+Settings!$K$6),Settings!$K$10)))</f>
        <v/>
      </c>
      <c r="U126" s="67"/>
      <c r="V126" s="109" t="str">
        <f t="shared" si="11"/>
        <v/>
      </c>
      <c r="W126" s="110"/>
      <c r="X126" s="109" t="str">
        <f t="shared" si="12"/>
        <v/>
      </c>
      <c r="Y126" s="109" t="str">
        <f t="shared" si="13"/>
        <v/>
      </c>
      <c r="Z126" s="82"/>
    </row>
    <row r="127" ht="20" customHeight="1" spans="1:26">
      <c r="A127" s="64">
        <v>114</v>
      </c>
      <c r="B127" s="65"/>
      <c r="C127" s="66"/>
      <c r="D127" s="67"/>
      <c r="E127" s="82"/>
      <c r="F127" s="82"/>
      <c r="G127" s="82"/>
      <c r="H127" s="82"/>
      <c r="I127" s="93" t="str">
        <f t="shared" si="7"/>
        <v/>
      </c>
      <c r="J127" s="82"/>
      <c r="K127" s="94" t="str">
        <f>IF(OR(D127="",E127=""),"",IF(J127="",G127,IF(D127="Buy",MROUND(MAX(E127*(1-Settings!$K$8),J127*(1-Settings!$K$6)),Settings!$K$10),MROUND(MIN(E127*(1+Settings!$K$8),J127*(1+Settings!$K$6)),Settings!$K$10))))</f>
        <v/>
      </c>
      <c r="L127" s="95" t="str">
        <f t="shared" si="8"/>
        <v/>
      </c>
      <c r="M127" s="82"/>
      <c r="N127" s="94" t="str">
        <f>IF(OR(D127="",E127=""),"",IF(M127="",H127,IF(D127="Buy",MROUND(MAX(E127*(1-Settings!$K$8),M127*(1-Settings!$K$6)),Settings!$K$10),MROUND(MIN(E127*(1+Settings!$K$8),M127*(1+Settings!$K$6)),Settings!$K$10))))</f>
        <v/>
      </c>
      <c r="O127" s="95" t="str">
        <f t="shared" si="9"/>
        <v/>
      </c>
      <c r="P127" s="82"/>
      <c r="Q127" s="94" t="str">
        <f>IF(OR(D127="",P127=""),"",IF(D127="Buy",MROUND(P127*(1-Settings!$K$6),Settings!$K$10),MROUND(P127*(1+Settings!$K$6),Settings!$K$10)))</f>
        <v/>
      </c>
      <c r="R127" s="95" t="str">
        <f t="shared" si="10"/>
        <v/>
      </c>
      <c r="S127" s="82"/>
      <c r="T127" s="94" t="str">
        <f>IF(OR(D127="",S127=""),"",IF(D127="Buy",MROUND(S127*(1-Settings!$K$6),Settings!$K$10),MROUND(S127*(1+Settings!$K$6),Settings!$K$10)))</f>
        <v/>
      </c>
      <c r="U127" s="67"/>
      <c r="V127" s="109" t="str">
        <f t="shared" si="11"/>
        <v/>
      </c>
      <c r="W127" s="110"/>
      <c r="X127" s="109" t="str">
        <f t="shared" si="12"/>
        <v/>
      </c>
      <c r="Y127" s="109" t="str">
        <f t="shared" si="13"/>
        <v/>
      </c>
      <c r="Z127" s="82"/>
    </row>
    <row r="128" ht="20" customHeight="1" spans="1:26">
      <c r="A128" s="64">
        <v>115</v>
      </c>
      <c r="B128" s="65"/>
      <c r="C128" s="66"/>
      <c r="D128" s="67"/>
      <c r="E128" s="82"/>
      <c r="F128" s="82"/>
      <c r="G128" s="82"/>
      <c r="H128" s="82"/>
      <c r="I128" s="93" t="str">
        <f t="shared" si="7"/>
        <v/>
      </c>
      <c r="J128" s="82"/>
      <c r="K128" s="94" t="str">
        <f>IF(OR(D128="",E128=""),"",IF(J128="",G128,IF(D128="Buy",MROUND(MAX(E128*(1-Settings!$K$8),J128*(1-Settings!$K$6)),Settings!$K$10),MROUND(MIN(E128*(1+Settings!$K$8),J128*(1+Settings!$K$6)),Settings!$K$10))))</f>
        <v/>
      </c>
      <c r="L128" s="95" t="str">
        <f t="shared" si="8"/>
        <v/>
      </c>
      <c r="M128" s="82"/>
      <c r="N128" s="94" t="str">
        <f>IF(OR(D128="",E128=""),"",IF(M128="",H128,IF(D128="Buy",MROUND(MAX(E128*(1-Settings!$K$8),M128*(1-Settings!$K$6)),Settings!$K$10),MROUND(MIN(E128*(1+Settings!$K$8),M128*(1+Settings!$K$6)),Settings!$K$10))))</f>
        <v/>
      </c>
      <c r="O128" s="95" t="str">
        <f t="shared" si="9"/>
        <v/>
      </c>
      <c r="P128" s="82"/>
      <c r="Q128" s="94" t="str">
        <f>IF(OR(D128="",P128=""),"",IF(D128="Buy",MROUND(P128*(1-Settings!$K$6),Settings!$K$10),MROUND(P128*(1+Settings!$K$6),Settings!$K$10)))</f>
        <v/>
      </c>
      <c r="R128" s="95" t="str">
        <f t="shared" si="10"/>
        <v/>
      </c>
      <c r="S128" s="82"/>
      <c r="T128" s="94" t="str">
        <f>IF(OR(D128="",S128=""),"",IF(D128="Buy",MROUND(S128*(1-Settings!$K$6),Settings!$K$10),MROUND(S128*(1+Settings!$K$6),Settings!$K$10)))</f>
        <v/>
      </c>
      <c r="U128" s="67"/>
      <c r="V128" s="109" t="str">
        <f t="shared" si="11"/>
        <v/>
      </c>
      <c r="W128" s="110"/>
      <c r="X128" s="109" t="str">
        <f t="shared" si="12"/>
        <v/>
      </c>
      <c r="Y128" s="109" t="str">
        <f t="shared" si="13"/>
        <v/>
      </c>
      <c r="Z128" s="82"/>
    </row>
    <row r="129" ht="20" customHeight="1" spans="1:26">
      <c r="A129" s="64">
        <v>116</v>
      </c>
      <c r="B129" s="65"/>
      <c r="C129" s="66"/>
      <c r="D129" s="67"/>
      <c r="E129" s="82"/>
      <c r="F129" s="82"/>
      <c r="G129" s="82"/>
      <c r="H129" s="82"/>
      <c r="I129" s="93" t="str">
        <f t="shared" si="7"/>
        <v/>
      </c>
      <c r="J129" s="82"/>
      <c r="K129" s="94" t="str">
        <f>IF(OR(D129="",E129=""),"",IF(J129="",G129,IF(D129="Buy",MROUND(MAX(E129*(1-Settings!$K$8),J129*(1-Settings!$K$6)),Settings!$K$10),MROUND(MIN(E129*(1+Settings!$K$8),J129*(1+Settings!$K$6)),Settings!$K$10))))</f>
        <v/>
      </c>
      <c r="L129" s="95" t="str">
        <f t="shared" si="8"/>
        <v/>
      </c>
      <c r="M129" s="82"/>
      <c r="N129" s="94" t="str">
        <f>IF(OR(D129="",E129=""),"",IF(M129="",H129,IF(D129="Buy",MROUND(MAX(E129*(1-Settings!$K$8),M129*(1-Settings!$K$6)),Settings!$K$10),MROUND(MIN(E129*(1+Settings!$K$8),M129*(1+Settings!$K$6)),Settings!$K$10))))</f>
        <v/>
      </c>
      <c r="O129" s="95" t="str">
        <f t="shared" si="9"/>
        <v/>
      </c>
      <c r="P129" s="82"/>
      <c r="Q129" s="94" t="str">
        <f>IF(OR(D129="",P129=""),"",IF(D129="Buy",MROUND(P129*(1-Settings!$K$6),Settings!$K$10),MROUND(P129*(1+Settings!$K$6),Settings!$K$10)))</f>
        <v/>
      </c>
      <c r="R129" s="95" t="str">
        <f t="shared" si="10"/>
        <v/>
      </c>
      <c r="S129" s="82"/>
      <c r="T129" s="94" t="str">
        <f>IF(OR(D129="",S129=""),"",IF(D129="Buy",MROUND(S129*(1-Settings!$K$6),Settings!$K$10),MROUND(S129*(1+Settings!$K$6),Settings!$K$10)))</f>
        <v/>
      </c>
      <c r="U129" s="67"/>
      <c r="V129" s="109" t="str">
        <f t="shared" si="11"/>
        <v/>
      </c>
      <c r="W129" s="110"/>
      <c r="X129" s="109" t="str">
        <f t="shared" si="12"/>
        <v/>
      </c>
      <c r="Y129" s="109" t="str">
        <f t="shared" si="13"/>
        <v/>
      </c>
      <c r="Z129" s="82"/>
    </row>
    <row r="130" ht="20" customHeight="1" spans="1:26">
      <c r="A130" s="64">
        <v>117</v>
      </c>
      <c r="B130" s="65"/>
      <c r="C130" s="66"/>
      <c r="D130" s="67"/>
      <c r="E130" s="82"/>
      <c r="F130" s="82"/>
      <c r="G130" s="82"/>
      <c r="H130" s="82"/>
      <c r="I130" s="93" t="str">
        <f t="shared" si="7"/>
        <v/>
      </c>
      <c r="J130" s="82"/>
      <c r="K130" s="94" t="str">
        <f>IF(OR(D130="",E130=""),"",IF(J130="",G130,IF(D130="Buy",MROUND(MAX(E130*(1-Settings!$K$8),J130*(1-Settings!$K$6)),Settings!$K$10),MROUND(MIN(E130*(1+Settings!$K$8),J130*(1+Settings!$K$6)),Settings!$K$10))))</f>
        <v/>
      </c>
      <c r="L130" s="95" t="str">
        <f t="shared" si="8"/>
        <v/>
      </c>
      <c r="M130" s="82"/>
      <c r="N130" s="94" t="str">
        <f>IF(OR(D130="",E130=""),"",IF(M130="",H130,IF(D130="Buy",MROUND(MAX(E130*(1-Settings!$K$8),M130*(1-Settings!$K$6)),Settings!$K$10),MROUND(MIN(E130*(1+Settings!$K$8),M130*(1+Settings!$K$6)),Settings!$K$10))))</f>
        <v/>
      </c>
      <c r="O130" s="95" t="str">
        <f t="shared" si="9"/>
        <v/>
      </c>
      <c r="P130" s="82"/>
      <c r="Q130" s="94" t="str">
        <f>IF(OR(D130="",P130=""),"",IF(D130="Buy",MROUND(P130*(1-Settings!$K$6),Settings!$K$10),MROUND(P130*(1+Settings!$K$6),Settings!$K$10)))</f>
        <v/>
      </c>
      <c r="R130" s="95" t="str">
        <f t="shared" si="10"/>
        <v/>
      </c>
      <c r="S130" s="82"/>
      <c r="T130" s="94" t="str">
        <f>IF(OR(D130="",S130=""),"",IF(D130="Buy",MROUND(S130*(1-Settings!$K$6),Settings!$K$10),MROUND(S130*(1+Settings!$K$6),Settings!$K$10)))</f>
        <v/>
      </c>
      <c r="U130" s="67"/>
      <c r="V130" s="109" t="str">
        <f t="shared" si="11"/>
        <v/>
      </c>
      <c r="W130" s="110"/>
      <c r="X130" s="109" t="str">
        <f t="shared" si="12"/>
        <v/>
      </c>
      <c r="Y130" s="109" t="str">
        <f t="shared" si="13"/>
        <v/>
      </c>
      <c r="Z130" s="82"/>
    </row>
    <row r="131" ht="20" customHeight="1" spans="1:26">
      <c r="A131" s="64">
        <v>118</v>
      </c>
      <c r="B131" s="65"/>
      <c r="C131" s="66"/>
      <c r="D131" s="67"/>
      <c r="E131" s="82"/>
      <c r="F131" s="82"/>
      <c r="G131" s="82"/>
      <c r="H131" s="82"/>
      <c r="I131" s="93" t="str">
        <f t="shared" si="7"/>
        <v/>
      </c>
      <c r="J131" s="82"/>
      <c r="K131" s="94" t="str">
        <f>IF(OR(D131="",E131=""),"",IF(J131="",G131,IF(D131="Buy",MROUND(MAX(E131*(1-Settings!$K$8),J131*(1-Settings!$K$6)),Settings!$K$10),MROUND(MIN(E131*(1+Settings!$K$8),J131*(1+Settings!$K$6)),Settings!$K$10))))</f>
        <v/>
      </c>
      <c r="L131" s="95" t="str">
        <f t="shared" si="8"/>
        <v/>
      </c>
      <c r="M131" s="82"/>
      <c r="N131" s="94" t="str">
        <f>IF(OR(D131="",E131=""),"",IF(M131="",H131,IF(D131="Buy",MROUND(MAX(E131*(1-Settings!$K$8),M131*(1-Settings!$K$6)),Settings!$K$10),MROUND(MIN(E131*(1+Settings!$K$8),M131*(1+Settings!$K$6)),Settings!$K$10))))</f>
        <v/>
      </c>
      <c r="O131" s="95" t="str">
        <f t="shared" si="9"/>
        <v/>
      </c>
      <c r="P131" s="82"/>
      <c r="Q131" s="94" t="str">
        <f>IF(OR(D131="",P131=""),"",IF(D131="Buy",MROUND(P131*(1-Settings!$K$6),Settings!$K$10),MROUND(P131*(1+Settings!$K$6),Settings!$K$10)))</f>
        <v/>
      </c>
      <c r="R131" s="95" t="str">
        <f t="shared" si="10"/>
        <v/>
      </c>
      <c r="S131" s="82"/>
      <c r="T131" s="94" t="str">
        <f>IF(OR(D131="",S131=""),"",IF(D131="Buy",MROUND(S131*(1-Settings!$K$6),Settings!$K$10),MROUND(S131*(1+Settings!$K$6),Settings!$K$10)))</f>
        <v/>
      </c>
      <c r="U131" s="67"/>
      <c r="V131" s="109" t="str">
        <f t="shared" si="11"/>
        <v/>
      </c>
      <c r="W131" s="110"/>
      <c r="X131" s="109" t="str">
        <f t="shared" si="12"/>
        <v/>
      </c>
      <c r="Y131" s="109" t="str">
        <f t="shared" si="13"/>
        <v/>
      </c>
      <c r="Z131" s="82"/>
    </row>
    <row r="132" ht="20" customHeight="1" spans="1:26">
      <c r="A132" s="64">
        <v>119</v>
      </c>
      <c r="B132" s="65"/>
      <c r="C132" s="66"/>
      <c r="D132" s="67"/>
      <c r="E132" s="82"/>
      <c r="F132" s="82"/>
      <c r="G132" s="82"/>
      <c r="H132" s="82"/>
      <c r="I132" s="93" t="str">
        <f t="shared" si="7"/>
        <v/>
      </c>
      <c r="J132" s="82"/>
      <c r="K132" s="94" t="str">
        <f>IF(OR(D132="",E132=""),"",IF(J132="",G132,IF(D132="Buy",MROUND(MAX(E132*(1-Settings!$K$8),J132*(1-Settings!$K$6)),Settings!$K$10),MROUND(MIN(E132*(1+Settings!$K$8),J132*(1+Settings!$K$6)),Settings!$K$10))))</f>
        <v/>
      </c>
      <c r="L132" s="95" t="str">
        <f t="shared" si="8"/>
        <v/>
      </c>
      <c r="M132" s="82"/>
      <c r="N132" s="94" t="str">
        <f>IF(OR(D132="",E132=""),"",IF(M132="",H132,IF(D132="Buy",MROUND(MAX(E132*(1-Settings!$K$8),M132*(1-Settings!$K$6)),Settings!$K$10),MROUND(MIN(E132*(1+Settings!$K$8),M132*(1+Settings!$K$6)),Settings!$K$10))))</f>
        <v/>
      </c>
      <c r="O132" s="95" t="str">
        <f t="shared" si="9"/>
        <v/>
      </c>
      <c r="P132" s="82"/>
      <c r="Q132" s="94" t="str">
        <f>IF(OR(D132="",P132=""),"",IF(D132="Buy",MROUND(P132*(1-Settings!$K$6),Settings!$K$10),MROUND(P132*(1+Settings!$K$6),Settings!$K$10)))</f>
        <v/>
      </c>
      <c r="R132" s="95" t="str">
        <f t="shared" si="10"/>
        <v/>
      </c>
      <c r="S132" s="82"/>
      <c r="T132" s="94" t="str">
        <f>IF(OR(D132="",S132=""),"",IF(D132="Buy",MROUND(S132*(1-Settings!$K$6),Settings!$K$10),MROUND(S132*(1+Settings!$K$6),Settings!$K$10)))</f>
        <v/>
      </c>
      <c r="U132" s="67"/>
      <c r="V132" s="109" t="str">
        <f t="shared" si="11"/>
        <v/>
      </c>
      <c r="W132" s="110"/>
      <c r="X132" s="109" t="str">
        <f t="shared" si="12"/>
        <v/>
      </c>
      <c r="Y132" s="109" t="str">
        <f t="shared" si="13"/>
        <v/>
      </c>
      <c r="Z132" s="82"/>
    </row>
    <row r="133" ht="20" customHeight="1" spans="1:26">
      <c r="A133" s="64">
        <v>120</v>
      </c>
      <c r="B133" s="65"/>
      <c r="C133" s="66"/>
      <c r="D133" s="67"/>
      <c r="E133" s="82"/>
      <c r="F133" s="82"/>
      <c r="G133" s="82"/>
      <c r="H133" s="82"/>
      <c r="I133" s="93" t="str">
        <f t="shared" si="7"/>
        <v/>
      </c>
      <c r="J133" s="82"/>
      <c r="K133" s="94" t="str">
        <f>IF(OR(D133="",E133=""),"",IF(J133="",G133,IF(D133="Buy",MROUND(MAX(E133*(1-Settings!$K$8),J133*(1-Settings!$K$6)),Settings!$K$10),MROUND(MIN(E133*(1+Settings!$K$8),J133*(1+Settings!$K$6)),Settings!$K$10))))</f>
        <v/>
      </c>
      <c r="L133" s="95" t="str">
        <f t="shared" si="8"/>
        <v/>
      </c>
      <c r="M133" s="82"/>
      <c r="N133" s="94" t="str">
        <f>IF(OR(D133="",E133=""),"",IF(M133="",H133,IF(D133="Buy",MROUND(MAX(E133*(1-Settings!$K$8),M133*(1-Settings!$K$6)),Settings!$K$10),MROUND(MIN(E133*(1+Settings!$K$8),M133*(1+Settings!$K$6)),Settings!$K$10))))</f>
        <v/>
      </c>
      <c r="O133" s="95" t="str">
        <f t="shared" si="9"/>
        <v/>
      </c>
      <c r="P133" s="82"/>
      <c r="Q133" s="94" t="str">
        <f>IF(OR(D133="",P133=""),"",IF(D133="Buy",MROUND(P133*(1-Settings!$K$6),Settings!$K$10),MROUND(P133*(1+Settings!$K$6),Settings!$K$10)))</f>
        <v/>
      </c>
      <c r="R133" s="95" t="str">
        <f t="shared" si="10"/>
        <v/>
      </c>
      <c r="S133" s="82"/>
      <c r="T133" s="94" t="str">
        <f>IF(OR(D133="",S133=""),"",IF(D133="Buy",MROUND(S133*(1-Settings!$K$6),Settings!$K$10),MROUND(S133*(1+Settings!$K$6),Settings!$K$10)))</f>
        <v/>
      </c>
      <c r="U133" s="67"/>
      <c r="V133" s="109" t="str">
        <f t="shared" si="11"/>
        <v/>
      </c>
      <c r="W133" s="110"/>
      <c r="X133" s="109" t="str">
        <f t="shared" si="12"/>
        <v/>
      </c>
      <c r="Y133" s="109" t="str">
        <f t="shared" si="13"/>
        <v/>
      </c>
      <c r="Z133" s="82"/>
    </row>
    <row r="134" ht="20" customHeight="1" spans="1:26">
      <c r="A134" s="64">
        <v>121</v>
      </c>
      <c r="B134" s="65"/>
      <c r="C134" s="66"/>
      <c r="D134" s="67"/>
      <c r="E134" s="82"/>
      <c r="F134" s="82"/>
      <c r="G134" s="82"/>
      <c r="H134" s="82"/>
      <c r="I134" s="93" t="str">
        <f t="shared" si="7"/>
        <v/>
      </c>
      <c r="J134" s="82"/>
      <c r="K134" s="94" t="str">
        <f>IF(OR(D134="",E134=""),"",IF(J134="",G134,IF(D134="Buy",MROUND(MAX(E134*(1-Settings!$K$8),J134*(1-Settings!$K$6)),Settings!$K$10),MROUND(MIN(E134*(1+Settings!$K$8),J134*(1+Settings!$K$6)),Settings!$K$10))))</f>
        <v/>
      </c>
      <c r="L134" s="95" t="str">
        <f t="shared" si="8"/>
        <v/>
      </c>
      <c r="M134" s="82"/>
      <c r="N134" s="94" t="str">
        <f>IF(OR(D134="",E134=""),"",IF(M134="",H134,IF(D134="Buy",MROUND(MAX(E134*(1-Settings!$K$8),M134*(1-Settings!$K$6)),Settings!$K$10),MROUND(MIN(E134*(1+Settings!$K$8),M134*(1+Settings!$K$6)),Settings!$K$10))))</f>
        <v/>
      </c>
      <c r="O134" s="95" t="str">
        <f t="shared" si="9"/>
        <v/>
      </c>
      <c r="P134" s="82"/>
      <c r="Q134" s="94" t="str">
        <f>IF(OR(D134="",P134=""),"",IF(D134="Buy",MROUND(P134*(1-Settings!$K$6),Settings!$K$10),MROUND(P134*(1+Settings!$K$6),Settings!$K$10)))</f>
        <v/>
      </c>
      <c r="R134" s="95" t="str">
        <f t="shared" si="10"/>
        <v/>
      </c>
      <c r="S134" s="82"/>
      <c r="T134" s="94" t="str">
        <f>IF(OR(D134="",S134=""),"",IF(D134="Buy",MROUND(S134*(1-Settings!$K$6),Settings!$K$10),MROUND(S134*(1+Settings!$K$6),Settings!$K$10)))</f>
        <v/>
      </c>
      <c r="U134" s="67"/>
      <c r="V134" s="109" t="str">
        <f t="shared" si="11"/>
        <v/>
      </c>
      <c r="W134" s="110"/>
      <c r="X134" s="109" t="str">
        <f t="shared" si="12"/>
        <v/>
      </c>
      <c r="Y134" s="109" t="str">
        <f t="shared" si="13"/>
        <v/>
      </c>
      <c r="Z134" s="82"/>
    </row>
    <row r="135" ht="20" customHeight="1" spans="1:26">
      <c r="A135" s="64">
        <v>122</v>
      </c>
      <c r="B135" s="65"/>
      <c r="C135" s="66"/>
      <c r="D135" s="67"/>
      <c r="E135" s="82"/>
      <c r="F135" s="82"/>
      <c r="G135" s="82"/>
      <c r="H135" s="82"/>
      <c r="I135" s="93" t="str">
        <f t="shared" si="7"/>
        <v/>
      </c>
      <c r="J135" s="82"/>
      <c r="K135" s="94" t="str">
        <f>IF(OR(D135="",E135=""),"",IF(J135="",G135,IF(D135="Buy",MROUND(MAX(E135*(1-Settings!$K$8),J135*(1-Settings!$K$6)),Settings!$K$10),MROUND(MIN(E135*(1+Settings!$K$8),J135*(1+Settings!$K$6)),Settings!$K$10))))</f>
        <v/>
      </c>
      <c r="L135" s="95" t="str">
        <f t="shared" si="8"/>
        <v/>
      </c>
      <c r="M135" s="82"/>
      <c r="N135" s="94" t="str">
        <f>IF(OR(D135="",E135=""),"",IF(M135="",H135,IF(D135="Buy",MROUND(MAX(E135*(1-Settings!$K$8),M135*(1-Settings!$K$6)),Settings!$K$10),MROUND(MIN(E135*(1+Settings!$K$8),M135*(1+Settings!$K$6)),Settings!$K$10))))</f>
        <v/>
      </c>
      <c r="O135" s="95" t="str">
        <f t="shared" si="9"/>
        <v/>
      </c>
      <c r="P135" s="82"/>
      <c r="Q135" s="94" t="str">
        <f>IF(OR(D135="",P135=""),"",IF(D135="Buy",MROUND(P135*(1-Settings!$K$6),Settings!$K$10),MROUND(P135*(1+Settings!$K$6),Settings!$K$10)))</f>
        <v/>
      </c>
      <c r="R135" s="95" t="str">
        <f t="shared" si="10"/>
        <v/>
      </c>
      <c r="S135" s="82"/>
      <c r="T135" s="94" t="str">
        <f>IF(OR(D135="",S135=""),"",IF(D135="Buy",MROUND(S135*(1-Settings!$K$6),Settings!$K$10),MROUND(S135*(1+Settings!$K$6),Settings!$K$10)))</f>
        <v/>
      </c>
      <c r="U135" s="67"/>
      <c r="V135" s="109" t="str">
        <f t="shared" si="11"/>
        <v/>
      </c>
      <c r="W135" s="110"/>
      <c r="X135" s="109" t="str">
        <f t="shared" si="12"/>
        <v/>
      </c>
      <c r="Y135" s="109" t="str">
        <f t="shared" si="13"/>
        <v/>
      </c>
      <c r="Z135" s="82"/>
    </row>
    <row r="136" ht="20" customHeight="1" spans="1:26">
      <c r="A136" s="64">
        <v>123</v>
      </c>
      <c r="B136" s="65"/>
      <c r="C136" s="66"/>
      <c r="D136" s="67"/>
      <c r="E136" s="82"/>
      <c r="F136" s="82"/>
      <c r="G136" s="82"/>
      <c r="H136" s="82"/>
      <c r="I136" s="93" t="str">
        <f t="shared" si="7"/>
        <v/>
      </c>
      <c r="J136" s="82"/>
      <c r="K136" s="94" t="str">
        <f>IF(OR(D136="",E136=""),"",IF(J136="",G136,IF(D136="Buy",MROUND(MAX(E136*(1-Settings!$K$8),J136*(1-Settings!$K$6)),Settings!$K$10),MROUND(MIN(E136*(1+Settings!$K$8),J136*(1+Settings!$K$6)),Settings!$K$10))))</f>
        <v/>
      </c>
      <c r="L136" s="95" t="str">
        <f t="shared" si="8"/>
        <v/>
      </c>
      <c r="M136" s="82"/>
      <c r="N136" s="94" t="str">
        <f>IF(OR(D136="",E136=""),"",IF(M136="",H136,IF(D136="Buy",MROUND(MAX(E136*(1-Settings!$K$8),M136*(1-Settings!$K$6)),Settings!$K$10),MROUND(MIN(E136*(1+Settings!$K$8),M136*(1+Settings!$K$6)),Settings!$K$10))))</f>
        <v/>
      </c>
      <c r="O136" s="95" t="str">
        <f t="shared" si="9"/>
        <v/>
      </c>
      <c r="P136" s="82"/>
      <c r="Q136" s="94" t="str">
        <f>IF(OR(D136="",P136=""),"",IF(D136="Buy",MROUND(P136*(1-Settings!$K$6),Settings!$K$10),MROUND(P136*(1+Settings!$K$6),Settings!$K$10)))</f>
        <v/>
      </c>
      <c r="R136" s="95" t="str">
        <f t="shared" si="10"/>
        <v/>
      </c>
      <c r="S136" s="82"/>
      <c r="T136" s="94" t="str">
        <f>IF(OR(D136="",S136=""),"",IF(D136="Buy",MROUND(S136*(1-Settings!$K$6),Settings!$K$10),MROUND(S136*(1+Settings!$K$6),Settings!$K$10)))</f>
        <v/>
      </c>
      <c r="U136" s="67"/>
      <c r="V136" s="109" t="str">
        <f t="shared" si="11"/>
        <v/>
      </c>
      <c r="W136" s="110"/>
      <c r="X136" s="109" t="str">
        <f t="shared" si="12"/>
        <v/>
      </c>
      <c r="Y136" s="109" t="str">
        <f t="shared" si="13"/>
        <v/>
      </c>
      <c r="Z136" s="82"/>
    </row>
    <row r="137" ht="20" customHeight="1" spans="1:26">
      <c r="A137" s="64">
        <v>124</v>
      </c>
      <c r="B137" s="65"/>
      <c r="C137" s="66"/>
      <c r="D137" s="67"/>
      <c r="E137" s="82"/>
      <c r="F137" s="82"/>
      <c r="G137" s="82"/>
      <c r="H137" s="82"/>
      <c r="I137" s="93" t="str">
        <f t="shared" si="7"/>
        <v/>
      </c>
      <c r="J137" s="82"/>
      <c r="K137" s="94" t="str">
        <f>IF(OR(D137="",E137=""),"",IF(J137="",G137,IF(D137="Buy",MROUND(MAX(E137*(1-Settings!$K$8),J137*(1-Settings!$K$6)),Settings!$K$10),MROUND(MIN(E137*(1+Settings!$K$8),J137*(1+Settings!$K$6)),Settings!$K$10))))</f>
        <v/>
      </c>
      <c r="L137" s="95" t="str">
        <f t="shared" si="8"/>
        <v/>
      </c>
      <c r="M137" s="82"/>
      <c r="N137" s="94" t="str">
        <f>IF(OR(D137="",E137=""),"",IF(M137="",H137,IF(D137="Buy",MROUND(MAX(E137*(1-Settings!$K$8),M137*(1-Settings!$K$6)),Settings!$K$10),MROUND(MIN(E137*(1+Settings!$K$8),M137*(1+Settings!$K$6)),Settings!$K$10))))</f>
        <v/>
      </c>
      <c r="O137" s="95" t="str">
        <f t="shared" si="9"/>
        <v/>
      </c>
      <c r="P137" s="82"/>
      <c r="Q137" s="94" t="str">
        <f>IF(OR(D137="",P137=""),"",IF(D137="Buy",MROUND(P137*(1-Settings!$K$6),Settings!$K$10),MROUND(P137*(1+Settings!$K$6),Settings!$K$10)))</f>
        <v/>
      </c>
      <c r="R137" s="95" t="str">
        <f t="shared" si="10"/>
        <v/>
      </c>
      <c r="S137" s="82"/>
      <c r="T137" s="94" t="str">
        <f>IF(OR(D137="",S137=""),"",IF(D137="Buy",MROUND(S137*(1-Settings!$K$6),Settings!$K$10),MROUND(S137*(1+Settings!$K$6),Settings!$K$10)))</f>
        <v/>
      </c>
      <c r="U137" s="67"/>
      <c r="V137" s="109" t="str">
        <f t="shared" si="11"/>
        <v/>
      </c>
      <c r="W137" s="110"/>
      <c r="X137" s="109" t="str">
        <f t="shared" si="12"/>
        <v/>
      </c>
      <c r="Y137" s="109" t="str">
        <f t="shared" si="13"/>
        <v/>
      </c>
      <c r="Z137" s="82"/>
    </row>
    <row r="138" ht="20" customHeight="1" spans="1:26">
      <c r="A138" s="64">
        <v>125</v>
      </c>
      <c r="B138" s="65"/>
      <c r="C138" s="66"/>
      <c r="D138" s="67"/>
      <c r="E138" s="82"/>
      <c r="F138" s="82"/>
      <c r="G138" s="82"/>
      <c r="H138" s="82"/>
      <c r="I138" s="93" t="str">
        <f t="shared" si="7"/>
        <v/>
      </c>
      <c r="J138" s="82"/>
      <c r="K138" s="94" t="str">
        <f>IF(OR(D138="",E138=""),"",IF(J138="",G138,IF(D138="Buy",MROUND(MAX(E138*(1-Settings!$K$8),J138*(1-Settings!$K$6)),Settings!$K$10),MROUND(MIN(E138*(1+Settings!$K$8),J138*(1+Settings!$K$6)),Settings!$K$10))))</f>
        <v/>
      </c>
      <c r="L138" s="95" t="str">
        <f t="shared" si="8"/>
        <v/>
      </c>
      <c r="M138" s="82"/>
      <c r="N138" s="94" t="str">
        <f>IF(OR(D138="",E138=""),"",IF(M138="",H138,IF(D138="Buy",MROUND(MAX(E138*(1-Settings!$K$8),M138*(1-Settings!$K$6)),Settings!$K$10),MROUND(MIN(E138*(1+Settings!$K$8),M138*(1+Settings!$K$6)),Settings!$K$10))))</f>
        <v/>
      </c>
      <c r="O138" s="95" t="str">
        <f t="shared" si="9"/>
        <v/>
      </c>
      <c r="P138" s="82"/>
      <c r="Q138" s="94" t="str">
        <f>IF(OR(D138="",P138=""),"",IF(D138="Buy",MROUND(P138*(1-Settings!$K$6),Settings!$K$10),MROUND(P138*(1+Settings!$K$6),Settings!$K$10)))</f>
        <v/>
      </c>
      <c r="R138" s="95" t="str">
        <f t="shared" si="10"/>
        <v/>
      </c>
      <c r="S138" s="82"/>
      <c r="T138" s="94" t="str">
        <f>IF(OR(D138="",S138=""),"",IF(D138="Buy",MROUND(S138*(1-Settings!$K$6),Settings!$K$10),MROUND(S138*(1+Settings!$K$6),Settings!$K$10)))</f>
        <v/>
      </c>
      <c r="U138" s="67"/>
      <c r="V138" s="109" t="str">
        <f t="shared" si="11"/>
        <v/>
      </c>
      <c r="W138" s="110"/>
      <c r="X138" s="109" t="str">
        <f t="shared" si="12"/>
        <v/>
      </c>
      <c r="Y138" s="109" t="str">
        <f t="shared" si="13"/>
        <v/>
      </c>
      <c r="Z138" s="82"/>
    </row>
    <row r="139" ht="20" customHeight="1" spans="1:26">
      <c r="A139" s="64">
        <v>126</v>
      </c>
      <c r="B139" s="65"/>
      <c r="C139" s="66"/>
      <c r="D139" s="67"/>
      <c r="E139" s="82"/>
      <c r="F139" s="82"/>
      <c r="G139" s="82"/>
      <c r="H139" s="82"/>
      <c r="I139" s="93" t="str">
        <f t="shared" si="7"/>
        <v/>
      </c>
      <c r="J139" s="82"/>
      <c r="K139" s="94" t="str">
        <f>IF(OR(D139="",E139=""),"",IF(J139="",G139,IF(D139="Buy",MROUND(MAX(E139*(1-Settings!$K$8),J139*(1-Settings!$K$6)),Settings!$K$10),MROUND(MIN(E139*(1+Settings!$K$8),J139*(1+Settings!$K$6)),Settings!$K$10))))</f>
        <v/>
      </c>
      <c r="L139" s="95" t="str">
        <f t="shared" si="8"/>
        <v/>
      </c>
      <c r="M139" s="82"/>
      <c r="N139" s="94" t="str">
        <f>IF(OR(D139="",E139=""),"",IF(M139="",H139,IF(D139="Buy",MROUND(MAX(E139*(1-Settings!$K$8),M139*(1-Settings!$K$6)),Settings!$K$10),MROUND(MIN(E139*(1+Settings!$K$8),M139*(1+Settings!$K$6)),Settings!$K$10))))</f>
        <v/>
      </c>
      <c r="O139" s="95" t="str">
        <f t="shared" si="9"/>
        <v/>
      </c>
      <c r="P139" s="82"/>
      <c r="Q139" s="94" t="str">
        <f>IF(OR(D139="",P139=""),"",IF(D139="Buy",MROUND(P139*(1-Settings!$K$6),Settings!$K$10),MROUND(P139*(1+Settings!$K$6),Settings!$K$10)))</f>
        <v/>
      </c>
      <c r="R139" s="95" t="str">
        <f t="shared" si="10"/>
        <v/>
      </c>
      <c r="S139" s="82"/>
      <c r="T139" s="94" t="str">
        <f>IF(OR(D139="",S139=""),"",IF(D139="Buy",MROUND(S139*(1-Settings!$K$6),Settings!$K$10),MROUND(S139*(1+Settings!$K$6),Settings!$K$10)))</f>
        <v/>
      </c>
      <c r="U139" s="67"/>
      <c r="V139" s="109" t="str">
        <f t="shared" si="11"/>
        <v/>
      </c>
      <c r="W139" s="110"/>
      <c r="X139" s="109" t="str">
        <f t="shared" si="12"/>
        <v/>
      </c>
      <c r="Y139" s="109" t="str">
        <f t="shared" si="13"/>
        <v/>
      </c>
      <c r="Z139" s="82"/>
    </row>
    <row r="140" ht="20" customHeight="1" spans="1:26">
      <c r="A140" s="64">
        <v>127</v>
      </c>
      <c r="B140" s="65"/>
      <c r="C140" s="66"/>
      <c r="D140" s="67"/>
      <c r="E140" s="82"/>
      <c r="F140" s="82"/>
      <c r="G140" s="82"/>
      <c r="H140" s="82"/>
      <c r="I140" s="93" t="str">
        <f t="shared" si="7"/>
        <v/>
      </c>
      <c r="J140" s="82"/>
      <c r="K140" s="94" t="str">
        <f>IF(OR(D140="",E140=""),"",IF(J140="",G140,IF(D140="Buy",MROUND(MAX(E140*(1-Settings!$K$8),J140*(1-Settings!$K$6)),Settings!$K$10),MROUND(MIN(E140*(1+Settings!$K$8),J140*(1+Settings!$K$6)),Settings!$K$10))))</f>
        <v/>
      </c>
      <c r="L140" s="95" t="str">
        <f t="shared" si="8"/>
        <v/>
      </c>
      <c r="M140" s="82"/>
      <c r="N140" s="94" t="str">
        <f>IF(OR(D140="",E140=""),"",IF(M140="",H140,IF(D140="Buy",MROUND(MAX(E140*(1-Settings!$K$8),M140*(1-Settings!$K$6)),Settings!$K$10),MROUND(MIN(E140*(1+Settings!$K$8),M140*(1+Settings!$K$6)),Settings!$K$10))))</f>
        <v/>
      </c>
      <c r="O140" s="95" t="str">
        <f t="shared" si="9"/>
        <v/>
      </c>
      <c r="P140" s="82"/>
      <c r="Q140" s="94" t="str">
        <f>IF(OR(D140="",P140=""),"",IF(D140="Buy",MROUND(P140*(1-Settings!$K$6),Settings!$K$10),MROUND(P140*(1+Settings!$K$6),Settings!$K$10)))</f>
        <v/>
      </c>
      <c r="R140" s="95" t="str">
        <f t="shared" si="10"/>
        <v/>
      </c>
      <c r="S140" s="82"/>
      <c r="T140" s="94" t="str">
        <f>IF(OR(D140="",S140=""),"",IF(D140="Buy",MROUND(S140*(1-Settings!$K$6),Settings!$K$10),MROUND(S140*(1+Settings!$K$6),Settings!$K$10)))</f>
        <v/>
      </c>
      <c r="U140" s="67"/>
      <c r="V140" s="109" t="str">
        <f t="shared" si="11"/>
        <v/>
      </c>
      <c r="W140" s="110"/>
      <c r="X140" s="109" t="str">
        <f t="shared" si="12"/>
        <v/>
      </c>
      <c r="Y140" s="109" t="str">
        <f t="shared" si="13"/>
        <v/>
      </c>
      <c r="Z140" s="82"/>
    </row>
    <row r="141" ht="20" customHeight="1" spans="1:26">
      <c r="A141" s="64">
        <v>128</v>
      </c>
      <c r="B141" s="65"/>
      <c r="C141" s="66"/>
      <c r="D141" s="67"/>
      <c r="E141" s="82"/>
      <c r="F141" s="82"/>
      <c r="G141" s="82"/>
      <c r="H141" s="82"/>
      <c r="I141" s="93" t="str">
        <f t="shared" si="7"/>
        <v/>
      </c>
      <c r="J141" s="82"/>
      <c r="K141" s="94" t="str">
        <f>IF(OR(D141="",E141=""),"",IF(J141="",G141,IF(D141="Buy",MROUND(MAX(E141*(1-Settings!$K$8),J141*(1-Settings!$K$6)),Settings!$K$10),MROUND(MIN(E141*(1+Settings!$K$8),J141*(1+Settings!$K$6)),Settings!$K$10))))</f>
        <v/>
      </c>
      <c r="L141" s="95" t="str">
        <f t="shared" si="8"/>
        <v/>
      </c>
      <c r="M141" s="82"/>
      <c r="N141" s="94" t="str">
        <f>IF(OR(D141="",E141=""),"",IF(M141="",H141,IF(D141="Buy",MROUND(MAX(E141*(1-Settings!$K$8),M141*(1-Settings!$K$6)),Settings!$K$10),MROUND(MIN(E141*(1+Settings!$K$8),M141*(1+Settings!$K$6)),Settings!$K$10))))</f>
        <v/>
      </c>
      <c r="O141" s="95" t="str">
        <f t="shared" si="9"/>
        <v/>
      </c>
      <c r="P141" s="82"/>
      <c r="Q141" s="94" t="str">
        <f>IF(OR(D141="",P141=""),"",IF(D141="Buy",MROUND(P141*(1-Settings!$K$6),Settings!$K$10),MROUND(P141*(1+Settings!$K$6),Settings!$K$10)))</f>
        <v/>
      </c>
      <c r="R141" s="95" t="str">
        <f t="shared" si="10"/>
        <v/>
      </c>
      <c r="S141" s="82"/>
      <c r="T141" s="94" t="str">
        <f>IF(OR(D141="",S141=""),"",IF(D141="Buy",MROUND(S141*(1-Settings!$K$6),Settings!$K$10),MROUND(S141*(1+Settings!$K$6),Settings!$K$10)))</f>
        <v/>
      </c>
      <c r="U141" s="67"/>
      <c r="V141" s="109" t="str">
        <f t="shared" si="11"/>
        <v/>
      </c>
      <c r="W141" s="110"/>
      <c r="X141" s="109" t="str">
        <f t="shared" si="12"/>
        <v/>
      </c>
      <c r="Y141" s="109" t="str">
        <f t="shared" si="13"/>
        <v/>
      </c>
      <c r="Z141" s="82"/>
    </row>
    <row r="142" ht="20" customHeight="1" spans="1:26">
      <c r="A142" s="64">
        <v>129</v>
      </c>
      <c r="B142" s="65"/>
      <c r="C142" s="66"/>
      <c r="D142" s="67"/>
      <c r="E142" s="82"/>
      <c r="F142" s="82"/>
      <c r="G142" s="82"/>
      <c r="H142" s="82"/>
      <c r="I142" s="93" t="str">
        <f t="shared" ref="I142:I205" si="14">IF(D142="Buy","Enter New 2DLL",IF(D142="Sell","Enter New 2DHH",""))</f>
        <v/>
      </c>
      <c r="J142" s="82"/>
      <c r="K142" s="94" t="str">
        <f>IF(OR(D142="",E142=""),"",IF(J142="",G142,IF(D142="Buy",MROUND(MAX(E142*(1-Settings!$K$8),J142*(1-Settings!$K$6)),Settings!$K$10),MROUND(MIN(E142*(1+Settings!$K$8),J142*(1+Settings!$K$6)),Settings!$K$10))))</f>
        <v/>
      </c>
      <c r="L142" s="95" t="str">
        <f t="shared" ref="L142:L205" si="15">IF(D142="Buy","Enter New 4DLL",IF(D142="Sell","Enter New 4DHH",""))</f>
        <v/>
      </c>
      <c r="M142" s="82"/>
      <c r="N142" s="94" t="str">
        <f>IF(OR(D142="",E142=""),"",IF(M142="",H142,IF(D142="Buy",MROUND(MAX(E142*(1-Settings!$K$8),M142*(1-Settings!$K$6)),Settings!$K$10),MROUND(MIN(E142*(1+Settings!$K$8),M142*(1+Settings!$K$6)),Settings!$K$10))))</f>
        <v/>
      </c>
      <c r="O142" s="95" t="str">
        <f t="shared" ref="O142:O205" si="16">IF(D142="Buy","Enter First 15-Minute Low",IF(D142="Sell","Enter First 15-Minute High",""))</f>
        <v/>
      </c>
      <c r="P142" s="82"/>
      <c r="Q142" s="94" t="str">
        <f>IF(OR(D142="",P142=""),"",IF(D142="Buy",MROUND(P142*(1-Settings!$K$6),Settings!$K$10),MROUND(P142*(1+Settings!$K$6),Settings!$K$10)))</f>
        <v/>
      </c>
      <c r="R142" s="95" t="str">
        <f t="shared" ref="R142:R205" si="17">IF(D142="Buy","Enter First 15-Minute Low",IF(D142="Sell","Enter First 15-Minute High",""))</f>
        <v/>
      </c>
      <c r="S142" s="82"/>
      <c r="T142" s="94" t="str">
        <f>IF(OR(D142="",S142=""),"",IF(D142="Buy",MROUND(S142*(1-Settings!$K$6),Settings!$K$10),MROUND(S142*(1+Settings!$K$6),Settings!$K$10)))</f>
        <v/>
      </c>
      <c r="U142" s="67"/>
      <c r="V142" s="109" t="str">
        <f t="shared" ref="V142:V205" si="18">IF(OR(D142="",E142="",U142="",$C$8="",$C$9=""),"",IF(U142="Target Hit",IF(F142="","",IF(D142="Buy",(F142-E142)*($C$8/2)*$C$9,(E142-F142)*($C$8/2)*$C$9)),IF(U142="Rollover",IF(Z142="","",IF(D142="Buy",(Z142-E142)*$C$8*$C$9,(E142-Z142)*$C$8*$C$9)),IF(U142="Stoploss 1 Hit",IF(K142="","",IF(D142="Buy",(K142-E142)*$C$8*$C$9,(E142-K142)*$C$8*$C$9)),IF(OR(AND(D142="Buy",U142="Gap Down Stoploss 1 Hit"),AND(D142="Sell",U142="Gap Up Stoploss 1 Hit")),IF(Q142="","",IF(D142="Buy",(Q142-E142)*$C$8*$C$9,(E142-Q142)*$C$8*$C$9)),"")))))</f>
        <v/>
      </c>
      <c r="W142" s="110"/>
      <c r="X142" s="109" t="str">
        <f t="shared" ref="X142:X205" si="19">IF(OR(D142="",E142="",U142&lt;&gt;"Target Hit",W142="",$C$8="",$C$9=""),"",IF(W142="Stoploss 2 Hit",IF(N142="","",IF(D142="Buy",(N142-E142)*($C$8/2)*$C$9,(E142-N142)*($C$8/2)*$C$9)),IF(W142="Rollover",IF(Z142="","",IF(D142="Buy",(Z142-E142)*($C$8/2)*$C$9,(E142-Z142)*($C$8/2)*$C$9)),IF(OR(AND(D142="Buy",W142="Gap Down Stoploss 2 Hit"),AND(D142="Sell",W142="Gap Up Stoploss 2 Hit")),IF(T142="","",IF(D142="Buy",(T142-E142)*($C$8/2)*$C$9,(E142-T142)*($C$8/2)*$C$9)),""))))</f>
        <v/>
      </c>
      <c r="Y142" s="109" t="str">
        <f t="shared" ref="Y142:Y205" si="20">IF(AND(V142="",X142=""),"",SUM(V142,X142))</f>
        <v/>
      </c>
      <c r="Z142" s="82"/>
    </row>
    <row r="143" ht="20" customHeight="1" spans="1:26">
      <c r="A143" s="64">
        <v>130</v>
      </c>
      <c r="B143" s="65"/>
      <c r="C143" s="66"/>
      <c r="D143" s="67"/>
      <c r="E143" s="82"/>
      <c r="F143" s="82"/>
      <c r="G143" s="82"/>
      <c r="H143" s="82"/>
      <c r="I143" s="93" t="str">
        <f t="shared" si="14"/>
        <v/>
      </c>
      <c r="J143" s="82"/>
      <c r="K143" s="94" t="str">
        <f>IF(OR(D143="",E143=""),"",IF(J143="",G143,IF(D143="Buy",MROUND(MAX(E143*(1-Settings!$K$8),J143*(1-Settings!$K$6)),Settings!$K$10),MROUND(MIN(E143*(1+Settings!$K$8),J143*(1+Settings!$K$6)),Settings!$K$10))))</f>
        <v/>
      </c>
      <c r="L143" s="95" t="str">
        <f t="shared" si="15"/>
        <v/>
      </c>
      <c r="M143" s="82"/>
      <c r="N143" s="94" t="str">
        <f>IF(OR(D143="",E143=""),"",IF(M143="",H143,IF(D143="Buy",MROUND(MAX(E143*(1-Settings!$K$8),M143*(1-Settings!$K$6)),Settings!$K$10),MROUND(MIN(E143*(1+Settings!$K$8),M143*(1+Settings!$K$6)),Settings!$K$10))))</f>
        <v/>
      </c>
      <c r="O143" s="95" t="str">
        <f t="shared" si="16"/>
        <v/>
      </c>
      <c r="P143" s="82"/>
      <c r="Q143" s="94" t="str">
        <f>IF(OR(D143="",P143=""),"",IF(D143="Buy",MROUND(P143*(1-Settings!$K$6),Settings!$K$10),MROUND(P143*(1+Settings!$K$6),Settings!$K$10)))</f>
        <v/>
      </c>
      <c r="R143" s="95" t="str">
        <f t="shared" si="17"/>
        <v/>
      </c>
      <c r="S143" s="82"/>
      <c r="T143" s="94" t="str">
        <f>IF(OR(D143="",S143=""),"",IF(D143="Buy",MROUND(S143*(1-Settings!$K$6),Settings!$K$10),MROUND(S143*(1+Settings!$K$6),Settings!$K$10)))</f>
        <v/>
      </c>
      <c r="U143" s="67"/>
      <c r="V143" s="109" t="str">
        <f t="shared" si="18"/>
        <v/>
      </c>
      <c r="W143" s="110"/>
      <c r="X143" s="109" t="str">
        <f t="shared" si="19"/>
        <v/>
      </c>
      <c r="Y143" s="109" t="str">
        <f t="shared" si="20"/>
        <v/>
      </c>
      <c r="Z143" s="82"/>
    </row>
    <row r="144" ht="20" customHeight="1" spans="1:26">
      <c r="A144" s="64">
        <v>131</v>
      </c>
      <c r="B144" s="65"/>
      <c r="C144" s="66"/>
      <c r="D144" s="67"/>
      <c r="E144" s="82"/>
      <c r="F144" s="82"/>
      <c r="G144" s="82"/>
      <c r="H144" s="82"/>
      <c r="I144" s="93" t="str">
        <f t="shared" si="14"/>
        <v/>
      </c>
      <c r="J144" s="82"/>
      <c r="K144" s="94" t="str">
        <f>IF(OR(D144="",E144=""),"",IF(J144="",G144,IF(D144="Buy",MROUND(MAX(E144*(1-Settings!$K$8),J144*(1-Settings!$K$6)),Settings!$K$10),MROUND(MIN(E144*(1+Settings!$K$8),J144*(1+Settings!$K$6)),Settings!$K$10))))</f>
        <v/>
      </c>
      <c r="L144" s="95" t="str">
        <f t="shared" si="15"/>
        <v/>
      </c>
      <c r="M144" s="82"/>
      <c r="N144" s="94" t="str">
        <f>IF(OR(D144="",E144=""),"",IF(M144="",H144,IF(D144="Buy",MROUND(MAX(E144*(1-Settings!$K$8),M144*(1-Settings!$K$6)),Settings!$K$10),MROUND(MIN(E144*(1+Settings!$K$8),M144*(1+Settings!$K$6)),Settings!$K$10))))</f>
        <v/>
      </c>
      <c r="O144" s="95" t="str">
        <f t="shared" si="16"/>
        <v/>
      </c>
      <c r="P144" s="82"/>
      <c r="Q144" s="94" t="str">
        <f>IF(OR(D144="",P144=""),"",IF(D144="Buy",MROUND(P144*(1-Settings!$K$6),Settings!$K$10),MROUND(P144*(1+Settings!$K$6),Settings!$K$10)))</f>
        <v/>
      </c>
      <c r="R144" s="95" t="str">
        <f t="shared" si="17"/>
        <v/>
      </c>
      <c r="S144" s="82"/>
      <c r="T144" s="94" t="str">
        <f>IF(OR(D144="",S144=""),"",IF(D144="Buy",MROUND(S144*(1-Settings!$K$6),Settings!$K$10),MROUND(S144*(1+Settings!$K$6),Settings!$K$10)))</f>
        <v/>
      </c>
      <c r="U144" s="67"/>
      <c r="V144" s="109" t="str">
        <f t="shared" si="18"/>
        <v/>
      </c>
      <c r="W144" s="110"/>
      <c r="X144" s="109" t="str">
        <f t="shared" si="19"/>
        <v/>
      </c>
      <c r="Y144" s="109" t="str">
        <f t="shared" si="20"/>
        <v/>
      </c>
      <c r="Z144" s="82"/>
    </row>
    <row r="145" ht="20" customHeight="1" spans="1:26">
      <c r="A145" s="64">
        <v>132</v>
      </c>
      <c r="B145" s="65"/>
      <c r="C145" s="66"/>
      <c r="D145" s="67"/>
      <c r="E145" s="82"/>
      <c r="F145" s="82"/>
      <c r="G145" s="82"/>
      <c r="H145" s="82"/>
      <c r="I145" s="93" t="str">
        <f t="shared" si="14"/>
        <v/>
      </c>
      <c r="J145" s="82"/>
      <c r="K145" s="94" t="str">
        <f>IF(OR(D145="",E145=""),"",IF(J145="",G145,IF(D145="Buy",MROUND(MAX(E145*(1-Settings!$K$8),J145*(1-Settings!$K$6)),Settings!$K$10),MROUND(MIN(E145*(1+Settings!$K$8),J145*(1+Settings!$K$6)),Settings!$K$10))))</f>
        <v/>
      </c>
      <c r="L145" s="95" t="str">
        <f t="shared" si="15"/>
        <v/>
      </c>
      <c r="M145" s="82"/>
      <c r="N145" s="94" t="str">
        <f>IF(OR(D145="",E145=""),"",IF(M145="",H145,IF(D145="Buy",MROUND(MAX(E145*(1-Settings!$K$8),M145*(1-Settings!$K$6)),Settings!$K$10),MROUND(MIN(E145*(1+Settings!$K$8),M145*(1+Settings!$K$6)),Settings!$K$10))))</f>
        <v/>
      </c>
      <c r="O145" s="95" t="str">
        <f t="shared" si="16"/>
        <v/>
      </c>
      <c r="P145" s="82"/>
      <c r="Q145" s="94" t="str">
        <f>IF(OR(D145="",P145=""),"",IF(D145="Buy",MROUND(P145*(1-Settings!$K$6),Settings!$K$10),MROUND(P145*(1+Settings!$K$6),Settings!$K$10)))</f>
        <v/>
      </c>
      <c r="R145" s="95" t="str">
        <f t="shared" si="17"/>
        <v/>
      </c>
      <c r="S145" s="82"/>
      <c r="T145" s="94" t="str">
        <f>IF(OR(D145="",S145=""),"",IF(D145="Buy",MROUND(S145*(1-Settings!$K$6),Settings!$K$10),MROUND(S145*(1+Settings!$K$6),Settings!$K$10)))</f>
        <v/>
      </c>
      <c r="U145" s="67"/>
      <c r="V145" s="109" t="str">
        <f t="shared" si="18"/>
        <v/>
      </c>
      <c r="W145" s="110"/>
      <c r="X145" s="109" t="str">
        <f t="shared" si="19"/>
        <v/>
      </c>
      <c r="Y145" s="109" t="str">
        <f t="shared" si="20"/>
        <v/>
      </c>
      <c r="Z145" s="82"/>
    </row>
    <row r="146" ht="20" customHeight="1" spans="1:26">
      <c r="A146" s="64">
        <v>133</v>
      </c>
      <c r="B146" s="65"/>
      <c r="C146" s="66"/>
      <c r="D146" s="67"/>
      <c r="E146" s="82"/>
      <c r="F146" s="82"/>
      <c r="G146" s="82"/>
      <c r="H146" s="82"/>
      <c r="I146" s="93" t="str">
        <f t="shared" si="14"/>
        <v/>
      </c>
      <c r="J146" s="82"/>
      <c r="K146" s="94" t="str">
        <f>IF(OR(D146="",E146=""),"",IF(J146="",G146,IF(D146="Buy",MROUND(MAX(E146*(1-Settings!$K$8),J146*(1-Settings!$K$6)),Settings!$K$10),MROUND(MIN(E146*(1+Settings!$K$8),J146*(1+Settings!$K$6)),Settings!$K$10))))</f>
        <v/>
      </c>
      <c r="L146" s="95" t="str">
        <f t="shared" si="15"/>
        <v/>
      </c>
      <c r="M146" s="82"/>
      <c r="N146" s="94" t="str">
        <f>IF(OR(D146="",E146=""),"",IF(M146="",H146,IF(D146="Buy",MROUND(MAX(E146*(1-Settings!$K$8),M146*(1-Settings!$K$6)),Settings!$K$10),MROUND(MIN(E146*(1+Settings!$K$8),M146*(1+Settings!$K$6)),Settings!$K$10))))</f>
        <v/>
      </c>
      <c r="O146" s="95" t="str">
        <f t="shared" si="16"/>
        <v/>
      </c>
      <c r="P146" s="82"/>
      <c r="Q146" s="94" t="str">
        <f>IF(OR(D146="",P146=""),"",IF(D146="Buy",MROUND(P146*(1-Settings!$K$6),Settings!$K$10),MROUND(P146*(1+Settings!$K$6),Settings!$K$10)))</f>
        <v/>
      </c>
      <c r="R146" s="95" t="str">
        <f t="shared" si="17"/>
        <v/>
      </c>
      <c r="S146" s="82"/>
      <c r="T146" s="94" t="str">
        <f>IF(OR(D146="",S146=""),"",IF(D146="Buy",MROUND(S146*(1-Settings!$K$6),Settings!$K$10),MROUND(S146*(1+Settings!$K$6),Settings!$K$10)))</f>
        <v/>
      </c>
      <c r="U146" s="67"/>
      <c r="V146" s="109" t="str">
        <f t="shared" si="18"/>
        <v/>
      </c>
      <c r="W146" s="110"/>
      <c r="X146" s="109" t="str">
        <f t="shared" si="19"/>
        <v/>
      </c>
      <c r="Y146" s="109" t="str">
        <f t="shared" si="20"/>
        <v/>
      </c>
      <c r="Z146" s="82"/>
    </row>
    <row r="147" ht="20" customHeight="1" spans="1:26">
      <c r="A147" s="64">
        <v>134</v>
      </c>
      <c r="B147" s="65"/>
      <c r="C147" s="66"/>
      <c r="D147" s="67"/>
      <c r="E147" s="82"/>
      <c r="F147" s="82"/>
      <c r="G147" s="82"/>
      <c r="H147" s="82"/>
      <c r="I147" s="93" t="str">
        <f t="shared" si="14"/>
        <v/>
      </c>
      <c r="J147" s="82"/>
      <c r="K147" s="94" t="str">
        <f>IF(OR(D147="",E147=""),"",IF(J147="",G147,IF(D147="Buy",MROUND(MAX(E147*(1-Settings!$K$8),J147*(1-Settings!$K$6)),Settings!$K$10),MROUND(MIN(E147*(1+Settings!$K$8),J147*(1+Settings!$K$6)),Settings!$K$10))))</f>
        <v/>
      </c>
      <c r="L147" s="95" t="str">
        <f t="shared" si="15"/>
        <v/>
      </c>
      <c r="M147" s="82"/>
      <c r="N147" s="94" t="str">
        <f>IF(OR(D147="",E147=""),"",IF(M147="",H147,IF(D147="Buy",MROUND(MAX(E147*(1-Settings!$K$8),M147*(1-Settings!$K$6)),Settings!$K$10),MROUND(MIN(E147*(1+Settings!$K$8),M147*(1+Settings!$K$6)),Settings!$K$10))))</f>
        <v/>
      </c>
      <c r="O147" s="95" t="str">
        <f t="shared" si="16"/>
        <v/>
      </c>
      <c r="P147" s="82"/>
      <c r="Q147" s="94" t="str">
        <f>IF(OR(D147="",P147=""),"",IF(D147="Buy",MROUND(P147*(1-Settings!$K$6),Settings!$K$10),MROUND(P147*(1+Settings!$K$6),Settings!$K$10)))</f>
        <v/>
      </c>
      <c r="R147" s="95" t="str">
        <f t="shared" si="17"/>
        <v/>
      </c>
      <c r="S147" s="82"/>
      <c r="T147" s="94" t="str">
        <f>IF(OR(D147="",S147=""),"",IF(D147="Buy",MROUND(S147*(1-Settings!$K$6),Settings!$K$10),MROUND(S147*(1+Settings!$K$6),Settings!$K$10)))</f>
        <v/>
      </c>
      <c r="U147" s="67"/>
      <c r="V147" s="109" t="str">
        <f t="shared" si="18"/>
        <v/>
      </c>
      <c r="W147" s="110"/>
      <c r="X147" s="109" t="str">
        <f t="shared" si="19"/>
        <v/>
      </c>
      <c r="Y147" s="109" t="str">
        <f t="shared" si="20"/>
        <v/>
      </c>
      <c r="Z147" s="82"/>
    </row>
    <row r="148" ht="20" customHeight="1" spans="1:26">
      <c r="A148" s="64">
        <v>135</v>
      </c>
      <c r="B148" s="65"/>
      <c r="C148" s="66"/>
      <c r="D148" s="67"/>
      <c r="E148" s="82"/>
      <c r="F148" s="82"/>
      <c r="G148" s="82"/>
      <c r="H148" s="82"/>
      <c r="I148" s="93" t="str">
        <f t="shared" si="14"/>
        <v/>
      </c>
      <c r="J148" s="82"/>
      <c r="K148" s="94" t="str">
        <f>IF(OR(D148="",E148=""),"",IF(J148="",G148,IF(D148="Buy",MROUND(MAX(E148*(1-Settings!$K$8),J148*(1-Settings!$K$6)),Settings!$K$10),MROUND(MIN(E148*(1+Settings!$K$8),J148*(1+Settings!$K$6)),Settings!$K$10))))</f>
        <v/>
      </c>
      <c r="L148" s="95" t="str">
        <f t="shared" si="15"/>
        <v/>
      </c>
      <c r="M148" s="82"/>
      <c r="N148" s="94" t="str">
        <f>IF(OR(D148="",E148=""),"",IF(M148="",H148,IF(D148="Buy",MROUND(MAX(E148*(1-Settings!$K$8),M148*(1-Settings!$K$6)),Settings!$K$10),MROUND(MIN(E148*(1+Settings!$K$8),M148*(1+Settings!$K$6)),Settings!$K$10))))</f>
        <v/>
      </c>
      <c r="O148" s="95" t="str">
        <f t="shared" si="16"/>
        <v/>
      </c>
      <c r="P148" s="82"/>
      <c r="Q148" s="94" t="str">
        <f>IF(OR(D148="",P148=""),"",IF(D148="Buy",MROUND(P148*(1-Settings!$K$6),Settings!$K$10),MROUND(P148*(1+Settings!$K$6),Settings!$K$10)))</f>
        <v/>
      </c>
      <c r="R148" s="95" t="str">
        <f t="shared" si="17"/>
        <v/>
      </c>
      <c r="S148" s="82"/>
      <c r="T148" s="94" t="str">
        <f>IF(OR(D148="",S148=""),"",IF(D148="Buy",MROUND(S148*(1-Settings!$K$6),Settings!$K$10),MROUND(S148*(1+Settings!$K$6),Settings!$K$10)))</f>
        <v/>
      </c>
      <c r="U148" s="67"/>
      <c r="V148" s="109" t="str">
        <f t="shared" si="18"/>
        <v/>
      </c>
      <c r="W148" s="110"/>
      <c r="X148" s="109" t="str">
        <f t="shared" si="19"/>
        <v/>
      </c>
      <c r="Y148" s="109" t="str">
        <f t="shared" si="20"/>
        <v/>
      </c>
      <c r="Z148" s="82"/>
    </row>
    <row r="149" ht="20" customHeight="1" spans="1:26">
      <c r="A149" s="64">
        <v>136</v>
      </c>
      <c r="B149" s="65"/>
      <c r="C149" s="66"/>
      <c r="D149" s="67"/>
      <c r="E149" s="82"/>
      <c r="F149" s="82"/>
      <c r="G149" s="82"/>
      <c r="H149" s="82"/>
      <c r="I149" s="93" t="str">
        <f t="shared" si="14"/>
        <v/>
      </c>
      <c r="J149" s="82"/>
      <c r="K149" s="94" t="str">
        <f>IF(OR(D149="",E149=""),"",IF(J149="",G149,IF(D149="Buy",MROUND(MAX(E149*(1-Settings!$K$8),J149*(1-Settings!$K$6)),Settings!$K$10),MROUND(MIN(E149*(1+Settings!$K$8),J149*(1+Settings!$K$6)),Settings!$K$10))))</f>
        <v/>
      </c>
      <c r="L149" s="95" t="str">
        <f t="shared" si="15"/>
        <v/>
      </c>
      <c r="M149" s="82"/>
      <c r="N149" s="94" t="str">
        <f>IF(OR(D149="",E149=""),"",IF(M149="",H149,IF(D149="Buy",MROUND(MAX(E149*(1-Settings!$K$8),M149*(1-Settings!$K$6)),Settings!$K$10),MROUND(MIN(E149*(1+Settings!$K$8),M149*(1+Settings!$K$6)),Settings!$K$10))))</f>
        <v/>
      </c>
      <c r="O149" s="95" t="str">
        <f t="shared" si="16"/>
        <v/>
      </c>
      <c r="P149" s="82"/>
      <c r="Q149" s="94" t="str">
        <f>IF(OR(D149="",P149=""),"",IF(D149="Buy",MROUND(P149*(1-Settings!$K$6),Settings!$K$10),MROUND(P149*(1+Settings!$K$6),Settings!$K$10)))</f>
        <v/>
      </c>
      <c r="R149" s="95" t="str">
        <f t="shared" si="17"/>
        <v/>
      </c>
      <c r="S149" s="82"/>
      <c r="T149" s="94" t="str">
        <f>IF(OR(D149="",S149=""),"",IF(D149="Buy",MROUND(S149*(1-Settings!$K$6),Settings!$K$10),MROUND(S149*(1+Settings!$K$6),Settings!$K$10)))</f>
        <v/>
      </c>
      <c r="U149" s="67"/>
      <c r="V149" s="109" t="str">
        <f t="shared" si="18"/>
        <v/>
      </c>
      <c r="W149" s="110"/>
      <c r="X149" s="109" t="str">
        <f t="shared" si="19"/>
        <v/>
      </c>
      <c r="Y149" s="109" t="str">
        <f t="shared" si="20"/>
        <v/>
      </c>
      <c r="Z149" s="82"/>
    </row>
    <row r="150" ht="20" customHeight="1" spans="1:26">
      <c r="A150" s="64">
        <v>137</v>
      </c>
      <c r="B150" s="65"/>
      <c r="C150" s="66"/>
      <c r="D150" s="67"/>
      <c r="E150" s="82"/>
      <c r="F150" s="82"/>
      <c r="G150" s="82"/>
      <c r="H150" s="82"/>
      <c r="I150" s="93" t="str">
        <f t="shared" si="14"/>
        <v/>
      </c>
      <c r="J150" s="82"/>
      <c r="K150" s="94" t="str">
        <f>IF(OR(D150="",E150=""),"",IF(J150="",G150,IF(D150="Buy",MROUND(MAX(E150*(1-Settings!$K$8),J150*(1-Settings!$K$6)),Settings!$K$10),MROUND(MIN(E150*(1+Settings!$K$8),J150*(1+Settings!$K$6)),Settings!$K$10))))</f>
        <v/>
      </c>
      <c r="L150" s="95" t="str">
        <f t="shared" si="15"/>
        <v/>
      </c>
      <c r="M150" s="82"/>
      <c r="N150" s="94" t="str">
        <f>IF(OR(D150="",E150=""),"",IF(M150="",H150,IF(D150="Buy",MROUND(MAX(E150*(1-Settings!$K$8),M150*(1-Settings!$K$6)),Settings!$K$10),MROUND(MIN(E150*(1+Settings!$K$8),M150*(1+Settings!$K$6)),Settings!$K$10))))</f>
        <v/>
      </c>
      <c r="O150" s="95" t="str">
        <f t="shared" si="16"/>
        <v/>
      </c>
      <c r="P150" s="82"/>
      <c r="Q150" s="94" t="str">
        <f>IF(OR(D150="",P150=""),"",IF(D150="Buy",MROUND(P150*(1-Settings!$K$6),Settings!$K$10),MROUND(P150*(1+Settings!$K$6),Settings!$K$10)))</f>
        <v/>
      </c>
      <c r="R150" s="95" t="str">
        <f t="shared" si="17"/>
        <v/>
      </c>
      <c r="S150" s="82"/>
      <c r="T150" s="94" t="str">
        <f>IF(OR(D150="",S150=""),"",IF(D150="Buy",MROUND(S150*(1-Settings!$K$6),Settings!$K$10),MROUND(S150*(1+Settings!$K$6),Settings!$K$10)))</f>
        <v/>
      </c>
      <c r="U150" s="67"/>
      <c r="V150" s="109" t="str">
        <f t="shared" si="18"/>
        <v/>
      </c>
      <c r="W150" s="110"/>
      <c r="X150" s="109" t="str">
        <f t="shared" si="19"/>
        <v/>
      </c>
      <c r="Y150" s="109" t="str">
        <f t="shared" si="20"/>
        <v/>
      </c>
      <c r="Z150" s="82"/>
    </row>
    <row r="151" ht="20" customHeight="1" spans="1:26">
      <c r="A151" s="64">
        <v>138</v>
      </c>
      <c r="B151" s="65"/>
      <c r="C151" s="66"/>
      <c r="D151" s="67"/>
      <c r="E151" s="82"/>
      <c r="F151" s="82"/>
      <c r="G151" s="82"/>
      <c r="H151" s="82"/>
      <c r="I151" s="93" t="str">
        <f t="shared" si="14"/>
        <v/>
      </c>
      <c r="J151" s="82"/>
      <c r="K151" s="94" t="str">
        <f>IF(OR(D151="",E151=""),"",IF(J151="",G151,IF(D151="Buy",MROUND(MAX(E151*(1-Settings!$K$8),J151*(1-Settings!$K$6)),Settings!$K$10),MROUND(MIN(E151*(1+Settings!$K$8),J151*(1+Settings!$K$6)),Settings!$K$10))))</f>
        <v/>
      </c>
      <c r="L151" s="95" t="str">
        <f t="shared" si="15"/>
        <v/>
      </c>
      <c r="M151" s="82"/>
      <c r="N151" s="94" t="str">
        <f>IF(OR(D151="",E151=""),"",IF(M151="",H151,IF(D151="Buy",MROUND(MAX(E151*(1-Settings!$K$8),M151*(1-Settings!$K$6)),Settings!$K$10),MROUND(MIN(E151*(1+Settings!$K$8),M151*(1+Settings!$K$6)),Settings!$K$10))))</f>
        <v/>
      </c>
      <c r="O151" s="95" t="str">
        <f t="shared" si="16"/>
        <v/>
      </c>
      <c r="P151" s="82"/>
      <c r="Q151" s="94" t="str">
        <f>IF(OR(D151="",P151=""),"",IF(D151="Buy",MROUND(P151*(1-Settings!$K$6),Settings!$K$10),MROUND(P151*(1+Settings!$K$6),Settings!$K$10)))</f>
        <v/>
      </c>
      <c r="R151" s="95" t="str">
        <f t="shared" si="17"/>
        <v/>
      </c>
      <c r="S151" s="82"/>
      <c r="T151" s="94" t="str">
        <f>IF(OR(D151="",S151=""),"",IF(D151="Buy",MROUND(S151*(1-Settings!$K$6),Settings!$K$10),MROUND(S151*(1+Settings!$K$6),Settings!$K$10)))</f>
        <v/>
      </c>
      <c r="U151" s="67"/>
      <c r="V151" s="109" t="str">
        <f t="shared" si="18"/>
        <v/>
      </c>
      <c r="W151" s="110"/>
      <c r="X151" s="109" t="str">
        <f t="shared" si="19"/>
        <v/>
      </c>
      <c r="Y151" s="109" t="str">
        <f t="shared" si="20"/>
        <v/>
      </c>
      <c r="Z151" s="82"/>
    </row>
    <row r="152" ht="20" customHeight="1" spans="1:26">
      <c r="A152" s="64">
        <v>139</v>
      </c>
      <c r="B152" s="65"/>
      <c r="C152" s="66"/>
      <c r="D152" s="67"/>
      <c r="E152" s="82"/>
      <c r="F152" s="82"/>
      <c r="G152" s="82"/>
      <c r="H152" s="82"/>
      <c r="I152" s="93" t="str">
        <f t="shared" si="14"/>
        <v/>
      </c>
      <c r="J152" s="82"/>
      <c r="K152" s="94" t="str">
        <f>IF(OR(D152="",E152=""),"",IF(J152="",G152,IF(D152="Buy",MROUND(MAX(E152*(1-Settings!$K$8),J152*(1-Settings!$K$6)),Settings!$K$10),MROUND(MIN(E152*(1+Settings!$K$8),J152*(1+Settings!$K$6)),Settings!$K$10))))</f>
        <v/>
      </c>
      <c r="L152" s="95" t="str">
        <f t="shared" si="15"/>
        <v/>
      </c>
      <c r="M152" s="82"/>
      <c r="N152" s="94" t="str">
        <f>IF(OR(D152="",E152=""),"",IF(M152="",H152,IF(D152="Buy",MROUND(MAX(E152*(1-Settings!$K$8),M152*(1-Settings!$K$6)),Settings!$K$10),MROUND(MIN(E152*(1+Settings!$K$8),M152*(1+Settings!$K$6)),Settings!$K$10))))</f>
        <v/>
      </c>
      <c r="O152" s="95" t="str">
        <f t="shared" si="16"/>
        <v/>
      </c>
      <c r="P152" s="82"/>
      <c r="Q152" s="94" t="str">
        <f>IF(OR(D152="",P152=""),"",IF(D152="Buy",MROUND(P152*(1-Settings!$K$6),Settings!$K$10),MROUND(P152*(1+Settings!$K$6),Settings!$K$10)))</f>
        <v/>
      </c>
      <c r="R152" s="95" t="str">
        <f t="shared" si="17"/>
        <v/>
      </c>
      <c r="S152" s="82"/>
      <c r="T152" s="94" t="str">
        <f>IF(OR(D152="",S152=""),"",IF(D152="Buy",MROUND(S152*(1-Settings!$K$6),Settings!$K$10),MROUND(S152*(1+Settings!$K$6),Settings!$K$10)))</f>
        <v/>
      </c>
      <c r="U152" s="67"/>
      <c r="V152" s="109" t="str">
        <f t="shared" si="18"/>
        <v/>
      </c>
      <c r="W152" s="110"/>
      <c r="X152" s="109" t="str">
        <f t="shared" si="19"/>
        <v/>
      </c>
      <c r="Y152" s="109" t="str">
        <f t="shared" si="20"/>
        <v/>
      </c>
      <c r="Z152" s="82"/>
    </row>
    <row r="153" ht="20" customHeight="1" spans="1:26">
      <c r="A153" s="64">
        <v>140</v>
      </c>
      <c r="B153" s="65"/>
      <c r="C153" s="66"/>
      <c r="D153" s="67"/>
      <c r="E153" s="82"/>
      <c r="F153" s="82"/>
      <c r="G153" s="82"/>
      <c r="H153" s="82"/>
      <c r="I153" s="93" t="str">
        <f t="shared" si="14"/>
        <v/>
      </c>
      <c r="J153" s="82"/>
      <c r="K153" s="94" t="str">
        <f>IF(OR(D153="",E153=""),"",IF(J153="",G153,IF(D153="Buy",MROUND(MAX(E153*(1-Settings!$K$8),J153*(1-Settings!$K$6)),Settings!$K$10),MROUND(MIN(E153*(1+Settings!$K$8),J153*(1+Settings!$K$6)),Settings!$K$10))))</f>
        <v/>
      </c>
      <c r="L153" s="95" t="str">
        <f t="shared" si="15"/>
        <v/>
      </c>
      <c r="M153" s="82"/>
      <c r="N153" s="94" t="str">
        <f>IF(OR(D153="",E153=""),"",IF(M153="",H153,IF(D153="Buy",MROUND(MAX(E153*(1-Settings!$K$8),M153*(1-Settings!$K$6)),Settings!$K$10),MROUND(MIN(E153*(1+Settings!$K$8),M153*(1+Settings!$K$6)),Settings!$K$10))))</f>
        <v/>
      </c>
      <c r="O153" s="95" t="str">
        <f t="shared" si="16"/>
        <v/>
      </c>
      <c r="P153" s="82"/>
      <c r="Q153" s="94" t="str">
        <f>IF(OR(D153="",P153=""),"",IF(D153="Buy",MROUND(P153*(1-Settings!$K$6),Settings!$K$10),MROUND(P153*(1+Settings!$K$6),Settings!$K$10)))</f>
        <v/>
      </c>
      <c r="R153" s="95" t="str">
        <f t="shared" si="17"/>
        <v/>
      </c>
      <c r="S153" s="82"/>
      <c r="T153" s="94" t="str">
        <f>IF(OR(D153="",S153=""),"",IF(D153="Buy",MROUND(S153*(1-Settings!$K$6),Settings!$K$10),MROUND(S153*(1+Settings!$K$6),Settings!$K$10)))</f>
        <v/>
      </c>
      <c r="U153" s="67"/>
      <c r="V153" s="109" t="str">
        <f t="shared" si="18"/>
        <v/>
      </c>
      <c r="W153" s="110"/>
      <c r="X153" s="109" t="str">
        <f t="shared" si="19"/>
        <v/>
      </c>
      <c r="Y153" s="109" t="str">
        <f t="shared" si="20"/>
        <v/>
      </c>
      <c r="Z153" s="82"/>
    </row>
    <row r="154" ht="20" customHeight="1" spans="1:26">
      <c r="A154" s="64">
        <v>141</v>
      </c>
      <c r="B154" s="65"/>
      <c r="C154" s="66"/>
      <c r="D154" s="67"/>
      <c r="E154" s="82"/>
      <c r="F154" s="82"/>
      <c r="G154" s="82"/>
      <c r="H154" s="82"/>
      <c r="I154" s="93" t="str">
        <f t="shared" si="14"/>
        <v/>
      </c>
      <c r="J154" s="82"/>
      <c r="K154" s="94" t="str">
        <f>IF(OR(D154="",E154=""),"",IF(J154="",G154,IF(D154="Buy",MROUND(MAX(E154*(1-Settings!$K$8),J154*(1-Settings!$K$6)),Settings!$K$10),MROUND(MIN(E154*(1+Settings!$K$8),J154*(1+Settings!$K$6)),Settings!$K$10))))</f>
        <v/>
      </c>
      <c r="L154" s="95" t="str">
        <f t="shared" si="15"/>
        <v/>
      </c>
      <c r="M154" s="82"/>
      <c r="N154" s="94" t="str">
        <f>IF(OR(D154="",E154=""),"",IF(M154="",H154,IF(D154="Buy",MROUND(MAX(E154*(1-Settings!$K$8),M154*(1-Settings!$K$6)),Settings!$K$10),MROUND(MIN(E154*(1+Settings!$K$8),M154*(1+Settings!$K$6)),Settings!$K$10))))</f>
        <v/>
      </c>
      <c r="O154" s="95" t="str">
        <f t="shared" si="16"/>
        <v/>
      </c>
      <c r="P154" s="82"/>
      <c r="Q154" s="94" t="str">
        <f>IF(OR(D154="",P154=""),"",IF(D154="Buy",MROUND(P154*(1-Settings!$K$6),Settings!$K$10),MROUND(P154*(1+Settings!$K$6),Settings!$K$10)))</f>
        <v/>
      </c>
      <c r="R154" s="95" t="str">
        <f t="shared" si="17"/>
        <v/>
      </c>
      <c r="S154" s="82"/>
      <c r="T154" s="94" t="str">
        <f>IF(OR(D154="",S154=""),"",IF(D154="Buy",MROUND(S154*(1-Settings!$K$6),Settings!$K$10),MROUND(S154*(1+Settings!$K$6),Settings!$K$10)))</f>
        <v/>
      </c>
      <c r="U154" s="67"/>
      <c r="V154" s="109" t="str">
        <f t="shared" si="18"/>
        <v/>
      </c>
      <c r="W154" s="110"/>
      <c r="X154" s="109" t="str">
        <f t="shared" si="19"/>
        <v/>
      </c>
      <c r="Y154" s="109" t="str">
        <f t="shared" si="20"/>
        <v/>
      </c>
      <c r="Z154" s="82"/>
    </row>
    <row r="155" ht="20" customHeight="1" spans="1:26">
      <c r="A155" s="64">
        <v>142</v>
      </c>
      <c r="B155" s="65"/>
      <c r="C155" s="66"/>
      <c r="D155" s="67"/>
      <c r="E155" s="82"/>
      <c r="F155" s="82"/>
      <c r="G155" s="82"/>
      <c r="H155" s="82"/>
      <c r="I155" s="93" t="str">
        <f t="shared" si="14"/>
        <v/>
      </c>
      <c r="J155" s="82"/>
      <c r="K155" s="94" t="str">
        <f>IF(OR(D155="",E155=""),"",IF(J155="",G155,IF(D155="Buy",MROUND(MAX(E155*(1-Settings!$K$8),J155*(1-Settings!$K$6)),Settings!$K$10),MROUND(MIN(E155*(1+Settings!$K$8),J155*(1+Settings!$K$6)),Settings!$K$10))))</f>
        <v/>
      </c>
      <c r="L155" s="95" t="str">
        <f t="shared" si="15"/>
        <v/>
      </c>
      <c r="M155" s="82"/>
      <c r="N155" s="94" t="str">
        <f>IF(OR(D155="",E155=""),"",IF(M155="",H155,IF(D155="Buy",MROUND(MAX(E155*(1-Settings!$K$8),M155*(1-Settings!$K$6)),Settings!$K$10),MROUND(MIN(E155*(1+Settings!$K$8),M155*(1+Settings!$K$6)),Settings!$K$10))))</f>
        <v/>
      </c>
      <c r="O155" s="95" t="str">
        <f t="shared" si="16"/>
        <v/>
      </c>
      <c r="P155" s="82"/>
      <c r="Q155" s="94" t="str">
        <f>IF(OR(D155="",P155=""),"",IF(D155="Buy",MROUND(P155*(1-Settings!$K$6),Settings!$K$10),MROUND(P155*(1+Settings!$K$6),Settings!$K$10)))</f>
        <v/>
      </c>
      <c r="R155" s="95" t="str">
        <f t="shared" si="17"/>
        <v/>
      </c>
      <c r="S155" s="82"/>
      <c r="T155" s="94" t="str">
        <f>IF(OR(D155="",S155=""),"",IF(D155="Buy",MROUND(S155*(1-Settings!$K$6),Settings!$K$10),MROUND(S155*(1+Settings!$K$6),Settings!$K$10)))</f>
        <v/>
      </c>
      <c r="U155" s="67"/>
      <c r="V155" s="109" t="str">
        <f t="shared" si="18"/>
        <v/>
      </c>
      <c r="W155" s="110"/>
      <c r="X155" s="109" t="str">
        <f t="shared" si="19"/>
        <v/>
      </c>
      <c r="Y155" s="109" t="str">
        <f t="shared" si="20"/>
        <v/>
      </c>
      <c r="Z155" s="82"/>
    </row>
    <row r="156" ht="20" customHeight="1" spans="1:26">
      <c r="A156" s="64">
        <v>143</v>
      </c>
      <c r="B156" s="65"/>
      <c r="C156" s="66"/>
      <c r="D156" s="67"/>
      <c r="E156" s="82"/>
      <c r="F156" s="82"/>
      <c r="G156" s="82"/>
      <c r="H156" s="82"/>
      <c r="I156" s="93" t="str">
        <f t="shared" si="14"/>
        <v/>
      </c>
      <c r="J156" s="82"/>
      <c r="K156" s="94" t="str">
        <f>IF(OR(D156="",E156=""),"",IF(J156="",G156,IF(D156="Buy",MROUND(MAX(E156*(1-Settings!$K$8),J156*(1-Settings!$K$6)),Settings!$K$10),MROUND(MIN(E156*(1+Settings!$K$8),J156*(1+Settings!$K$6)),Settings!$K$10))))</f>
        <v/>
      </c>
      <c r="L156" s="95" t="str">
        <f t="shared" si="15"/>
        <v/>
      </c>
      <c r="M156" s="82"/>
      <c r="N156" s="94" t="str">
        <f>IF(OR(D156="",E156=""),"",IF(M156="",H156,IF(D156="Buy",MROUND(MAX(E156*(1-Settings!$K$8),M156*(1-Settings!$K$6)),Settings!$K$10),MROUND(MIN(E156*(1+Settings!$K$8),M156*(1+Settings!$K$6)),Settings!$K$10))))</f>
        <v/>
      </c>
      <c r="O156" s="95" t="str">
        <f t="shared" si="16"/>
        <v/>
      </c>
      <c r="P156" s="82"/>
      <c r="Q156" s="94" t="str">
        <f>IF(OR(D156="",P156=""),"",IF(D156="Buy",MROUND(P156*(1-Settings!$K$6),Settings!$K$10),MROUND(P156*(1+Settings!$K$6),Settings!$K$10)))</f>
        <v/>
      </c>
      <c r="R156" s="95" t="str">
        <f t="shared" si="17"/>
        <v/>
      </c>
      <c r="S156" s="82"/>
      <c r="T156" s="94" t="str">
        <f>IF(OR(D156="",S156=""),"",IF(D156="Buy",MROUND(S156*(1-Settings!$K$6),Settings!$K$10),MROUND(S156*(1+Settings!$K$6),Settings!$K$10)))</f>
        <v/>
      </c>
      <c r="U156" s="67"/>
      <c r="V156" s="109" t="str">
        <f t="shared" si="18"/>
        <v/>
      </c>
      <c r="W156" s="110"/>
      <c r="X156" s="109" t="str">
        <f t="shared" si="19"/>
        <v/>
      </c>
      <c r="Y156" s="109" t="str">
        <f t="shared" si="20"/>
        <v/>
      </c>
      <c r="Z156" s="82"/>
    </row>
    <row r="157" ht="20" customHeight="1" spans="1:26">
      <c r="A157" s="64">
        <v>144</v>
      </c>
      <c r="B157" s="65"/>
      <c r="C157" s="66"/>
      <c r="D157" s="67"/>
      <c r="E157" s="82"/>
      <c r="F157" s="82"/>
      <c r="G157" s="82"/>
      <c r="H157" s="82"/>
      <c r="I157" s="93" t="str">
        <f t="shared" si="14"/>
        <v/>
      </c>
      <c r="J157" s="82"/>
      <c r="K157" s="94" t="str">
        <f>IF(OR(D157="",E157=""),"",IF(J157="",G157,IF(D157="Buy",MROUND(MAX(E157*(1-Settings!$K$8),J157*(1-Settings!$K$6)),Settings!$K$10),MROUND(MIN(E157*(1+Settings!$K$8),J157*(1+Settings!$K$6)),Settings!$K$10))))</f>
        <v/>
      </c>
      <c r="L157" s="95" t="str">
        <f t="shared" si="15"/>
        <v/>
      </c>
      <c r="M157" s="82"/>
      <c r="N157" s="94" t="str">
        <f>IF(OR(D157="",E157=""),"",IF(M157="",H157,IF(D157="Buy",MROUND(MAX(E157*(1-Settings!$K$8),M157*(1-Settings!$K$6)),Settings!$K$10),MROUND(MIN(E157*(1+Settings!$K$8),M157*(1+Settings!$K$6)),Settings!$K$10))))</f>
        <v/>
      </c>
      <c r="O157" s="95" t="str">
        <f t="shared" si="16"/>
        <v/>
      </c>
      <c r="P157" s="82"/>
      <c r="Q157" s="94" t="str">
        <f>IF(OR(D157="",P157=""),"",IF(D157="Buy",MROUND(P157*(1-Settings!$K$6),Settings!$K$10),MROUND(P157*(1+Settings!$K$6),Settings!$K$10)))</f>
        <v/>
      </c>
      <c r="R157" s="95" t="str">
        <f t="shared" si="17"/>
        <v/>
      </c>
      <c r="S157" s="82"/>
      <c r="T157" s="94" t="str">
        <f>IF(OR(D157="",S157=""),"",IF(D157="Buy",MROUND(S157*(1-Settings!$K$6),Settings!$K$10),MROUND(S157*(1+Settings!$K$6),Settings!$K$10)))</f>
        <v/>
      </c>
      <c r="U157" s="67"/>
      <c r="V157" s="109" t="str">
        <f t="shared" si="18"/>
        <v/>
      </c>
      <c r="W157" s="110"/>
      <c r="X157" s="109" t="str">
        <f t="shared" si="19"/>
        <v/>
      </c>
      <c r="Y157" s="109" t="str">
        <f t="shared" si="20"/>
        <v/>
      </c>
      <c r="Z157" s="82"/>
    </row>
    <row r="158" ht="20" customHeight="1" spans="1:26">
      <c r="A158" s="64">
        <v>145</v>
      </c>
      <c r="B158" s="65"/>
      <c r="C158" s="66"/>
      <c r="D158" s="67"/>
      <c r="E158" s="82"/>
      <c r="F158" s="82"/>
      <c r="G158" s="82"/>
      <c r="H158" s="82"/>
      <c r="I158" s="93" t="str">
        <f t="shared" si="14"/>
        <v/>
      </c>
      <c r="J158" s="82"/>
      <c r="K158" s="94" t="str">
        <f>IF(OR(D158="",E158=""),"",IF(J158="",G158,IF(D158="Buy",MROUND(MAX(E158*(1-Settings!$K$8),J158*(1-Settings!$K$6)),Settings!$K$10),MROUND(MIN(E158*(1+Settings!$K$8),J158*(1+Settings!$K$6)),Settings!$K$10))))</f>
        <v/>
      </c>
      <c r="L158" s="95" t="str">
        <f t="shared" si="15"/>
        <v/>
      </c>
      <c r="M158" s="82"/>
      <c r="N158" s="94" t="str">
        <f>IF(OR(D158="",E158=""),"",IF(M158="",H158,IF(D158="Buy",MROUND(MAX(E158*(1-Settings!$K$8),M158*(1-Settings!$K$6)),Settings!$K$10),MROUND(MIN(E158*(1+Settings!$K$8),M158*(1+Settings!$K$6)),Settings!$K$10))))</f>
        <v/>
      </c>
      <c r="O158" s="95" t="str">
        <f t="shared" si="16"/>
        <v/>
      </c>
      <c r="P158" s="82"/>
      <c r="Q158" s="94" t="str">
        <f>IF(OR(D158="",P158=""),"",IF(D158="Buy",MROUND(P158*(1-Settings!$K$6),Settings!$K$10),MROUND(P158*(1+Settings!$K$6),Settings!$K$10)))</f>
        <v/>
      </c>
      <c r="R158" s="95" t="str">
        <f t="shared" si="17"/>
        <v/>
      </c>
      <c r="S158" s="82"/>
      <c r="T158" s="94" t="str">
        <f>IF(OR(D158="",S158=""),"",IF(D158="Buy",MROUND(S158*(1-Settings!$K$6),Settings!$K$10),MROUND(S158*(1+Settings!$K$6),Settings!$K$10)))</f>
        <v/>
      </c>
      <c r="U158" s="67"/>
      <c r="V158" s="109" t="str">
        <f t="shared" si="18"/>
        <v/>
      </c>
      <c r="W158" s="110"/>
      <c r="X158" s="109" t="str">
        <f t="shared" si="19"/>
        <v/>
      </c>
      <c r="Y158" s="109" t="str">
        <f t="shared" si="20"/>
        <v/>
      </c>
      <c r="Z158" s="82"/>
    </row>
    <row r="159" ht="20" customHeight="1" spans="1:26">
      <c r="A159" s="64">
        <v>146</v>
      </c>
      <c r="B159" s="65"/>
      <c r="C159" s="66"/>
      <c r="D159" s="67"/>
      <c r="E159" s="82"/>
      <c r="F159" s="82"/>
      <c r="G159" s="82"/>
      <c r="H159" s="82"/>
      <c r="I159" s="93" t="str">
        <f t="shared" si="14"/>
        <v/>
      </c>
      <c r="J159" s="82"/>
      <c r="K159" s="94" t="str">
        <f>IF(OR(D159="",E159=""),"",IF(J159="",G159,IF(D159="Buy",MROUND(MAX(E159*(1-Settings!$K$8),J159*(1-Settings!$K$6)),Settings!$K$10),MROUND(MIN(E159*(1+Settings!$K$8),J159*(1+Settings!$K$6)),Settings!$K$10))))</f>
        <v/>
      </c>
      <c r="L159" s="95" t="str">
        <f t="shared" si="15"/>
        <v/>
      </c>
      <c r="M159" s="82"/>
      <c r="N159" s="94" t="str">
        <f>IF(OR(D159="",E159=""),"",IF(M159="",H159,IF(D159="Buy",MROUND(MAX(E159*(1-Settings!$K$8),M159*(1-Settings!$K$6)),Settings!$K$10),MROUND(MIN(E159*(1+Settings!$K$8),M159*(1+Settings!$K$6)),Settings!$K$10))))</f>
        <v/>
      </c>
      <c r="O159" s="95" t="str">
        <f t="shared" si="16"/>
        <v/>
      </c>
      <c r="P159" s="82"/>
      <c r="Q159" s="94" t="str">
        <f>IF(OR(D159="",P159=""),"",IF(D159="Buy",MROUND(P159*(1-Settings!$K$6),Settings!$K$10),MROUND(P159*(1+Settings!$K$6),Settings!$K$10)))</f>
        <v/>
      </c>
      <c r="R159" s="95" t="str">
        <f t="shared" si="17"/>
        <v/>
      </c>
      <c r="S159" s="82"/>
      <c r="T159" s="94" t="str">
        <f>IF(OR(D159="",S159=""),"",IF(D159="Buy",MROUND(S159*(1-Settings!$K$6),Settings!$K$10),MROUND(S159*(1+Settings!$K$6),Settings!$K$10)))</f>
        <v/>
      </c>
      <c r="U159" s="67"/>
      <c r="V159" s="109" t="str">
        <f t="shared" si="18"/>
        <v/>
      </c>
      <c r="W159" s="110"/>
      <c r="X159" s="109" t="str">
        <f t="shared" si="19"/>
        <v/>
      </c>
      <c r="Y159" s="109" t="str">
        <f t="shared" si="20"/>
        <v/>
      </c>
      <c r="Z159" s="82"/>
    </row>
    <row r="160" ht="20" customHeight="1" spans="1:26">
      <c r="A160" s="64">
        <v>147</v>
      </c>
      <c r="B160" s="65"/>
      <c r="C160" s="66"/>
      <c r="D160" s="67"/>
      <c r="E160" s="82"/>
      <c r="F160" s="82"/>
      <c r="G160" s="82"/>
      <c r="H160" s="82"/>
      <c r="I160" s="93" t="str">
        <f t="shared" si="14"/>
        <v/>
      </c>
      <c r="J160" s="82"/>
      <c r="K160" s="94" t="str">
        <f>IF(OR(D160="",E160=""),"",IF(J160="",G160,IF(D160="Buy",MROUND(MAX(E160*(1-Settings!$K$8),J160*(1-Settings!$K$6)),Settings!$K$10),MROUND(MIN(E160*(1+Settings!$K$8),J160*(1+Settings!$K$6)),Settings!$K$10))))</f>
        <v/>
      </c>
      <c r="L160" s="95" t="str">
        <f t="shared" si="15"/>
        <v/>
      </c>
      <c r="M160" s="82"/>
      <c r="N160" s="94" t="str">
        <f>IF(OR(D160="",E160=""),"",IF(M160="",H160,IF(D160="Buy",MROUND(MAX(E160*(1-Settings!$K$8),M160*(1-Settings!$K$6)),Settings!$K$10),MROUND(MIN(E160*(1+Settings!$K$8),M160*(1+Settings!$K$6)),Settings!$K$10))))</f>
        <v/>
      </c>
      <c r="O160" s="95" t="str">
        <f t="shared" si="16"/>
        <v/>
      </c>
      <c r="P160" s="82"/>
      <c r="Q160" s="94" t="str">
        <f>IF(OR(D160="",P160=""),"",IF(D160="Buy",MROUND(P160*(1-Settings!$K$6),Settings!$K$10),MROUND(P160*(1+Settings!$K$6),Settings!$K$10)))</f>
        <v/>
      </c>
      <c r="R160" s="95" t="str">
        <f t="shared" si="17"/>
        <v/>
      </c>
      <c r="S160" s="82"/>
      <c r="T160" s="94" t="str">
        <f>IF(OR(D160="",S160=""),"",IF(D160="Buy",MROUND(S160*(1-Settings!$K$6),Settings!$K$10),MROUND(S160*(1+Settings!$K$6),Settings!$K$10)))</f>
        <v/>
      </c>
      <c r="U160" s="67"/>
      <c r="V160" s="109" t="str">
        <f t="shared" si="18"/>
        <v/>
      </c>
      <c r="W160" s="110"/>
      <c r="X160" s="109" t="str">
        <f t="shared" si="19"/>
        <v/>
      </c>
      <c r="Y160" s="109" t="str">
        <f t="shared" si="20"/>
        <v/>
      </c>
      <c r="Z160" s="82"/>
    </row>
    <row r="161" ht="20" customHeight="1" spans="1:26">
      <c r="A161" s="64">
        <v>148</v>
      </c>
      <c r="B161" s="65"/>
      <c r="C161" s="66"/>
      <c r="D161" s="67"/>
      <c r="E161" s="82"/>
      <c r="F161" s="82"/>
      <c r="G161" s="82"/>
      <c r="H161" s="82"/>
      <c r="I161" s="93" t="str">
        <f t="shared" si="14"/>
        <v/>
      </c>
      <c r="J161" s="82"/>
      <c r="K161" s="94" t="str">
        <f>IF(OR(D161="",E161=""),"",IF(J161="",G161,IF(D161="Buy",MROUND(MAX(E161*(1-Settings!$K$8),J161*(1-Settings!$K$6)),Settings!$K$10),MROUND(MIN(E161*(1+Settings!$K$8),J161*(1+Settings!$K$6)),Settings!$K$10))))</f>
        <v/>
      </c>
      <c r="L161" s="95" t="str">
        <f t="shared" si="15"/>
        <v/>
      </c>
      <c r="M161" s="82"/>
      <c r="N161" s="94" t="str">
        <f>IF(OR(D161="",E161=""),"",IF(M161="",H161,IF(D161="Buy",MROUND(MAX(E161*(1-Settings!$K$8),M161*(1-Settings!$K$6)),Settings!$K$10),MROUND(MIN(E161*(1+Settings!$K$8),M161*(1+Settings!$K$6)),Settings!$K$10))))</f>
        <v/>
      </c>
      <c r="O161" s="95" t="str">
        <f t="shared" si="16"/>
        <v/>
      </c>
      <c r="P161" s="82"/>
      <c r="Q161" s="94" t="str">
        <f>IF(OR(D161="",P161=""),"",IF(D161="Buy",MROUND(P161*(1-Settings!$K$6),Settings!$K$10),MROUND(P161*(1+Settings!$K$6),Settings!$K$10)))</f>
        <v/>
      </c>
      <c r="R161" s="95" t="str">
        <f t="shared" si="17"/>
        <v/>
      </c>
      <c r="S161" s="82"/>
      <c r="T161" s="94" t="str">
        <f>IF(OR(D161="",S161=""),"",IF(D161="Buy",MROUND(S161*(1-Settings!$K$6),Settings!$K$10),MROUND(S161*(1+Settings!$K$6),Settings!$K$10)))</f>
        <v/>
      </c>
      <c r="U161" s="67"/>
      <c r="V161" s="109" t="str">
        <f t="shared" si="18"/>
        <v/>
      </c>
      <c r="W161" s="110"/>
      <c r="X161" s="109" t="str">
        <f t="shared" si="19"/>
        <v/>
      </c>
      <c r="Y161" s="109" t="str">
        <f t="shared" si="20"/>
        <v/>
      </c>
      <c r="Z161" s="82"/>
    </row>
    <row r="162" ht="20" customHeight="1" spans="1:26">
      <c r="A162" s="64">
        <v>149</v>
      </c>
      <c r="B162" s="65"/>
      <c r="C162" s="66"/>
      <c r="D162" s="67"/>
      <c r="E162" s="82"/>
      <c r="F162" s="82"/>
      <c r="G162" s="82"/>
      <c r="H162" s="82"/>
      <c r="I162" s="93" t="str">
        <f t="shared" si="14"/>
        <v/>
      </c>
      <c r="J162" s="82"/>
      <c r="K162" s="94" t="str">
        <f>IF(OR(D162="",E162=""),"",IF(J162="",G162,IF(D162="Buy",MROUND(MAX(E162*(1-Settings!$K$8),J162*(1-Settings!$K$6)),Settings!$K$10),MROUND(MIN(E162*(1+Settings!$K$8),J162*(1+Settings!$K$6)),Settings!$K$10))))</f>
        <v/>
      </c>
      <c r="L162" s="95" t="str">
        <f t="shared" si="15"/>
        <v/>
      </c>
      <c r="M162" s="82"/>
      <c r="N162" s="94" t="str">
        <f>IF(OR(D162="",E162=""),"",IF(M162="",H162,IF(D162="Buy",MROUND(MAX(E162*(1-Settings!$K$8),M162*(1-Settings!$K$6)),Settings!$K$10),MROUND(MIN(E162*(1+Settings!$K$8),M162*(1+Settings!$K$6)),Settings!$K$10))))</f>
        <v/>
      </c>
      <c r="O162" s="95" t="str">
        <f t="shared" si="16"/>
        <v/>
      </c>
      <c r="P162" s="82"/>
      <c r="Q162" s="94" t="str">
        <f>IF(OR(D162="",P162=""),"",IF(D162="Buy",MROUND(P162*(1-Settings!$K$6),Settings!$K$10),MROUND(P162*(1+Settings!$K$6),Settings!$K$10)))</f>
        <v/>
      </c>
      <c r="R162" s="95" t="str">
        <f t="shared" si="17"/>
        <v/>
      </c>
      <c r="S162" s="82"/>
      <c r="T162" s="94" t="str">
        <f>IF(OR(D162="",S162=""),"",IF(D162="Buy",MROUND(S162*(1-Settings!$K$6),Settings!$K$10),MROUND(S162*(1+Settings!$K$6),Settings!$K$10)))</f>
        <v/>
      </c>
      <c r="U162" s="67"/>
      <c r="V162" s="109" t="str">
        <f t="shared" si="18"/>
        <v/>
      </c>
      <c r="W162" s="110"/>
      <c r="X162" s="109" t="str">
        <f t="shared" si="19"/>
        <v/>
      </c>
      <c r="Y162" s="109" t="str">
        <f t="shared" si="20"/>
        <v/>
      </c>
      <c r="Z162" s="82"/>
    </row>
    <row r="163" ht="20" customHeight="1" spans="1:26">
      <c r="A163" s="64">
        <v>150</v>
      </c>
      <c r="B163" s="65"/>
      <c r="C163" s="66"/>
      <c r="D163" s="67"/>
      <c r="E163" s="82"/>
      <c r="F163" s="82"/>
      <c r="G163" s="82"/>
      <c r="H163" s="82"/>
      <c r="I163" s="93" t="str">
        <f t="shared" si="14"/>
        <v/>
      </c>
      <c r="J163" s="82"/>
      <c r="K163" s="94" t="str">
        <f>IF(OR(D163="",E163=""),"",IF(J163="",G163,IF(D163="Buy",MROUND(MAX(E163*(1-Settings!$K$8),J163*(1-Settings!$K$6)),Settings!$K$10),MROUND(MIN(E163*(1+Settings!$K$8),J163*(1+Settings!$K$6)),Settings!$K$10))))</f>
        <v/>
      </c>
      <c r="L163" s="95" t="str">
        <f t="shared" si="15"/>
        <v/>
      </c>
      <c r="M163" s="82"/>
      <c r="N163" s="94" t="str">
        <f>IF(OR(D163="",E163=""),"",IF(M163="",H163,IF(D163="Buy",MROUND(MAX(E163*(1-Settings!$K$8),M163*(1-Settings!$K$6)),Settings!$K$10),MROUND(MIN(E163*(1+Settings!$K$8),M163*(1+Settings!$K$6)),Settings!$K$10))))</f>
        <v/>
      </c>
      <c r="O163" s="95" t="str">
        <f t="shared" si="16"/>
        <v/>
      </c>
      <c r="P163" s="82"/>
      <c r="Q163" s="94" t="str">
        <f>IF(OR(D163="",P163=""),"",IF(D163="Buy",MROUND(P163*(1-Settings!$K$6),Settings!$K$10),MROUND(P163*(1+Settings!$K$6),Settings!$K$10)))</f>
        <v/>
      </c>
      <c r="R163" s="95" t="str">
        <f t="shared" si="17"/>
        <v/>
      </c>
      <c r="S163" s="82"/>
      <c r="T163" s="94" t="str">
        <f>IF(OR(D163="",S163=""),"",IF(D163="Buy",MROUND(S163*(1-Settings!$K$6),Settings!$K$10),MROUND(S163*(1+Settings!$K$6),Settings!$K$10)))</f>
        <v/>
      </c>
      <c r="U163" s="67"/>
      <c r="V163" s="109" t="str">
        <f t="shared" si="18"/>
        <v/>
      </c>
      <c r="W163" s="110"/>
      <c r="X163" s="109" t="str">
        <f t="shared" si="19"/>
        <v/>
      </c>
      <c r="Y163" s="109" t="str">
        <f t="shared" si="20"/>
        <v/>
      </c>
      <c r="Z163" s="82"/>
    </row>
    <row r="164" ht="20" customHeight="1" spans="1:26">
      <c r="A164" s="64">
        <v>151</v>
      </c>
      <c r="B164" s="65"/>
      <c r="C164" s="66"/>
      <c r="D164" s="67"/>
      <c r="E164" s="82"/>
      <c r="F164" s="82"/>
      <c r="G164" s="82"/>
      <c r="H164" s="82"/>
      <c r="I164" s="93" t="str">
        <f t="shared" si="14"/>
        <v/>
      </c>
      <c r="J164" s="82"/>
      <c r="K164" s="94" t="str">
        <f>IF(OR(D164="",E164=""),"",IF(J164="",G164,IF(D164="Buy",MROUND(MAX(E164*(1-Settings!$K$8),J164*(1-Settings!$K$6)),Settings!$K$10),MROUND(MIN(E164*(1+Settings!$K$8),J164*(1+Settings!$K$6)),Settings!$K$10))))</f>
        <v/>
      </c>
      <c r="L164" s="95" t="str">
        <f t="shared" si="15"/>
        <v/>
      </c>
      <c r="M164" s="82"/>
      <c r="N164" s="94" t="str">
        <f>IF(OR(D164="",E164=""),"",IF(M164="",H164,IF(D164="Buy",MROUND(MAX(E164*(1-Settings!$K$8),M164*(1-Settings!$K$6)),Settings!$K$10),MROUND(MIN(E164*(1+Settings!$K$8),M164*(1+Settings!$K$6)),Settings!$K$10))))</f>
        <v/>
      </c>
      <c r="O164" s="95" t="str">
        <f t="shared" si="16"/>
        <v/>
      </c>
      <c r="P164" s="82"/>
      <c r="Q164" s="94" t="str">
        <f>IF(OR(D164="",P164=""),"",IF(D164="Buy",MROUND(P164*(1-Settings!$K$6),Settings!$K$10),MROUND(P164*(1+Settings!$K$6),Settings!$K$10)))</f>
        <v/>
      </c>
      <c r="R164" s="95" t="str">
        <f t="shared" si="17"/>
        <v/>
      </c>
      <c r="S164" s="82"/>
      <c r="T164" s="94" t="str">
        <f>IF(OR(D164="",S164=""),"",IF(D164="Buy",MROUND(S164*(1-Settings!$K$6),Settings!$K$10),MROUND(S164*(1+Settings!$K$6),Settings!$K$10)))</f>
        <v/>
      </c>
      <c r="U164" s="67"/>
      <c r="V164" s="109" t="str">
        <f t="shared" si="18"/>
        <v/>
      </c>
      <c r="W164" s="110"/>
      <c r="X164" s="109" t="str">
        <f t="shared" si="19"/>
        <v/>
      </c>
      <c r="Y164" s="109" t="str">
        <f t="shared" si="20"/>
        <v/>
      </c>
      <c r="Z164" s="82"/>
    </row>
    <row r="165" ht="20" customHeight="1" spans="1:26">
      <c r="A165" s="64">
        <v>152</v>
      </c>
      <c r="B165" s="65"/>
      <c r="C165" s="66"/>
      <c r="D165" s="67"/>
      <c r="E165" s="82"/>
      <c r="F165" s="82"/>
      <c r="G165" s="82"/>
      <c r="H165" s="82"/>
      <c r="I165" s="93" t="str">
        <f t="shared" si="14"/>
        <v/>
      </c>
      <c r="J165" s="82"/>
      <c r="K165" s="94" t="str">
        <f>IF(OR(D165="",E165=""),"",IF(J165="",G165,IF(D165="Buy",MROUND(MAX(E165*(1-Settings!$K$8),J165*(1-Settings!$K$6)),Settings!$K$10),MROUND(MIN(E165*(1+Settings!$K$8),J165*(1+Settings!$K$6)),Settings!$K$10))))</f>
        <v/>
      </c>
      <c r="L165" s="95" t="str">
        <f t="shared" si="15"/>
        <v/>
      </c>
      <c r="M165" s="82"/>
      <c r="N165" s="94" t="str">
        <f>IF(OR(D165="",E165=""),"",IF(M165="",H165,IF(D165="Buy",MROUND(MAX(E165*(1-Settings!$K$8),M165*(1-Settings!$K$6)),Settings!$K$10),MROUND(MIN(E165*(1+Settings!$K$8),M165*(1+Settings!$K$6)),Settings!$K$10))))</f>
        <v/>
      </c>
      <c r="O165" s="95" t="str">
        <f t="shared" si="16"/>
        <v/>
      </c>
      <c r="P165" s="82"/>
      <c r="Q165" s="94" t="str">
        <f>IF(OR(D165="",P165=""),"",IF(D165="Buy",MROUND(P165*(1-Settings!$K$6),Settings!$K$10),MROUND(P165*(1+Settings!$K$6),Settings!$K$10)))</f>
        <v/>
      </c>
      <c r="R165" s="95" t="str">
        <f t="shared" si="17"/>
        <v/>
      </c>
      <c r="S165" s="82"/>
      <c r="T165" s="94" t="str">
        <f>IF(OR(D165="",S165=""),"",IF(D165="Buy",MROUND(S165*(1-Settings!$K$6),Settings!$K$10),MROUND(S165*(1+Settings!$K$6),Settings!$K$10)))</f>
        <v/>
      </c>
      <c r="U165" s="67"/>
      <c r="V165" s="109" t="str">
        <f t="shared" si="18"/>
        <v/>
      </c>
      <c r="W165" s="110"/>
      <c r="X165" s="109" t="str">
        <f t="shared" si="19"/>
        <v/>
      </c>
      <c r="Y165" s="109" t="str">
        <f t="shared" si="20"/>
        <v/>
      </c>
      <c r="Z165" s="82"/>
    </row>
    <row r="166" ht="20" customHeight="1" spans="1:26">
      <c r="A166" s="64">
        <v>153</v>
      </c>
      <c r="B166" s="65"/>
      <c r="C166" s="66"/>
      <c r="D166" s="67"/>
      <c r="E166" s="82"/>
      <c r="F166" s="82"/>
      <c r="G166" s="82"/>
      <c r="H166" s="82"/>
      <c r="I166" s="93" t="str">
        <f t="shared" si="14"/>
        <v/>
      </c>
      <c r="J166" s="82"/>
      <c r="K166" s="94" t="str">
        <f>IF(OR(D166="",E166=""),"",IF(J166="",G166,IF(D166="Buy",MROUND(MAX(E166*(1-Settings!$K$8),J166*(1-Settings!$K$6)),Settings!$K$10),MROUND(MIN(E166*(1+Settings!$K$8),J166*(1+Settings!$K$6)),Settings!$K$10))))</f>
        <v/>
      </c>
      <c r="L166" s="95" t="str">
        <f t="shared" si="15"/>
        <v/>
      </c>
      <c r="M166" s="82"/>
      <c r="N166" s="94" t="str">
        <f>IF(OR(D166="",E166=""),"",IF(M166="",H166,IF(D166="Buy",MROUND(MAX(E166*(1-Settings!$K$8),M166*(1-Settings!$K$6)),Settings!$K$10),MROUND(MIN(E166*(1+Settings!$K$8),M166*(1+Settings!$K$6)),Settings!$K$10))))</f>
        <v/>
      </c>
      <c r="O166" s="95" t="str">
        <f t="shared" si="16"/>
        <v/>
      </c>
      <c r="P166" s="82"/>
      <c r="Q166" s="94" t="str">
        <f>IF(OR(D166="",P166=""),"",IF(D166="Buy",MROUND(P166*(1-Settings!$K$6),Settings!$K$10),MROUND(P166*(1+Settings!$K$6),Settings!$K$10)))</f>
        <v/>
      </c>
      <c r="R166" s="95" t="str">
        <f t="shared" si="17"/>
        <v/>
      </c>
      <c r="S166" s="82"/>
      <c r="T166" s="94" t="str">
        <f>IF(OR(D166="",S166=""),"",IF(D166="Buy",MROUND(S166*(1-Settings!$K$6),Settings!$K$10),MROUND(S166*(1+Settings!$K$6),Settings!$K$10)))</f>
        <v/>
      </c>
      <c r="U166" s="67"/>
      <c r="V166" s="109" t="str">
        <f t="shared" si="18"/>
        <v/>
      </c>
      <c r="W166" s="110"/>
      <c r="X166" s="109" t="str">
        <f t="shared" si="19"/>
        <v/>
      </c>
      <c r="Y166" s="109" t="str">
        <f t="shared" si="20"/>
        <v/>
      </c>
      <c r="Z166" s="82"/>
    </row>
    <row r="167" ht="20" customHeight="1" spans="1:26">
      <c r="A167" s="64">
        <v>154</v>
      </c>
      <c r="B167" s="65"/>
      <c r="C167" s="66"/>
      <c r="D167" s="67"/>
      <c r="E167" s="82"/>
      <c r="F167" s="82"/>
      <c r="G167" s="82"/>
      <c r="H167" s="82"/>
      <c r="I167" s="93" t="str">
        <f t="shared" si="14"/>
        <v/>
      </c>
      <c r="J167" s="82"/>
      <c r="K167" s="94" t="str">
        <f>IF(OR(D167="",E167=""),"",IF(J167="",G167,IF(D167="Buy",MROUND(MAX(E167*(1-Settings!$K$8),J167*(1-Settings!$K$6)),Settings!$K$10),MROUND(MIN(E167*(1+Settings!$K$8),J167*(1+Settings!$K$6)),Settings!$K$10))))</f>
        <v/>
      </c>
      <c r="L167" s="95" t="str">
        <f t="shared" si="15"/>
        <v/>
      </c>
      <c r="M167" s="82"/>
      <c r="N167" s="94" t="str">
        <f>IF(OR(D167="",E167=""),"",IF(M167="",H167,IF(D167="Buy",MROUND(MAX(E167*(1-Settings!$K$8),M167*(1-Settings!$K$6)),Settings!$K$10),MROUND(MIN(E167*(1+Settings!$K$8),M167*(1+Settings!$K$6)),Settings!$K$10))))</f>
        <v/>
      </c>
      <c r="O167" s="95" t="str">
        <f t="shared" si="16"/>
        <v/>
      </c>
      <c r="P167" s="82"/>
      <c r="Q167" s="94" t="str">
        <f>IF(OR(D167="",P167=""),"",IF(D167="Buy",MROUND(P167*(1-Settings!$K$6),Settings!$K$10),MROUND(P167*(1+Settings!$K$6),Settings!$K$10)))</f>
        <v/>
      </c>
      <c r="R167" s="95" t="str">
        <f t="shared" si="17"/>
        <v/>
      </c>
      <c r="S167" s="82"/>
      <c r="T167" s="94" t="str">
        <f>IF(OR(D167="",S167=""),"",IF(D167="Buy",MROUND(S167*(1-Settings!$K$6),Settings!$K$10),MROUND(S167*(1+Settings!$K$6),Settings!$K$10)))</f>
        <v/>
      </c>
      <c r="U167" s="67"/>
      <c r="V167" s="109" t="str">
        <f t="shared" si="18"/>
        <v/>
      </c>
      <c r="W167" s="110"/>
      <c r="X167" s="109" t="str">
        <f t="shared" si="19"/>
        <v/>
      </c>
      <c r="Y167" s="109" t="str">
        <f t="shared" si="20"/>
        <v/>
      </c>
      <c r="Z167" s="82"/>
    </row>
    <row r="168" ht="20" customHeight="1" spans="1:26">
      <c r="A168" s="64">
        <v>155</v>
      </c>
      <c r="B168" s="65"/>
      <c r="C168" s="66"/>
      <c r="D168" s="67"/>
      <c r="E168" s="82"/>
      <c r="F168" s="82"/>
      <c r="G168" s="82"/>
      <c r="H168" s="82"/>
      <c r="I168" s="93" t="str">
        <f t="shared" si="14"/>
        <v/>
      </c>
      <c r="J168" s="82"/>
      <c r="K168" s="94" t="str">
        <f>IF(OR(D168="",E168=""),"",IF(J168="",G168,IF(D168="Buy",MROUND(MAX(E168*(1-Settings!$K$8),J168*(1-Settings!$K$6)),Settings!$K$10),MROUND(MIN(E168*(1+Settings!$K$8),J168*(1+Settings!$K$6)),Settings!$K$10))))</f>
        <v/>
      </c>
      <c r="L168" s="95" t="str">
        <f t="shared" si="15"/>
        <v/>
      </c>
      <c r="M168" s="82"/>
      <c r="N168" s="94" t="str">
        <f>IF(OR(D168="",E168=""),"",IF(M168="",H168,IF(D168="Buy",MROUND(MAX(E168*(1-Settings!$K$8),M168*(1-Settings!$K$6)),Settings!$K$10),MROUND(MIN(E168*(1+Settings!$K$8),M168*(1+Settings!$K$6)),Settings!$K$10))))</f>
        <v/>
      </c>
      <c r="O168" s="95" t="str">
        <f t="shared" si="16"/>
        <v/>
      </c>
      <c r="P168" s="82"/>
      <c r="Q168" s="94" t="str">
        <f>IF(OR(D168="",P168=""),"",IF(D168="Buy",MROUND(P168*(1-Settings!$K$6),Settings!$K$10),MROUND(P168*(1+Settings!$K$6),Settings!$K$10)))</f>
        <v/>
      </c>
      <c r="R168" s="95" t="str">
        <f t="shared" si="17"/>
        <v/>
      </c>
      <c r="S168" s="82"/>
      <c r="T168" s="94" t="str">
        <f>IF(OR(D168="",S168=""),"",IF(D168="Buy",MROUND(S168*(1-Settings!$K$6),Settings!$K$10),MROUND(S168*(1+Settings!$K$6),Settings!$K$10)))</f>
        <v/>
      </c>
      <c r="U168" s="67"/>
      <c r="V168" s="109" t="str">
        <f t="shared" si="18"/>
        <v/>
      </c>
      <c r="W168" s="110"/>
      <c r="X168" s="109" t="str">
        <f t="shared" si="19"/>
        <v/>
      </c>
      <c r="Y168" s="109" t="str">
        <f t="shared" si="20"/>
        <v/>
      </c>
      <c r="Z168" s="82"/>
    </row>
    <row r="169" ht="20" customHeight="1" spans="1:26">
      <c r="A169" s="64">
        <v>156</v>
      </c>
      <c r="B169" s="65"/>
      <c r="C169" s="66"/>
      <c r="D169" s="67"/>
      <c r="E169" s="82"/>
      <c r="F169" s="82"/>
      <c r="G169" s="82"/>
      <c r="H169" s="82"/>
      <c r="I169" s="93" t="str">
        <f t="shared" si="14"/>
        <v/>
      </c>
      <c r="J169" s="82"/>
      <c r="K169" s="94" t="str">
        <f>IF(OR(D169="",E169=""),"",IF(J169="",G169,IF(D169="Buy",MROUND(MAX(E169*(1-Settings!$K$8),J169*(1-Settings!$K$6)),Settings!$K$10),MROUND(MIN(E169*(1+Settings!$K$8),J169*(1+Settings!$K$6)),Settings!$K$10))))</f>
        <v/>
      </c>
      <c r="L169" s="95" t="str">
        <f t="shared" si="15"/>
        <v/>
      </c>
      <c r="M169" s="82"/>
      <c r="N169" s="94" t="str">
        <f>IF(OR(D169="",E169=""),"",IF(M169="",H169,IF(D169="Buy",MROUND(MAX(E169*(1-Settings!$K$8),M169*(1-Settings!$K$6)),Settings!$K$10),MROUND(MIN(E169*(1+Settings!$K$8),M169*(1+Settings!$K$6)),Settings!$K$10))))</f>
        <v/>
      </c>
      <c r="O169" s="95" t="str">
        <f t="shared" si="16"/>
        <v/>
      </c>
      <c r="P169" s="82"/>
      <c r="Q169" s="94" t="str">
        <f>IF(OR(D169="",P169=""),"",IF(D169="Buy",MROUND(P169*(1-Settings!$K$6),Settings!$K$10),MROUND(P169*(1+Settings!$K$6),Settings!$K$10)))</f>
        <v/>
      </c>
      <c r="R169" s="95" t="str">
        <f t="shared" si="17"/>
        <v/>
      </c>
      <c r="S169" s="82"/>
      <c r="T169" s="94" t="str">
        <f>IF(OR(D169="",S169=""),"",IF(D169="Buy",MROUND(S169*(1-Settings!$K$6),Settings!$K$10),MROUND(S169*(1+Settings!$K$6),Settings!$K$10)))</f>
        <v/>
      </c>
      <c r="U169" s="67"/>
      <c r="V169" s="109" t="str">
        <f t="shared" si="18"/>
        <v/>
      </c>
      <c r="W169" s="110"/>
      <c r="X169" s="109" t="str">
        <f t="shared" si="19"/>
        <v/>
      </c>
      <c r="Y169" s="109" t="str">
        <f t="shared" si="20"/>
        <v/>
      </c>
      <c r="Z169" s="82"/>
    </row>
    <row r="170" ht="20" customHeight="1" spans="1:26">
      <c r="A170" s="64">
        <v>157</v>
      </c>
      <c r="B170" s="65"/>
      <c r="C170" s="66"/>
      <c r="D170" s="67"/>
      <c r="E170" s="82"/>
      <c r="F170" s="82"/>
      <c r="G170" s="82"/>
      <c r="H170" s="82"/>
      <c r="I170" s="93" t="str">
        <f t="shared" si="14"/>
        <v/>
      </c>
      <c r="J170" s="82"/>
      <c r="K170" s="94" t="str">
        <f>IF(OR(D170="",E170=""),"",IF(J170="",G170,IF(D170="Buy",MROUND(MAX(E170*(1-Settings!$K$8),J170*(1-Settings!$K$6)),Settings!$K$10),MROUND(MIN(E170*(1+Settings!$K$8),J170*(1+Settings!$K$6)),Settings!$K$10))))</f>
        <v/>
      </c>
      <c r="L170" s="95" t="str">
        <f t="shared" si="15"/>
        <v/>
      </c>
      <c r="M170" s="82"/>
      <c r="N170" s="94" t="str">
        <f>IF(OR(D170="",E170=""),"",IF(M170="",H170,IF(D170="Buy",MROUND(MAX(E170*(1-Settings!$K$8),M170*(1-Settings!$K$6)),Settings!$K$10),MROUND(MIN(E170*(1+Settings!$K$8),M170*(1+Settings!$K$6)),Settings!$K$10))))</f>
        <v/>
      </c>
      <c r="O170" s="95" t="str">
        <f t="shared" si="16"/>
        <v/>
      </c>
      <c r="P170" s="82"/>
      <c r="Q170" s="94" t="str">
        <f>IF(OR(D170="",P170=""),"",IF(D170="Buy",MROUND(P170*(1-Settings!$K$6),Settings!$K$10),MROUND(P170*(1+Settings!$K$6),Settings!$K$10)))</f>
        <v/>
      </c>
      <c r="R170" s="95" t="str">
        <f t="shared" si="17"/>
        <v/>
      </c>
      <c r="S170" s="82"/>
      <c r="T170" s="94" t="str">
        <f>IF(OR(D170="",S170=""),"",IF(D170="Buy",MROUND(S170*(1-Settings!$K$6),Settings!$K$10),MROUND(S170*(1+Settings!$K$6),Settings!$K$10)))</f>
        <v/>
      </c>
      <c r="U170" s="67"/>
      <c r="V170" s="109" t="str">
        <f t="shared" si="18"/>
        <v/>
      </c>
      <c r="W170" s="110"/>
      <c r="X170" s="109" t="str">
        <f t="shared" si="19"/>
        <v/>
      </c>
      <c r="Y170" s="109" t="str">
        <f t="shared" si="20"/>
        <v/>
      </c>
      <c r="Z170" s="82"/>
    </row>
    <row r="171" ht="20" customHeight="1" spans="1:26">
      <c r="A171" s="64">
        <v>158</v>
      </c>
      <c r="B171" s="65"/>
      <c r="C171" s="66"/>
      <c r="D171" s="67"/>
      <c r="E171" s="82"/>
      <c r="F171" s="82"/>
      <c r="G171" s="82"/>
      <c r="H171" s="82"/>
      <c r="I171" s="93" t="str">
        <f t="shared" si="14"/>
        <v/>
      </c>
      <c r="J171" s="82"/>
      <c r="K171" s="94" t="str">
        <f>IF(OR(D171="",E171=""),"",IF(J171="",G171,IF(D171="Buy",MROUND(MAX(E171*(1-Settings!$K$8),J171*(1-Settings!$K$6)),Settings!$K$10),MROUND(MIN(E171*(1+Settings!$K$8),J171*(1+Settings!$K$6)),Settings!$K$10))))</f>
        <v/>
      </c>
      <c r="L171" s="95" t="str">
        <f t="shared" si="15"/>
        <v/>
      </c>
      <c r="M171" s="82"/>
      <c r="N171" s="94" t="str">
        <f>IF(OR(D171="",E171=""),"",IF(M171="",H171,IF(D171="Buy",MROUND(MAX(E171*(1-Settings!$K$8),M171*(1-Settings!$K$6)),Settings!$K$10),MROUND(MIN(E171*(1+Settings!$K$8),M171*(1+Settings!$K$6)),Settings!$K$10))))</f>
        <v/>
      </c>
      <c r="O171" s="95" t="str">
        <f t="shared" si="16"/>
        <v/>
      </c>
      <c r="P171" s="82"/>
      <c r="Q171" s="94" t="str">
        <f>IF(OR(D171="",P171=""),"",IF(D171="Buy",MROUND(P171*(1-Settings!$K$6),Settings!$K$10),MROUND(P171*(1+Settings!$K$6),Settings!$K$10)))</f>
        <v/>
      </c>
      <c r="R171" s="95" t="str">
        <f t="shared" si="17"/>
        <v/>
      </c>
      <c r="S171" s="82"/>
      <c r="T171" s="94" t="str">
        <f>IF(OR(D171="",S171=""),"",IF(D171="Buy",MROUND(S171*(1-Settings!$K$6),Settings!$K$10),MROUND(S171*(1+Settings!$K$6),Settings!$K$10)))</f>
        <v/>
      </c>
      <c r="U171" s="67"/>
      <c r="V171" s="109" t="str">
        <f t="shared" si="18"/>
        <v/>
      </c>
      <c r="W171" s="110"/>
      <c r="X171" s="109" t="str">
        <f t="shared" si="19"/>
        <v/>
      </c>
      <c r="Y171" s="109" t="str">
        <f t="shared" si="20"/>
        <v/>
      </c>
      <c r="Z171" s="82"/>
    </row>
    <row r="172" ht="20" customHeight="1" spans="1:26">
      <c r="A172" s="64">
        <v>159</v>
      </c>
      <c r="B172" s="65"/>
      <c r="C172" s="66"/>
      <c r="D172" s="67"/>
      <c r="E172" s="82"/>
      <c r="F172" s="82"/>
      <c r="G172" s="82"/>
      <c r="H172" s="82"/>
      <c r="I172" s="93" t="str">
        <f t="shared" si="14"/>
        <v/>
      </c>
      <c r="J172" s="82"/>
      <c r="K172" s="94" t="str">
        <f>IF(OR(D172="",E172=""),"",IF(J172="",G172,IF(D172="Buy",MROUND(MAX(E172*(1-Settings!$K$8),J172*(1-Settings!$K$6)),Settings!$K$10),MROUND(MIN(E172*(1+Settings!$K$8),J172*(1+Settings!$K$6)),Settings!$K$10))))</f>
        <v/>
      </c>
      <c r="L172" s="95" t="str">
        <f t="shared" si="15"/>
        <v/>
      </c>
      <c r="M172" s="82"/>
      <c r="N172" s="94" t="str">
        <f>IF(OR(D172="",E172=""),"",IF(M172="",H172,IF(D172="Buy",MROUND(MAX(E172*(1-Settings!$K$8),M172*(1-Settings!$K$6)),Settings!$K$10),MROUND(MIN(E172*(1+Settings!$K$8),M172*(1+Settings!$K$6)),Settings!$K$10))))</f>
        <v/>
      </c>
      <c r="O172" s="95" t="str">
        <f t="shared" si="16"/>
        <v/>
      </c>
      <c r="P172" s="82"/>
      <c r="Q172" s="94" t="str">
        <f>IF(OR(D172="",P172=""),"",IF(D172="Buy",MROUND(P172*(1-Settings!$K$6),Settings!$K$10),MROUND(P172*(1+Settings!$K$6),Settings!$K$10)))</f>
        <v/>
      </c>
      <c r="R172" s="95" t="str">
        <f t="shared" si="17"/>
        <v/>
      </c>
      <c r="S172" s="82"/>
      <c r="T172" s="94" t="str">
        <f>IF(OR(D172="",S172=""),"",IF(D172="Buy",MROUND(S172*(1-Settings!$K$6),Settings!$K$10),MROUND(S172*(1+Settings!$K$6),Settings!$K$10)))</f>
        <v/>
      </c>
      <c r="U172" s="67"/>
      <c r="V172" s="109" t="str">
        <f t="shared" si="18"/>
        <v/>
      </c>
      <c r="W172" s="110"/>
      <c r="X172" s="109" t="str">
        <f t="shared" si="19"/>
        <v/>
      </c>
      <c r="Y172" s="109" t="str">
        <f t="shared" si="20"/>
        <v/>
      </c>
      <c r="Z172" s="82"/>
    </row>
    <row r="173" ht="20" customHeight="1" spans="1:26">
      <c r="A173" s="64">
        <v>160</v>
      </c>
      <c r="B173" s="65"/>
      <c r="C173" s="66"/>
      <c r="D173" s="67"/>
      <c r="E173" s="82"/>
      <c r="F173" s="82"/>
      <c r="G173" s="82"/>
      <c r="H173" s="82"/>
      <c r="I173" s="93" t="str">
        <f t="shared" si="14"/>
        <v/>
      </c>
      <c r="J173" s="82"/>
      <c r="K173" s="94" t="str">
        <f>IF(OR(D173="",E173=""),"",IF(J173="",G173,IF(D173="Buy",MROUND(MAX(E173*(1-Settings!$K$8),J173*(1-Settings!$K$6)),Settings!$K$10),MROUND(MIN(E173*(1+Settings!$K$8),J173*(1+Settings!$K$6)),Settings!$K$10))))</f>
        <v/>
      </c>
      <c r="L173" s="95" t="str">
        <f t="shared" si="15"/>
        <v/>
      </c>
      <c r="M173" s="82"/>
      <c r="N173" s="94" t="str">
        <f>IF(OR(D173="",E173=""),"",IF(M173="",H173,IF(D173="Buy",MROUND(MAX(E173*(1-Settings!$K$8),M173*(1-Settings!$K$6)),Settings!$K$10),MROUND(MIN(E173*(1+Settings!$K$8),M173*(1+Settings!$K$6)),Settings!$K$10))))</f>
        <v/>
      </c>
      <c r="O173" s="95" t="str">
        <f t="shared" si="16"/>
        <v/>
      </c>
      <c r="P173" s="82"/>
      <c r="Q173" s="94" t="str">
        <f>IF(OR(D173="",P173=""),"",IF(D173="Buy",MROUND(P173*(1-Settings!$K$6),Settings!$K$10),MROUND(P173*(1+Settings!$K$6),Settings!$K$10)))</f>
        <v/>
      </c>
      <c r="R173" s="95" t="str">
        <f t="shared" si="17"/>
        <v/>
      </c>
      <c r="S173" s="82"/>
      <c r="T173" s="94" t="str">
        <f>IF(OR(D173="",S173=""),"",IF(D173="Buy",MROUND(S173*(1-Settings!$K$6),Settings!$K$10),MROUND(S173*(1+Settings!$K$6),Settings!$K$10)))</f>
        <v/>
      </c>
      <c r="U173" s="67"/>
      <c r="V173" s="109" t="str">
        <f t="shared" si="18"/>
        <v/>
      </c>
      <c r="W173" s="110"/>
      <c r="X173" s="109" t="str">
        <f t="shared" si="19"/>
        <v/>
      </c>
      <c r="Y173" s="109" t="str">
        <f t="shared" si="20"/>
        <v/>
      </c>
      <c r="Z173" s="82"/>
    </row>
    <row r="174" ht="20" customHeight="1" spans="1:26">
      <c r="A174" s="64">
        <v>161</v>
      </c>
      <c r="B174" s="65"/>
      <c r="C174" s="66"/>
      <c r="D174" s="67"/>
      <c r="E174" s="82"/>
      <c r="F174" s="82"/>
      <c r="G174" s="82"/>
      <c r="H174" s="82"/>
      <c r="I174" s="93" t="str">
        <f t="shared" si="14"/>
        <v/>
      </c>
      <c r="J174" s="82"/>
      <c r="K174" s="94" t="str">
        <f>IF(OR(D174="",E174=""),"",IF(J174="",G174,IF(D174="Buy",MROUND(MAX(E174*(1-Settings!$K$8),J174*(1-Settings!$K$6)),Settings!$K$10),MROUND(MIN(E174*(1+Settings!$K$8),J174*(1+Settings!$K$6)),Settings!$K$10))))</f>
        <v/>
      </c>
      <c r="L174" s="95" t="str">
        <f t="shared" si="15"/>
        <v/>
      </c>
      <c r="M174" s="82"/>
      <c r="N174" s="94" t="str">
        <f>IF(OR(D174="",E174=""),"",IF(M174="",H174,IF(D174="Buy",MROUND(MAX(E174*(1-Settings!$K$8),M174*(1-Settings!$K$6)),Settings!$K$10),MROUND(MIN(E174*(1+Settings!$K$8),M174*(1+Settings!$K$6)),Settings!$K$10))))</f>
        <v/>
      </c>
      <c r="O174" s="95" t="str">
        <f t="shared" si="16"/>
        <v/>
      </c>
      <c r="P174" s="82"/>
      <c r="Q174" s="94" t="str">
        <f>IF(OR(D174="",P174=""),"",IF(D174="Buy",MROUND(P174*(1-Settings!$K$6),Settings!$K$10),MROUND(P174*(1+Settings!$K$6),Settings!$K$10)))</f>
        <v/>
      </c>
      <c r="R174" s="95" t="str">
        <f t="shared" si="17"/>
        <v/>
      </c>
      <c r="S174" s="82"/>
      <c r="T174" s="94" t="str">
        <f>IF(OR(D174="",S174=""),"",IF(D174="Buy",MROUND(S174*(1-Settings!$K$6),Settings!$K$10),MROUND(S174*(1+Settings!$K$6),Settings!$K$10)))</f>
        <v/>
      </c>
      <c r="U174" s="67"/>
      <c r="V174" s="109" t="str">
        <f t="shared" si="18"/>
        <v/>
      </c>
      <c r="W174" s="110"/>
      <c r="X174" s="109" t="str">
        <f t="shared" si="19"/>
        <v/>
      </c>
      <c r="Y174" s="109" t="str">
        <f t="shared" si="20"/>
        <v/>
      </c>
      <c r="Z174" s="82"/>
    </row>
    <row r="175" ht="20" customHeight="1" spans="1:26">
      <c r="A175" s="64">
        <v>162</v>
      </c>
      <c r="B175" s="65"/>
      <c r="C175" s="66"/>
      <c r="D175" s="67"/>
      <c r="E175" s="82"/>
      <c r="F175" s="82"/>
      <c r="G175" s="82"/>
      <c r="H175" s="82"/>
      <c r="I175" s="93" t="str">
        <f t="shared" si="14"/>
        <v/>
      </c>
      <c r="J175" s="82"/>
      <c r="K175" s="94" t="str">
        <f>IF(OR(D175="",E175=""),"",IF(J175="",G175,IF(D175="Buy",MROUND(MAX(E175*(1-Settings!$K$8),J175*(1-Settings!$K$6)),Settings!$K$10),MROUND(MIN(E175*(1+Settings!$K$8),J175*(1+Settings!$K$6)),Settings!$K$10))))</f>
        <v/>
      </c>
      <c r="L175" s="95" t="str">
        <f t="shared" si="15"/>
        <v/>
      </c>
      <c r="M175" s="82"/>
      <c r="N175" s="94" t="str">
        <f>IF(OR(D175="",E175=""),"",IF(M175="",H175,IF(D175="Buy",MROUND(MAX(E175*(1-Settings!$K$8),M175*(1-Settings!$K$6)),Settings!$K$10),MROUND(MIN(E175*(1+Settings!$K$8),M175*(1+Settings!$K$6)),Settings!$K$10))))</f>
        <v/>
      </c>
      <c r="O175" s="95" t="str">
        <f t="shared" si="16"/>
        <v/>
      </c>
      <c r="P175" s="82"/>
      <c r="Q175" s="94" t="str">
        <f>IF(OR(D175="",P175=""),"",IF(D175="Buy",MROUND(P175*(1-Settings!$K$6),Settings!$K$10),MROUND(P175*(1+Settings!$K$6),Settings!$K$10)))</f>
        <v/>
      </c>
      <c r="R175" s="95" t="str">
        <f t="shared" si="17"/>
        <v/>
      </c>
      <c r="S175" s="82"/>
      <c r="T175" s="94" t="str">
        <f>IF(OR(D175="",S175=""),"",IF(D175="Buy",MROUND(S175*(1-Settings!$K$6),Settings!$K$10),MROUND(S175*(1+Settings!$K$6),Settings!$K$10)))</f>
        <v/>
      </c>
      <c r="U175" s="67"/>
      <c r="V175" s="109" t="str">
        <f t="shared" si="18"/>
        <v/>
      </c>
      <c r="W175" s="110"/>
      <c r="X175" s="109" t="str">
        <f t="shared" si="19"/>
        <v/>
      </c>
      <c r="Y175" s="109" t="str">
        <f t="shared" si="20"/>
        <v/>
      </c>
      <c r="Z175" s="82"/>
    </row>
    <row r="176" ht="20" customHeight="1" spans="1:26">
      <c r="A176" s="64">
        <v>163</v>
      </c>
      <c r="B176" s="65"/>
      <c r="C176" s="66"/>
      <c r="D176" s="67"/>
      <c r="E176" s="82"/>
      <c r="F176" s="82"/>
      <c r="G176" s="82"/>
      <c r="H176" s="82"/>
      <c r="I176" s="93" t="str">
        <f t="shared" si="14"/>
        <v/>
      </c>
      <c r="J176" s="82"/>
      <c r="K176" s="94" t="str">
        <f>IF(OR(D176="",E176=""),"",IF(J176="",G176,IF(D176="Buy",MROUND(MAX(E176*(1-Settings!$K$8),J176*(1-Settings!$K$6)),Settings!$K$10),MROUND(MIN(E176*(1+Settings!$K$8),J176*(1+Settings!$K$6)),Settings!$K$10))))</f>
        <v/>
      </c>
      <c r="L176" s="95" t="str">
        <f t="shared" si="15"/>
        <v/>
      </c>
      <c r="M176" s="82"/>
      <c r="N176" s="94" t="str">
        <f>IF(OR(D176="",E176=""),"",IF(M176="",H176,IF(D176="Buy",MROUND(MAX(E176*(1-Settings!$K$8),M176*(1-Settings!$K$6)),Settings!$K$10),MROUND(MIN(E176*(1+Settings!$K$8),M176*(1+Settings!$K$6)),Settings!$K$10))))</f>
        <v/>
      </c>
      <c r="O176" s="95" t="str">
        <f t="shared" si="16"/>
        <v/>
      </c>
      <c r="P176" s="82"/>
      <c r="Q176" s="94" t="str">
        <f>IF(OR(D176="",P176=""),"",IF(D176="Buy",MROUND(P176*(1-Settings!$K$6),Settings!$K$10),MROUND(P176*(1+Settings!$K$6),Settings!$K$10)))</f>
        <v/>
      </c>
      <c r="R176" s="95" t="str">
        <f t="shared" si="17"/>
        <v/>
      </c>
      <c r="S176" s="82"/>
      <c r="T176" s="94" t="str">
        <f>IF(OR(D176="",S176=""),"",IF(D176="Buy",MROUND(S176*(1-Settings!$K$6),Settings!$K$10),MROUND(S176*(1+Settings!$K$6),Settings!$K$10)))</f>
        <v/>
      </c>
      <c r="U176" s="67"/>
      <c r="V176" s="109" t="str">
        <f t="shared" si="18"/>
        <v/>
      </c>
      <c r="W176" s="110"/>
      <c r="X176" s="109" t="str">
        <f t="shared" si="19"/>
        <v/>
      </c>
      <c r="Y176" s="109" t="str">
        <f t="shared" si="20"/>
        <v/>
      </c>
      <c r="Z176" s="82"/>
    </row>
    <row r="177" ht="20" customHeight="1" spans="1:26">
      <c r="A177" s="64">
        <v>164</v>
      </c>
      <c r="B177" s="65"/>
      <c r="C177" s="66"/>
      <c r="D177" s="67"/>
      <c r="E177" s="82"/>
      <c r="F177" s="82"/>
      <c r="G177" s="82"/>
      <c r="H177" s="82"/>
      <c r="I177" s="93" t="str">
        <f t="shared" si="14"/>
        <v/>
      </c>
      <c r="J177" s="82"/>
      <c r="K177" s="94" t="str">
        <f>IF(OR(D177="",E177=""),"",IF(J177="",G177,IF(D177="Buy",MROUND(MAX(E177*(1-Settings!$K$8),J177*(1-Settings!$K$6)),Settings!$K$10),MROUND(MIN(E177*(1+Settings!$K$8),J177*(1+Settings!$K$6)),Settings!$K$10))))</f>
        <v/>
      </c>
      <c r="L177" s="95" t="str">
        <f t="shared" si="15"/>
        <v/>
      </c>
      <c r="M177" s="82"/>
      <c r="N177" s="94" t="str">
        <f>IF(OR(D177="",E177=""),"",IF(M177="",H177,IF(D177="Buy",MROUND(MAX(E177*(1-Settings!$K$8),M177*(1-Settings!$K$6)),Settings!$K$10),MROUND(MIN(E177*(1+Settings!$K$8),M177*(1+Settings!$K$6)),Settings!$K$10))))</f>
        <v/>
      </c>
      <c r="O177" s="95" t="str">
        <f t="shared" si="16"/>
        <v/>
      </c>
      <c r="P177" s="82"/>
      <c r="Q177" s="94" t="str">
        <f>IF(OR(D177="",P177=""),"",IF(D177="Buy",MROUND(P177*(1-Settings!$K$6),Settings!$K$10),MROUND(P177*(1+Settings!$K$6),Settings!$K$10)))</f>
        <v/>
      </c>
      <c r="R177" s="95" t="str">
        <f t="shared" si="17"/>
        <v/>
      </c>
      <c r="S177" s="82"/>
      <c r="T177" s="94" t="str">
        <f>IF(OR(D177="",S177=""),"",IF(D177="Buy",MROUND(S177*(1-Settings!$K$6),Settings!$K$10),MROUND(S177*(1+Settings!$K$6),Settings!$K$10)))</f>
        <v/>
      </c>
      <c r="U177" s="67"/>
      <c r="V177" s="109" t="str">
        <f t="shared" si="18"/>
        <v/>
      </c>
      <c r="W177" s="110"/>
      <c r="X177" s="109" t="str">
        <f t="shared" si="19"/>
        <v/>
      </c>
      <c r="Y177" s="109" t="str">
        <f t="shared" si="20"/>
        <v/>
      </c>
      <c r="Z177" s="82"/>
    </row>
    <row r="178" ht="20" customHeight="1" spans="1:26">
      <c r="A178" s="64">
        <v>165</v>
      </c>
      <c r="B178" s="65"/>
      <c r="C178" s="66"/>
      <c r="D178" s="67"/>
      <c r="E178" s="82"/>
      <c r="F178" s="82"/>
      <c r="G178" s="82"/>
      <c r="H178" s="82"/>
      <c r="I178" s="93" t="str">
        <f t="shared" si="14"/>
        <v/>
      </c>
      <c r="J178" s="82"/>
      <c r="K178" s="94" t="str">
        <f>IF(OR(D178="",E178=""),"",IF(J178="",G178,IF(D178="Buy",MROUND(MAX(E178*(1-Settings!$K$8),J178*(1-Settings!$K$6)),Settings!$K$10),MROUND(MIN(E178*(1+Settings!$K$8),J178*(1+Settings!$K$6)),Settings!$K$10))))</f>
        <v/>
      </c>
      <c r="L178" s="95" t="str">
        <f t="shared" si="15"/>
        <v/>
      </c>
      <c r="M178" s="82"/>
      <c r="N178" s="94" t="str">
        <f>IF(OR(D178="",E178=""),"",IF(M178="",H178,IF(D178="Buy",MROUND(MAX(E178*(1-Settings!$K$8),M178*(1-Settings!$K$6)),Settings!$K$10),MROUND(MIN(E178*(1+Settings!$K$8),M178*(1+Settings!$K$6)),Settings!$K$10))))</f>
        <v/>
      </c>
      <c r="O178" s="95" t="str">
        <f t="shared" si="16"/>
        <v/>
      </c>
      <c r="P178" s="82"/>
      <c r="Q178" s="94" t="str">
        <f>IF(OR(D178="",P178=""),"",IF(D178="Buy",MROUND(P178*(1-Settings!$K$6),Settings!$K$10),MROUND(P178*(1+Settings!$K$6),Settings!$K$10)))</f>
        <v/>
      </c>
      <c r="R178" s="95" t="str">
        <f t="shared" si="17"/>
        <v/>
      </c>
      <c r="S178" s="82"/>
      <c r="T178" s="94" t="str">
        <f>IF(OR(D178="",S178=""),"",IF(D178="Buy",MROUND(S178*(1-Settings!$K$6),Settings!$K$10),MROUND(S178*(1+Settings!$K$6),Settings!$K$10)))</f>
        <v/>
      </c>
      <c r="U178" s="67"/>
      <c r="V178" s="109" t="str">
        <f t="shared" si="18"/>
        <v/>
      </c>
      <c r="W178" s="110"/>
      <c r="X178" s="109" t="str">
        <f t="shared" si="19"/>
        <v/>
      </c>
      <c r="Y178" s="109" t="str">
        <f t="shared" si="20"/>
        <v/>
      </c>
      <c r="Z178" s="82"/>
    </row>
    <row r="179" ht="20" customHeight="1" spans="1:26">
      <c r="A179" s="64">
        <v>166</v>
      </c>
      <c r="B179" s="65"/>
      <c r="C179" s="66"/>
      <c r="D179" s="67"/>
      <c r="E179" s="82"/>
      <c r="F179" s="82"/>
      <c r="G179" s="82"/>
      <c r="H179" s="82"/>
      <c r="I179" s="93" t="str">
        <f t="shared" si="14"/>
        <v/>
      </c>
      <c r="J179" s="82"/>
      <c r="K179" s="94" t="str">
        <f>IF(OR(D179="",E179=""),"",IF(J179="",G179,IF(D179="Buy",MROUND(MAX(E179*(1-Settings!$K$8),J179*(1-Settings!$K$6)),Settings!$K$10),MROUND(MIN(E179*(1+Settings!$K$8),J179*(1+Settings!$K$6)),Settings!$K$10))))</f>
        <v/>
      </c>
      <c r="L179" s="95" t="str">
        <f t="shared" si="15"/>
        <v/>
      </c>
      <c r="M179" s="82"/>
      <c r="N179" s="94" t="str">
        <f>IF(OR(D179="",E179=""),"",IF(M179="",H179,IF(D179="Buy",MROUND(MAX(E179*(1-Settings!$K$8),M179*(1-Settings!$K$6)),Settings!$K$10),MROUND(MIN(E179*(1+Settings!$K$8),M179*(1+Settings!$K$6)),Settings!$K$10))))</f>
        <v/>
      </c>
      <c r="O179" s="95" t="str">
        <f t="shared" si="16"/>
        <v/>
      </c>
      <c r="P179" s="82"/>
      <c r="Q179" s="94" t="str">
        <f>IF(OR(D179="",P179=""),"",IF(D179="Buy",MROUND(P179*(1-Settings!$K$6),Settings!$K$10),MROUND(P179*(1+Settings!$K$6),Settings!$K$10)))</f>
        <v/>
      </c>
      <c r="R179" s="95" t="str">
        <f t="shared" si="17"/>
        <v/>
      </c>
      <c r="S179" s="82"/>
      <c r="T179" s="94" t="str">
        <f>IF(OR(D179="",S179=""),"",IF(D179="Buy",MROUND(S179*(1-Settings!$K$6),Settings!$K$10),MROUND(S179*(1+Settings!$K$6),Settings!$K$10)))</f>
        <v/>
      </c>
      <c r="U179" s="67"/>
      <c r="V179" s="109" t="str">
        <f t="shared" si="18"/>
        <v/>
      </c>
      <c r="W179" s="110"/>
      <c r="X179" s="109" t="str">
        <f t="shared" si="19"/>
        <v/>
      </c>
      <c r="Y179" s="109" t="str">
        <f t="shared" si="20"/>
        <v/>
      </c>
      <c r="Z179" s="82"/>
    </row>
    <row r="180" ht="20" customHeight="1" spans="1:26">
      <c r="A180" s="64">
        <v>167</v>
      </c>
      <c r="B180" s="65"/>
      <c r="C180" s="66"/>
      <c r="D180" s="67"/>
      <c r="E180" s="82"/>
      <c r="F180" s="82"/>
      <c r="G180" s="82"/>
      <c r="H180" s="82"/>
      <c r="I180" s="93" t="str">
        <f t="shared" si="14"/>
        <v/>
      </c>
      <c r="J180" s="82"/>
      <c r="K180" s="94" t="str">
        <f>IF(OR(D180="",E180=""),"",IF(J180="",G180,IF(D180="Buy",MROUND(MAX(E180*(1-Settings!$K$8),J180*(1-Settings!$K$6)),Settings!$K$10),MROUND(MIN(E180*(1+Settings!$K$8),J180*(1+Settings!$K$6)),Settings!$K$10))))</f>
        <v/>
      </c>
      <c r="L180" s="95" t="str">
        <f t="shared" si="15"/>
        <v/>
      </c>
      <c r="M180" s="82"/>
      <c r="N180" s="94" t="str">
        <f>IF(OR(D180="",E180=""),"",IF(M180="",H180,IF(D180="Buy",MROUND(MAX(E180*(1-Settings!$K$8),M180*(1-Settings!$K$6)),Settings!$K$10),MROUND(MIN(E180*(1+Settings!$K$8),M180*(1+Settings!$K$6)),Settings!$K$10))))</f>
        <v/>
      </c>
      <c r="O180" s="95" t="str">
        <f t="shared" si="16"/>
        <v/>
      </c>
      <c r="P180" s="82"/>
      <c r="Q180" s="94" t="str">
        <f>IF(OR(D180="",P180=""),"",IF(D180="Buy",MROUND(P180*(1-Settings!$K$6),Settings!$K$10),MROUND(P180*(1+Settings!$K$6),Settings!$K$10)))</f>
        <v/>
      </c>
      <c r="R180" s="95" t="str">
        <f t="shared" si="17"/>
        <v/>
      </c>
      <c r="S180" s="82"/>
      <c r="T180" s="94" t="str">
        <f>IF(OR(D180="",S180=""),"",IF(D180="Buy",MROUND(S180*(1-Settings!$K$6),Settings!$K$10),MROUND(S180*(1+Settings!$K$6),Settings!$K$10)))</f>
        <v/>
      </c>
      <c r="U180" s="67"/>
      <c r="V180" s="109" t="str">
        <f t="shared" si="18"/>
        <v/>
      </c>
      <c r="W180" s="110"/>
      <c r="X180" s="109" t="str">
        <f t="shared" si="19"/>
        <v/>
      </c>
      <c r="Y180" s="109" t="str">
        <f t="shared" si="20"/>
        <v/>
      </c>
      <c r="Z180" s="82"/>
    </row>
    <row r="181" ht="20" customHeight="1" spans="1:26">
      <c r="A181" s="64">
        <v>168</v>
      </c>
      <c r="B181" s="65"/>
      <c r="C181" s="66"/>
      <c r="D181" s="67"/>
      <c r="E181" s="82"/>
      <c r="F181" s="82"/>
      <c r="G181" s="82"/>
      <c r="H181" s="82"/>
      <c r="I181" s="93" t="str">
        <f t="shared" si="14"/>
        <v/>
      </c>
      <c r="J181" s="82"/>
      <c r="K181" s="94" t="str">
        <f>IF(OR(D181="",E181=""),"",IF(J181="",G181,IF(D181="Buy",MROUND(MAX(E181*(1-Settings!$K$8),J181*(1-Settings!$K$6)),Settings!$K$10),MROUND(MIN(E181*(1+Settings!$K$8),J181*(1+Settings!$K$6)),Settings!$K$10))))</f>
        <v/>
      </c>
      <c r="L181" s="95" t="str">
        <f t="shared" si="15"/>
        <v/>
      </c>
      <c r="M181" s="82"/>
      <c r="N181" s="94" t="str">
        <f>IF(OR(D181="",E181=""),"",IF(M181="",H181,IF(D181="Buy",MROUND(MAX(E181*(1-Settings!$K$8),M181*(1-Settings!$K$6)),Settings!$K$10),MROUND(MIN(E181*(1+Settings!$K$8),M181*(1+Settings!$K$6)),Settings!$K$10))))</f>
        <v/>
      </c>
      <c r="O181" s="95" t="str">
        <f t="shared" si="16"/>
        <v/>
      </c>
      <c r="P181" s="82"/>
      <c r="Q181" s="94" t="str">
        <f>IF(OR(D181="",P181=""),"",IF(D181="Buy",MROUND(P181*(1-Settings!$K$6),Settings!$K$10),MROUND(P181*(1+Settings!$K$6),Settings!$K$10)))</f>
        <v/>
      </c>
      <c r="R181" s="95" t="str">
        <f t="shared" si="17"/>
        <v/>
      </c>
      <c r="S181" s="82"/>
      <c r="T181" s="94" t="str">
        <f>IF(OR(D181="",S181=""),"",IF(D181="Buy",MROUND(S181*(1-Settings!$K$6),Settings!$K$10),MROUND(S181*(1+Settings!$K$6),Settings!$K$10)))</f>
        <v/>
      </c>
      <c r="U181" s="67"/>
      <c r="V181" s="109" t="str">
        <f t="shared" si="18"/>
        <v/>
      </c>
      <c r="W181" s="110"/>
      <c r="X181" s="109" t="str">
        <f t="shared" si="19"/>
        <v/>
      </c>
      <c r="Y181" s="109" t="str">
        <f t="shared" si="20"/>
        <v/>
      </c>
      <c r="Z181" s="82"/>
    </row>
    <row r="182" ht="20" customHeight="1" spans="1:26">
      <c r="A182" s="64">
        <v>169</v>
      </c>
      <c r="B182" s="65"/>
      <c r="C182" s="66"/>
      <c r="D182" s="67"/>
      <c r="E182" s="82"/>
      <c r="F182" s="82"/>
      <c r="G182" s="82"/>
      <c r="H182" s="82"/>
      <c r="I182" s="93" t="str">
        <f t="shared" si="14"/>
        <v/>
      </c>
      <c r="J182" s="82"/>
      <c r="K182" s="94" t="str">
        <f>IF(OR(D182="",E182=""),"",IF(J182="",G182,IF(D182="Buy",MROUND(MAX(E182*(1-Settings!$K$8),J182*(1-Settings!$K$6)),Settings!$K$10),MROUND(MIN(E182*(1+Settings!$K$8),J182*(1+Settings!$K$6)),Settings!$K$10))))</f>
        <v/>
      </c>
      <c r="L182" s="95" t="str">
        <f t="shared" si="15"/>
        <v/>
      </c>
      <c r="M182" s="82"/>
      <c r="N182" s="94" t="str">
        <f>IF(OR(D182="",E182=""),"",IF(M182="",H182,IF(D182="Buy",MROUND(MAX(E182*(1-Settings!$K$8),M182*(1-Settings!$K$6)),Settings!$K$10),MROUND(MIN(E182*(1+Settings!$K$8),M182*(1+Settings!$K$6)),Settings!$K$10))))</f>
        <v/>
      </c>
      <c r="O182" s="95" t="str">
        <f t="shared" si="16"/>
        <v/>
      </c>
      <c r="P182" s="82"/>
      <c r="Q182" s="94" t="str">
        <f>IF(OR(D182="",P182=""),"",IF(D182="Buy",MROUND(P182*(1-Settings!$K$6),Settings!$K$10),MROUND(P182*(1+Settings!$K$6),Settings!$K$10)))</f>
        <v/>
      </c>
      <c r="R182" s="95" t="str">
        <f t="shared" si="17"/>
        <v/>
      </c>
      <c r="S182" s="82"/>
      <c r="T182" s="94" t="str">
        <f>IF(OR(D182="",S182=""),"",IF(D182="Buy",MROUND(S182*(1-Settings!$K$6),Settings!$K$10),MROUND(S182*(1+Settings!$K$6),Settings!$K$10)))</f>
        <v/>
      </c>
      <c r="U182" s="67"/>
      <c r="V182" s="109" t="str">
        <f t="shared" si="18"/>
        <v/>
      </c>
      <c r="W182" s="110"/>
      <c r="X182" s="109" t="str">
        <f t="shared" si="19"/>
        <v/>
      </c>
      <c r="Y182" s="109" t="str">
        <f t="shared" si="20"/>
        <v/>
      </c>
      <c r="Z182" s="82"/>
    </row>
    <row r="183" ht="20" customHeight="1" spans="1:26">
      <c r="A183" s="64">
        <v>170</v>
      </c>
      <c r="B183" s="65"/>
      <c r="C183" s="66"/>
      <c r="D183" s="67"/>
      <c r="E183" s="82"/>
      <c r="F183" s="82"/>
      <c r="G183" s="82"/>
      <c r="H183" s="82"/>
      <c r="I183" s="93" t="str">
        <f t="shared" si="14"/>
        <v/>
      </c>
      <c r="J183" s="82"/>
      <c r="K183" s="94" t="str">
        <f>IF(OR(D183="",E183=""),"",IF(J183="",G183,IF(D183="Buy",MROUND(MAX(E183*(1-Settings!$K$8),J183*(1-Settings!$K$6)),Settings!$K$10),MROUND(MIN(E183*(1+Settings!$K$8),J183*(1+Settings!$K$6)),Settings!$K$10))))</f>
        <v/>
      </c>
      <c r="L183" s="95" t="str">
        <f t="shared" si="15"/>
        <v/>
      </c>
      <c r="M183" s="82"/>
      <c r="N183" s="94" t="str">
        <f>IF(OR(D183="",E183=""),"",IF(M183="",H183,IF(D183="Buy",MROUND(MAX(E183*(1-Settings!$K$8),M183*(1-Settings!$K$6)),Settings!$K$10),MROUND(MIN(E183*(1+Settings!$K$8),M183*(1+Settings!$K$6)),Settings!$K$10))))</f>
        <v/>
      </c>
      <c r="O183" s="95" t="str">
        <f t="shared" si="16"/>
        <v/>
      </c>
      <c r="P183" s="82"/>
      <c r="Q183" s="94" t="str">
        <f>IF(OR(D183="",P183=""),"",IF(D183="Buy",MROUND(P183*(1-Settings!$K$6),Settings!$K$10),MROUND(P183*(1+Settings!$K$6),Settings!$K$10)))</f>
        <v/>
      </c>
      <c r="R183" s="95" t="str">
        <f t="shared" si="17"/>
        <v/>
      </c>
      <c r="S183" s="82"/>
      <c r="T183" s="94" t="str">
        <f>IF(OR(D183="",S183=""),"",IF(D183="Buy",MROUND(S183*(1-Settings!$K$6),Settings!$K$10),MROUND(S183*(1+Settings!$K$6),Settings!$K$10)))</f>
        <v/>
      </c>
      <c r="U183" s="67"/>
      <c r="V183" s="109" t="str">
        <f t="shared" si="18"/>
        <v/>
      </c>
      <c r="W183" s="110"/>
      <c r="X183" s="109" t="str">
        <f t="shared" si="19"/>
        <v/>
      </c>
      <c r="Y183" s="109" t="str">
        <f t="shared" si="20"/>
        <v/>
      </c>
      <c r="Z183" s="82"/>
    </row>
    <row r="184" ht="20" customHeight="1" spans="1:26">
      <c r="A184" s="64">
        <v>171</v>
      </c>
      <c r="B184" s="65"/>
      <c r="C184" s="66"/>
      <c r="D184" s="67"/>
      <c r="E184" s="82"/>
      <c r="F184" s="82"/>
      <c r="G184" s="82"/>
      <c r="H184" s="82"/>
      <c r="I184" s="93" t="str">
        <f t="shared" si="14"/>
        <v/>
      </c>
      <c r="J184" s="82"/>
      <c r="K184" s="94" t="str">
        <f>IF(OR(D184="",E184=""),"",IF(J184="",G184,IF(D184="Buy",MROUND(MAX(E184*(1-Settings!$K$8),J184*(1-Settings!$K$6)),Settings!$K$10),MROUND(MIN(E184*(1+Settings!$K$8),J184*(1+Settings!$K$6)),Settings!$K$10))))</f>
        <v/>
      </c>
      <c r="L184" s="95" t="str">
        <f t="shared" si="15"/>
        <v/>
      </c>
      <c r="M184" s="82"/>
      <c r="N184" s="94" t="str">
        <f>IF(OR(D184="",E184=""),"",IF(M184="",H184,IF(D184="Buy",MROUND(MAX(E184*(1-Settings!$K$8),M184*(1-Settings!$K$6)),Settings!$K$10),MROUND(MIN(E184*(1+Settings!$K$8),M184*(1+Settings!$K$6)),Settings!$K$10))))</f>
        <v/>
      </c>
      <c r="O184" s="95" t="str">
        <f t="shared" si="16"/>
        <v/>
      </c>
      <c r="P184" s="82"/>
      <c r="Q184" s="94" t="str">
        <f>IF(OR(D184="",P184=""),"",IF(D184="Buy",MROUND(P184*(1-Settings!$K$6),Settings!$K$10),MROUND(P184*(1+Settings!$K$6),Settings!$K$10)))</f>
        <v/>
      </c>
      <c r="R184" s="95" t="str">
        <f t="shared" si="17"/>
        <v/>
      </c>
      <c r="S184" s="82"/>
      <c r="T184" s="94" t="str">
        <f>IF(OR(D184="",S184=""),"",IF(D184="Buy",MROUND(S184*(1-Settings!$K$6),Settings!$K$10),MROUND(S184*(1+Settings!$K$6),Settings!$K$10)))</f>
        <v/>
      </c>
      <c r="U184" s="67"/>
      <c r="V184" s="109" t="str">
        <f t="shared" si="18"/>
        <v/>
      </c>
      <c r="W184" s="110"/>
      <c r="X184" s="109" t="str">
        <f t="shared" si="19"/>
        <v/>
      </c>
      <c r="Y184" s="109" t="str">
        <f t="shared" si="20"/>
        <v/>
      </c>
      <c r="Z184" s="82"/>
    </row>
    <row r="185" ht="20" customHeight="1" spans="1:26">
      <c r="A185" s="64">
        <v>172</v>
      </c>
      <c r="B185" s="65"/>
      <c r="C185" s="66"/>
      <c r="D185" s="67"/>
      <c r="E185" s="82"/>
      <c r="F185" s="82"/>
      <c r="G185" s="82"/>
      <c r="H185" s="82"/>
      <c r="I185" s="93" t="str">
        <f t="shared" si="14"/>
        <v/>
      </c>
      <c r="J185" s="82"/>
      <c r="K185" s="94" t="str">
        <f>IF(OR(D185="",E185=""),"",IF(J185="",G185,IF(D185="Buy",MROUND(MAX(E185*(1-Settings!$K$8),J185*(1-Settings!$K$6)),Settings!$K$10),MROUND(MIN(E185*(1+Settings!$K$8),J185*(1+Settings!$K$6)),Settings!$K$10))))</f>
        <v/>
      </c>
      <c r="L185" s="95" t="str">
        <f t="shared" si="15"/>
        <v/>
      </c>
      <c r="M185" s="82"/>
      <c r="N185" s="94" t="str">
        <f>IF(OR(D185="",E185=""),"",IF(M185="",H185,IF(D185="Buy",MROUND(MAX(E185*(1-Settings!$K$8),M185*(1-Settings!$K$6)),Settings!$K$10),MROUND(MIN(E185*(1+Settings!$K$8),M185*(1+Settings!$K$6)),Settings!$K$10))))</f>
        <v/>
      </c>
      <c r="O185" s="95" t="str">
        <f t="shared" si="16"/>
        <v/>
      </c>
      <c r="P185" s="82"/>
      <c r="Q185" s="94" t="str">
        <f>IF(OR(D185="",P185=""),"",IF(D185="Buy",MROUND(P185*(1-Settings!$K$6),Settings!$K$10),MROUND(P185*(1+Settings!$K$6),Settings!$K$10)))</f>
        <v/>
      </c>
      <c r="R185" s="95" t="str">
        <f t="shared" si="17"/>
        <v/>
      </c>
      <c r="S185" s="82"/>
      <c r="T185" s="94" t="str">
        <f>IF(OR(D185="",S185=""),"",IF(D185="Buy",MROUND(S185*(1-Settings!$K$6),Settings!$K$10),MROUND(S185*(1+Settings!$K$6),Settings!$K$10)))</f>
        <v/>
      </c>
      <c r="U185" s="67"/>
      <c r="V185" s="109" t="str">
        <f t="shared" si="18"/>
        <v/>
      </c>
      <c r="W185" s="110"/>
      <c r="X185" s="109" t="str">
        <f t="shared" si="19"/>
        <v/>
      </c>
      <c r="Y185" s="109" t="str">
        <f t="shared" si="20"/>
        <v/>
      </c>
      <c r="Z185" s="82"/>
    </row>
    <row r="186" ht="20" customHeight="1" spans="1:26">
      <c r="A186" s="64">
        <v>173</v>
      </c>
      <c r="B186" s="65"/>
      <c r="C186" s="66"/>
      <c r="D186" s="67"/>
      <c r="E186" s="82"/>
      <c r="F186" s="82"/>
      <c r="G186" s="82"/>
      <c r="H186" s="82"/>
      <c r="I186" s="93" t="str">
        <f t="shared" si="14"/>
        <v/>
      </c>
      <c r="J186" s="82"/>
      <c r="K186" s="94" t="str">
        <f>IF(OR(D186="",E186=""),"",IF(J186="",G186,IF(D186="Buy",MROUND(MAX(E186*(1-Settings!$K$8),J186*(1-Settings!$K$6)),Settings!$K$10),MROUND(MIN(E186*(1+Settings!$K$8),J186*(1+Settings!$K$6)),Settings!$K$10))))</f>
        <v/>
      </c>
      <c r="L186" s="95" t="str">
        <f t="shared" si="15"/>
        <v/>
      </c>
      <c r="M186" s="82"/>
      <c r="N186" s="94" t="str">
        <f>IF(OR(D186="",E186=""),"",IF(M186="",H186,IF(D186="Buy",MROUND(MAX(E186*(1-Settings!$K$8),M186*(1-Settings!$K$6)),Settings!$K$10),MROUND(MIN(E186*(1+Settings!$K$8),M186*(1+Settings!$K$6)),Settings!$K$10))))</f>
        <v/>
      </c>
      <c r="O186" s="95" t="str">
        <f t="shared" si="16"/>
        <v/>
      </c>
      <c r="P186" s="82"/>
      <c r="Q186" s="94" t="str">
        <f>IF(OR(D186="",P186=""),"",IF(D186="Buy",MROUND(P186*(1-Settings!$K$6),Settings!$K$10),MROUND(P186*(1+Settings!$K$6),Settings!$K$10)))</f>
        <v/>
      </c>
      <c r="R186" s="95" t="str">
        <f t="shared" si="17"/>
        <v/>
      </c>
      <c r="S186" s="82"/>
      <c r="T186" s="94" t="str">
        <f>IF(OR(D186="",S186=""),"",IF(D186="Buy",MROUND(S186*(1-Settings!$K$6),Settings!$K$10),MROUND(S186*(1+Settings!$K$6),Settings!$K$10)))</f>
        <v/>
      </c>
      <c r="U186" s="67"/>
      <c r="V186" s="109" t="str">
        <f t="shared" si="18"/>
        <v/>
      </c>
      <c r="W186" s="110"/>
      <c r="X186" s="109" t="str">
        <f t="shared" si="19"/>
        <v/>
      </c>
      <c r="Y186" s="109" t="str">
        <f t="shared" si="20"/>
        <v/>
      </c>
      <c r="Z186" s="82"/>
    </row>
    <row r="187" ht="20" customHeight="1" spans="1:26">
      <c r="A187" s="64">
        <v>174</v>
      </c>
      <c r="B187" s="65"/>
      <c r="C187" s="66"/>
      <c r="D187" s="67"/>
      <c r="E187" s="82"/>
      <c r="F187" s="82"/>
      <c r="G187" s="82"/>
      <c r="H187" s="82"/>
      <c r="I187" s="93" t="str">
        <f t="shared" si="14"/>
        <v/>
      </c>
      <c r="J187" s="82"/>
      <c r="K187" s="94" t="str">
        <f>IF(OR(D187="",E187=""),"",IF(J187="",G187,IF(D187="Buy",MROUND(MAX(E187*(1-Settings!$K$8),J187*(1-Settings!$K$6)),Settings!$K$10),MROUND(MIN(E187*(1+Settings!$K$8),J187*(1+Settings!$K$6)),Settings!$K$10))))</f>
        <v/>
      </c>
      <c r="L187" s="95" t="str">
        <f t="shared" si="15"/>
        <v/>
      </c>
      <c r="M187" s="82"/>
      <c r="N187" s="94" t="str">
        <f>IF(OR(D187="",E187=""),"",IF(M187="",H187,IF(D187="Buy",MROUND(MAX(E187*(1-Settings!$K$8),M187*(1-Settings!$K$6)),Settings!$K$10),MROUND(MIN(E187*(1+Settings!$K$8),M187*(1+Settings!$K$6)),Settings!$K$10))))</f>
        <v/>
      </c>
      <c r="O187" s="95" t="str">
        <f t="shared" si="16"/>
        <v/>
      </c>
      <c r="P187" s="82"/>
      <c r="Q187" s="94" t="str">
        <f>IF(OR(D187="",P187=""),"",IF(D187="Buy",MROUND(P187*(1-Settings!$K$6),Settings!$K$10),MROUND(P187*(1+Settings!$K$6),Settings!$K$10)))</f>
        <v/>
      </c>
      <c r="R187" s="95" t="str">
        <f t="shared" si="17"/>
        <v/>
      </c>
      <c r="S187" s="82"/>
      <c r="T187" s="94" t="str">
        <f>IF(OR(D187="",S187=""),"",IF(D187="Buy",MROUND(S187*(1-Settings!$K$6),Settings!$K$10),MROUND(S187*(1+Settings!$K$6),Settings!$K$10)))</f>
        <v/>
      </c>
      <c r="U187" s="67"/>
      <c r="V187" s="109" t="str">
        <f t="shared" si="18"/>
        <v/>
      </c>
      <c r="W187" s="110"/>
      <c r="X187" s="109" t="str">
        <f t="shared" si="19"/>
        <v/>
      </c>
      <c r="Y187" s="109" t="str">
        <f t="shared" si="20"/>
        <v/>
      </c>
      <c r="Z187" s="82"/>
    </row>
    <row r="188" ht="20" customHeight="1" spans="1:26">
      <c r="A188" s="64">
        <v>175</v>
      </c>
      <c r="B188" s="65"/>
      <c r="C188" s="66"/>
      <c r="D188" s="67"/>
      <c r="E188" s="82"/>
      <c r="F188" s="82"/>
      <c r="G188" s="82"/>
      <c r="H188" s="82"/>
      <c r="I188" s="93" t="str">
        <f t="shared" si="14"/>
        <v/>
      </c>
      <c r="J188" s="82"/>
      <c r="K188" s="94" t="str">
        <f>IF(OR(D188="",E188=""),"",IF(J188="",G188,IF(D188="Buy",MROUND(MAX(E188*(1-Settings!$K$8),J188*(1-Settings!$K$6)),Settings!$K$10),MROUND(MIN(E188*(1+Settings!$K$8),J188*(1+Settings!$K$6)),Settings!$K$10))))</f>
        <v/>
      </c>
      <c r="L188" s="95" t="str">
        <f t="shared" si="15"/>
        <v/>
      </c>
      <c r="M188" s="82"/>
      <c r="N188" s="94" t="str">
        <f>IF(OR(D188="",E188=""),"",IF(M188="",H188,IF(D188="Buy",MROUND(MAX(E188*(1-Settings!$K$8),M188*(1-Settings!$K$6)),Settings!$K$10),MROUND(MIN(E188*(1+Settings!$K$8),M188*(1+Settings!$K$6)),Settings!$K$10))))</f>
        <v/>
      </c>
      <c r="O188" s="95" t="str">
        <f t="shared" si="16"/>
        <v/>
      </c>
      <c r="P188" s="82"/>
      <c r="Q188" s="94" t="str">
        <f>IF(OR(D188="",P188=""),"",IF(D188="Buy",MROUND(P188*(1-Settings!$K$6),Settings!$K$10),MROUND(P188*(1+Settings!$K$6),Settings!$K$10)))</f>
        <v/>
      </c>
      <c r="R188" s="95" t="str">
        <f t="shared" si="17"/>
        <v/>
      </c>
      <c r="S188" s="82"/>
      <c r="T188" s="94" t="str">
        <f>IF(OR(D188="",S188=""),"",IF(D188="Buy",MROUND(S188*(1-Settings!$K$6),Settings!$K$10),MROUND(S188*(1+Settings!$K$6),Settings!$K$10)))</f>
        <v/>
      </c>
      <c r="U188" s="67"/>
      <c r="V188" s="109" t="str">
        <f t="shared" si="18"/>
        <v/>
      </c>
      <c r="W188" s="110"/>
      <c r="X188" s="109" t="str">
        <f t="shared" si="19"/>
        <v/>
      </c>
      <c r="Y188" s="109" t="str">
        <f t="shared" si="20"/>
        <v/>
      </c>
      <c r="Z188" s="82"/>
    </row>
    <row r="189" ht="20" customHeight="1" spans="1:26">
      <c r="A189" s="64">
        <v>176</v>
      </c>
      <c r="B189" s="65"/>
      <c r="C189" s="66"/>
      <c r="D189" s="67"/>
      <c r="E189" s="82"/>
      <c r="F189" s="82"/>
      <c r="G189" s="82"/>
      <c r="H189" s="82"/>
      <c r="I189" s="93" t="str">
        <f t="shared" si="14"/>
        <v/>
      </c>
      <c r="J189" s="82"/>
      <c r="K189" s="94" t="str">
        <f>IF(OR(D189="",E189=""),"",IF(J189="",G189,IF(D189="Buy",MROUND(MAX(E189*(1-Settings!$K$8),J189*(1-Settings!$K$6)),Settings!$K$10),MROUND(MIN(E189*(1+Settings!$K$8),J189*(1+Settings!$K$6)),Settings!$K$10))))</f>
        <v/>
      </c>
      <c r="L189" s="95" t="str">
        <f t="shared" si="15"/>
        <v/>
      </c>
      <c r="M189" s="82"/>
      <c r="N189" s="94" t="str">
        <f>IF(OR(D189="",E189=""),"",IF(M189="",H189,IF(D189="Buy",MROUND(MAX(E189*(1-Settings!$K$8),M189*(1-Settings!$K$6)),Settings!$K$10),MROUND(MIN(E189*(1+Settings!$K$8),M189*(1+Settings!$K$6)),Settings!$K$10))))</f>
        <v/>
      </c>
      <c r="O189" s="95" t="str">
        <f t="shared" si="16"/>
        <v/>
      </c>
      <c r="P189" s="82"/>
      <c r="Q189" s="94" t="str">
        <f>IF(OR(D189="",P189=""),"",IF(D189="Buy",MROUND(P189*(1-Settings!$K$6),Settings!$K$10),MROUND(P189*(1+Settings!$K$6),Settings!$K$10)))</f>
        <v/>
      </c>
      <c r="R189" s="95" t="str">
        <f t="shared" si="17"/>
        <v/>
      </c>
      <c r="S189" s="82"/>
      <c r="T189" s="94" t="str">
        <f>IF(OR(D189="",S189=""),"",IF(D189="Buy",MROUND(S189*(1-Settings!$K$6),Settings!$K$10),MROUND(S189*(1+Settings!$K$6),Settings!$K$10)))</f>
        <v/>
      </c>
      <c r="U189" s="67"/>
      <c r="V189" s="109" t="str">
        <f t="shared" si="18"/>
        <v/>
      </c>
      <c r="W189" s="110"/>
      <c r="X189" s="109" t="str">
        <f t="shared" si="19"/>
        <v/>
      </c>
      <c r="Y189" s="109" t="str">
        <f t="shared" si="20"/>
        <v/>
      </c>
      <c r="Z189" s="82"/>
    </row>
    <row r="190" ht="20" customHeight="1" spans="1:26">
      <c r="A190" s="64">
        <v>177</v>
      </c>
      <c r="B190" s="65"/>
      <c r="C190" s="66"/>
      <c r="D190" s="67"/>
      <c r="E190" s="82"/>
      <c r="F190" s="82"/>
      <c r="G190" s="82"/>
      <c r="H190" s="82"/>
      <c r="I190" s="93" t="str">
        <f t="shared" si="14"/>
        <v/>
      </c>
      <c r="J190" s="82"/>
      <c r="K190" s="94" t="str">
        <f>IF(OR(D190="",E190=""),"",IF(J190="",G190,IF(D190="Buy",MROUND(MAX(E190*(1-Settings!$K$8),J190*(1-Settings!$K$6)),Settings!$K$10),MROUND(MIN(E190*(1+Settings!$K$8),J190*(1+Settings!$K$6)),Settings!$K$10))))</f>
        <v/>
      </c>
      <c r="L190" s="95" t="str">
        <f t="shared" si="15"/>
        <v/>
      </c>
      <c r="M190" s="82"/>
      <c r="N190" s="94" t="str">
        <f>IF(OR(D190="",E190=""),"",IF(M190="",H190,IF(D190="Buy",MROUND(MAX(E190*(1-Settings!$K$8),M190*(1-Settings!$K$6)),Settings!$K$10),MROUND(MIN(E190*(1+Settings!$K$8),M190*(1+Settings!$K$6)),Settings!$K$10))))</f>
        <v/>
      </c>
      <c r="O190" s="95" t="str">
        <f t="shared" si="16"/>
        <v/>
      </c>
      <c r="P190" s="82"/>
      <c r="Q190" s="94" t="str">
        <f>IF(OR(D190="",P190=""),"",IF(D190="Buy",MROUND(P190*(1-Settings!$K$6),Settings!$K$10),MROUND(P190*(1+Settings!$K$6),Settings!$K$10)))</f>
        <v/>
      </c>
      <c r="R190" s="95" t="str">
        <f t="shared" si="17"/>
        <v/>
      </c>
      <c r="S190" s="82"/>
      <c r="T190" s="94" t="str">
        <f>IF(OR(D190="",S190=""),"",IF(D190="Buy",MROUND(S190*(1-Settings!$K$6),Settings!$K$10),MROUND(S190*(1+Settings!$K$6),Settings!$K$10)))</f>
        <v/>
      </c>
      <c r="U190" s="67"/>
      <c r="V190" s="109" t="str">
        <f t="shared" si="18"/>
        <v/>
      </c>
      <c r="W190" s="110"/>
      <c r="X190" s="109" t="str">
        <f t="shared" si="19"/>
        <v/>
      </c>
      <c r="Y190" s="109" t="str">
        <f t="shared" si="20"/>
        <v/>
      </c>
      <c r="Z190" s="82"/>
    </row>
    <row r="191" ht="20" customHeight="1" spans="1:26">
      <c r="A191" s="64">
        <v>178</v>
      </c>
      <c r="B191" s="65"/>
      <c r="C191" s="66"/>
      <c r="D191" s="67"/>
      <c r="E191" s="82"/>
      <c r="F191" s="82"/>
      <c r="G191" s="82"/>
      <c r="H191" s="82"/>
      <c r="I191" s="93" t="str">
        <f t="shared" si="14"/>
        <v/>
      </c>
      <c r="J191" s="82"/>
      <c r="K191" s="94" t="str">
        <f>IF(OR(D191="",E191=""),"",IF(J191="",G191,IF(D191="Buy",MROUND(MAX(E191*(1-Settings!$K$8),J191*(1-Settings!$K$6)),Settings!$K$10),MROUND(MIN(E191*(1+Settings!$K$8),J191*(1+Settings!$K$6)),Settings!$K$10))))</f>
        <v/>
      </c>
      <c r="L191" s="95" t="str">
        <f t="shared" si="15"/>
        <v/>
      </c>
      <c r="M191" s="82"/>
      <c r="N191" s="94" t="str">
        <f>IF(OR(D191="",E191=""),"",IF(M191="",H191,IF(D191="Buy",MROUND(MAX(E191*(1-Settings!$K$8),M191*(1-Settings!$K$6)),Settings!$K$10),MROUND(MIN(E191*(1+Settings!$K$8),M191*(1+Settings!$K$6)),Settings!$K$10))))</f>
        <v/>
      </c>
      <c r="O191" s="95" t="str">
        <f t="shared" si="16"/>
        <v/>
      </c>
      <c r="P191" s="82"/>
      <c r="Q191" s="94" t="str">
        <f>IF(OR(D191="",P191=""),"",IF(D191="Buy",MROUND(P191*(1-Settings!$K$6),Settings!$K$10),MROUND(P191*(1+Settings!$K$6),Settings!$K$10)))</f>
        <v/>
      </c>
      <c r="R191" s="95" t="str">
        <f t="shared" si="17"/>
        <v/>
      </c>
      <c r="S191" s="82"/>
      <c r="T191" s="94" t="str">
        <f>IF(OR(D191="",S191=""),"",IF(D191="Buy",MROUND(S191*(1-Settings!$K$6),Settings!$K$10),MROUND(S191*(1+Settings!$K$6),Settings!$K$10)))</f>
        <v/>
      </c>
      <c r="U191" s="67"/>
      <c r="V191" s="109" t="str">
        <f t="shared" si="18"/>
        <v/>
      </c>
      <c r="W191" s="110"/>
      <c r="X191" s="109" t="str">
        <f t="shared" si="19"/>
        <v/>
      </c>
      <c r="Y191" s="109" t="str">
        <f t="shared" si="20"/>
        <v/>
      </c>
      <c r="Z191" s="82"/>
    </row>
    <row r="192" ht="20" customHeight="1" spans="1:26">
      <c r="A192" s="64">
        <v>179</v>
      </c>
      <c r="B192" s="65"/>
      <c r="C192" s="66"/>
      <c r="D192" s="67"/>
      <c r="E192" s="82"/>
      <c r="F192" s="82"/>
      <c r="G192" s="82"/>
      <c r="H192" s="82"/>
      <c r="I192" s="93" t="str">
        <f t="shared" si="14"/>
        <v/>
      </c>
      <c r="J192" s="82"/>
      <c r="K192" s="94" t="str">
        <f>IF(OR(D192="",E192=""),"",IF(J192="",G192,IF(D192="Buy",MROUND(MAX(E192*(1-Settings!$K$8),J192*(1-Settings!$K$6)),Settings!$K$10),MROUND(MIN(E192*(1+Settings!$K$8),J192*(1+Settings!$K$6)),Settings!$K$10))))</f>
        <v/>
      </c>
      <c r="L192" s="95" t="str">
        <f t="shared" si="15"/>
        <v/>
      </c>
      <c r="M192" s="82"/>
      <c r="N192" s="94" t="str">
        <f>IF(OR(D192="",E192=""),"",IF(M192="",H192,IF(D192="Buy",MROUND(MAX(E192*(1-Settings!$K$8),M192*(1-Settings!$K$6)),Settings!$K$10),MROUND(MIN(E192*(1+Settings!$K$8),M192*(1+Settings!$K$6)),Settings!$K$10))))</f>
        <v/>
      </c>
      <c r="O192" s="95" t="str">
        <f t="shared" si="16"/>
        <v/>
      </c>
      <c r="P192" s="82"/>
      <c r="Q192" s="94" t="str">
        <f>IF(OR(D192="",P192=""),"",IF(D192="Buy",MROUND(P192*(1-Settings!$K$6),Settings!$K$10),MROUND(P192*(1+Settings!$K$6),Settings!$K$10)))</f>
        <v/>
      </c>
      <c r="R192" s="95" t="str">
        <f t="shared" si="17"/>
        <v/>
      </c>
      <c r="S192" s="82"/>
      <c r="T192" s="94" t="str">
        <f>IF(OR(D192="",S192=""),"",IF(D192="Buy",MROUND(S192*(1-Settings!$K$6),Settings!$K$10),MROUND(S192*(1+Settings!$K$6),Settings!$K$10)))</f>
        <v/>
      </c>
      <c r="U192" s="67"/>
      <c r="V192" s="109" t="str">
        <f t="shared" si="18"/>
        <v/>
      </c>
      <c r="W192" s="110"/>
      <c r="X192" s="109" t="str">
        <f t="shared" si="19"/>
        <v/>
      </c>
      <c r="Y192" s="109" t="str">
        <f t="shared" si="20"/>
        <v/>
      </c>
      <c r="Z192" s="82"/>
    </row>
    <row r="193" ht="20" customHeight="1" spans="1:26">
      <c r="A193" s="64">
        <v>180</v>
      </c>
      <c r="B193" s="65"/>
      <c r="C193" s="66"/>
      <c r="D193" s="67"/>
      <c r="E193" s="82"/>
      <c r="F193" s="82"/>
      <c r="G193" s="82"/>
      <c r="H193" s="82"/>
      <c r="I193" s="93" t="str">
        <f t="shared" si="14"/>
        <v/>
      </c>
      <c r="J193" s="82"/>
      <c r="K193" s="94" t="str">
        <f>IF(OR(D193="",E193=""),"",IF(J193="",G193,IF(D193="Buy",MROUND(MAX(E193*(1-Settings!$K$8),J193*(1-Settings!$K$6)),Settings!$K$10),MROUND(MIN(E193*(1+Settings!$K$8),J193*(1+Settings!$K$6)),Settings!$K$10))))</f>
        <v/>
      </c>
      <c r="L193" s="95" t="str">
        <f t="shared" si="15"/>
        <v/>
      </c>
      <c r="M193" s="82"/>
      <c r="N193" s="94" t="str">
        <f>IF(OR(D193="",E193=""),"",IF(M193="",H193,IF(D193="Buy",MROUND(MAX(E193*(1-Settings!$K$8),M193*(1-Settings!$K$6)),Settings!$K$10),MROUND(MIN(E193*(1+Settings!$K$8),M193*(1+Settings!$K$6)),Settings!$K$10))))</f>
        <v/>
      </c>
      <c r="O193" s="95" t="str">
        <f t="shared" si="16"/>
        <v/>
      </c>
      <c r="P193" s="82"/>
      <c r="Q193" s="94" t="str">
        <f>IF(OR(D193="",P193=""),"",IF(D193="Buy",MROUND(P193*(1-Settings!$K$6),Settings!$K$10),MROUND(P193*(1+Settings!$K$6),Settings!$K$10)))</f>
        <v/>
      </c>
      <c r="R193" s="95" t="str">
        <f t="shared" si="17"/>
        <v/>
      </c>
      <c r="S193" s="82"/>
      <c r="T193" s="94" t="str">
        <f>IF(OR(D193="",S193=""),"",IF(D193="Buy",MROUND(S193*(1-Settings!$K$6),Settings!$K$10),MROUND(S193*(1+Settings!$K$6),Settings!$K$10)))</f>
        <v/>
      </c>
      <c r="U193" s="67"/>
      <c r="V193" s="109" t="str">
        <f t="shared" si="18"/>
        <v/>
      </c>
      <c r="W193" s="110"/>
      <c r="X193" s="109" t="str">
        <f t="shared" si="19"/>
        <v/>
      </c>
      <c r="Y193" s="109" t="str">
        <f t="shared" si="20"/>
        <v/>
      </c>
      <c r="Z193" s="82"/>
    </row>
    <row r="194" ht="20" customHeight="1" spans="1:26">
      <c r="A194" s="64">
        <v>181</v>
      </c>
      <c r="B194" s="65"/>
      <c r="C194" s="66"/>
      <c r="D194" s="67"/>
      <c r="E194" s="82"/>
      <c r="F194" s="82"/>
      <c r="G194" s="82"/>
      <c r="H194" s="82"/>
      <c r="I194" s="93" t="str">
        <f t="shared" si="14"/>
        <v/>
      </c>
      <c r="J194" s="82"/>
      <c r="K194" s="94" t="str">
        <f>IF(OR(D194="",E194=""),"",IF(J194="",G194,IF(D194="Buy",MROUND(MAX(E194*(1-Settings!$K$8),J194*(1-Settings!$K$6)),Settings!$K$10),MROUND(MIN(E194*(1+Settings!$K$8),J194*(1+Settings!$K$6)),Settings!$K$10))))</f>
        <v/>
      </c>
      <c r="L194" s="95" t="str">
        <f t="shared" si="15"/>
        <v/>
      </c>
      <c r="M194" s="82"/>
      <c r="N194" s="94" t="str">
        <f>IF(OR(D194="",E194=""),"",IF(M194="",H194,IF(D194="Buy",MROUND(MAX(E194*(1-Settings!$K$8),M194*(1-Settings!$K$6)),Settings!$K$10),MROUND(MIN(E194*(1+Settings!$K$8),M194*(1+Settings!$K$6)),Settings!$K$10))))</f>
        <v/>
      </c>
      <c r="O194" s="95" t="str">
        <f t="shared" si="16"/>
        <v/>
      </c>
      <c r="P194" s="82"/>
      <c r="Q194" s="94" t="str">
        <f>IF(OR(D194="",P194=""),"",IF(D194="Buy",MROUND(P194*(1-Settings!$K$6),Settings!$K$10),MROUND(P194*(1+Settings!$K$6),Settings!$K$10)))</f>
        <v/>
      </c>
      <c r="R194" s="95" t="str">
        <f t="shared" si="17"/>
        <v/>
      </c>
      <c r="S194" s="82"/>
      <c r="T194" s="94" t="str">
        <f>IF(OR(D194="",S194=""),"",IF(D194="Buy",MROUND(S194*(1-Settings!$K$6),Settings!$K$10),MROUND(S194*(1+Settings!$K$6),Settings!$K$10)))</f>
        <v/>
      </c>
      <c r="U194" s="67"/>
      <c r="V194" s="109" t="str">
        <f t="shared" si="18"/>
        <v/>
      </c>
      <c r="W194" s="110"/>
      <c r="X194" s="109" t="str">
        <f t="shared" si="19"/>
        <v/>
      </c>
      <c r="Y194" s="109" t="str">
        <f t="shared" si="20"/>
        <v/>
      </c>
      <c r="Z194" s="82"/>
    </row>
    <row r="195" ht="20" customHeight="1" spans="1:26">
      <c r="A195" s="64">
        <v>182</v>
      </c>
      <c r="B195" s="65"/>
      <c r="C195" s="66"/>
      <c r="D195" s="67"/>
      <c r="E195" s="82"/>
      <c r="F195" s="82"/>
      <c r="G195" s="82"/>
      <c r="H195" s="82"/>
      <c r="I195" s="93" t="str">
        <f t="shared" si="14"/>
        <v/>
      </c>
      <c r="J195" s="82"/>
      <c r="K195" s="94" t="str">
        <f>IF(OR(D195="",E195=""),"",IF(J195="",G195,IF(D195="Buy",MROUND(MAX(E195*(1-Settings!$K$8),J195*(1-Settings!$K$6)),Settings!$K$10),MROUND(MIN(E195*(1+Settings!$K$8),J195*(1+Settings!$K$6)),Settings!$K$10))))</f>
        <v/>
      </c>
      <c r="L195" s="95" t="str">
        <f t="shared" si="15"/>
        <v/>
      </c>
      <c r="M195" s="82"/>
      <c r="N195" s="94" t="str">
        <f>IF(OR(D195="",E195=""),"",IF(M195="",H195,IF(D195="Buy",MROUND(MAX(E195*(1-Settings!$K$8),M195*(1-Settings!$K$6)),Settings!$K$10),MROUND(MIN(E195*(1+Settings!$K$8),M195*(1+Settings!$K$6)),Settings!$K$10))))</f>
        <v/>
      </c>
      <c r="O195" s="95" t="str">
        <f t="shared" si="16"/>
        <v/>
      </c>
      <c r="P195" s="82"/>
      <c r="Q195" s="94" t="str">
        <f>IF(OR(D195="",P195=""),"",IF(D195="Buy",MROUND(P195*(1-Settings!$K$6),Settings!$K$10),MROUND(P195*(1+Settings!$K$6),Settings!$K$10)))</f>
        <v/>
      </c>
      <c r="R195" s="95" t="str">
        <f t="shared" si="17"/>
        <v/>
      </c>
      <c r="S195" s="82"/>
      <c r="T195" s="94" t="str">
        <f>IF(OR(D195="",S195=""),"",IF(D195="Buy",MROUND(S195*(1-Settings!$K$6),Settings!$K$10),MROUND(S195*(1+Settings!$K$6),Settings!$K$10)))</f>
        <v/>
      </c>
      <c r="U195" s="67"/>
      <c r="V195" s="109" t="str">
        <f t="shared" si="18"/>
        <v/>
      </c>
      <c r="W195" s="110"/>
      <c r="X195" s="109" t="str">
        <f t="shared" si="19"/>
        <v/>
      </c>
      <c r="Y195" s="109" t="str">
        <f t="shared" si="20"/>
        <v/>
      </c>
      <c r="Z195" s="82"/>
    </row>
    <row r="196" ht="20" customHeight="1" spans="1:26">
      <c r="A196" s="64">
        <v>183</v>
      </c>
      <c r="B196" s="65"/>
      <c r="C196" s="66"/>
      <c r="D196" s="67"/>
      <c r="E196" s="82"/>
      <c r="F196" s="82"/>
      <c r="G196" s="82"/>
      <c r="H196" s="82"/>
      <c r="I196" s="93" t="str">
        <f t="shared" si="14"/>
        <v/>
      </c>
      <c r="J196" s="82"/>
      <c r="K196" s="94" t="str">
        <f>IF(OR(D196="",E196=""),"",IF(J196="",G196,IF(D196="Buy",MROUND(MAX(E196*(1-Settings!$K$8),J196*(1-Settings!$K$6)),Settings!$K$10),MROUND(MIN(E196*(1+Settings!$K$8),J196*(1+Settings!$K$6)),Settings!$K$10))))</f>
        <v/>
      </c>
      <c r="L196" s="95" t="str">
        <f t="shared" si="15"/>
        <v/>
      </c>
      <c r="M196" s="82"/>
      <c r="N196" s="94" t="str">
        <f>IF(OR(D196="",E196=""),"",IF(M196="",H196,IF(D196="Buy",MROUND(MAX(E196*(1-Settings!$K$8),M196*(1-Settings!$K$6)),Settings!$K$10),MROUND(MIN(E196*(1+Settings!$K$8),M196*(1+Settings!$K$6)),Settings!$K$10))))</f>
        <v/>
      </c>
      <c r="O196" s="95" t="str">
        <f t="shared" si="16"/>
        <v/>
      </c>
      <c r="P196" s="82"/>
      <c r="Q196" s="94" t="str">
        <f>IF(OR(D196="",P196=""),"",IF(D196="Buy",MROUND(P196*(1-Settings!$K$6),Settings!$K$10),MROUND(P196*(1+Settings!$K$6),Settings!$K$10)))</f>
        <v/>
      </c>
      <c r="R196" s="95" t="str">
        <f t="shared" si="17"/>
        <v/>
      </c>
      <c r="S196" s="82"/>
      <c r="T196" s="94" t="str">
        <f>IF(OR(D196="",S196=""),"",IF(D196="Buy",MROUND(S196*(1-Settings!$K$6),Settings!$K$10),MROUND(S196*(1+Settings!$K$6),Settings!$K$10)))</f>
        <v/>
      </c>
      <c r="U196" s="67"/>
      <c r="V196" s="109" t="str">
        <f t="shared" si="18"/>
        <v/>
      </c>
      <c r="W196" s="110"/>
      <c r="X196" s="109" t="str">
        <f t="shared" si="19"/>
        <v/>
      </c>
      <c r="Y196" s="109" t="str">
        <f t="shared" si="20"/>
        <v/>
      </c>
      <c r="Z196" s="82"/>
    </row>
    <row r="197" ht="20" customHeight="1" spans="1:26">
      <c r="A197" s="64">
        <v>184</v>
      </c>
      <c r="B197" s="65"/>
      <c r="C197" s="66"/>
      <c r="D197" s="67"/>
      <c r="E197" s="82"/>
      <c r="F197" s="82"/>
      <c r="G197" s="82"/>
      <c r="H197" s="82"/>
      <c r="I197" s="93" t="str">
        <f t="shared" si="14"/>
        <v/>
      </c>
      <c r="J197" s="82"/>
      <c r="K197" s="94" t="str">
        <f>IF(OR(D197="",E197=""),"",IF(J197="",G197,IF(D197="Buy",MROUND(MAX(E197*(1-Settings!$K$8),J197*(1-Settings!$K$6)),Settings!$K$10),MROUND(MIN(E197*(1+Settings!$K$8),J197*(1+Settings!$K$6)),Settings!$K$10))))</f>
        <v/>
      </c>
      <c r="L197" s="95" t="str">
        <f t="shared" si="15"/>
        <v/>
      </c>
      <c r="M197" s="82"/>
      <c r="N197" s="94" t="str">
        <f>IF(OR(D197="",E197=""),"",IF(M197="",H197,IF(D197="Buy",MROUND(MAX(E197*(1-Settings!$K$8),M197*(1-Settings!$K$6)),Settings!$K$10),MROUND(MIN(E197*(1+Settings!$K$8),M197*(1+Settings!$K$6)),Settings!$K$10))))</f>
        <v/>
      </c>
      <c r="O197" s="95" t="str">
        <f t="shared" si="16"/>
        <v/>
      </c>
      <c r="P197" s="82"/>
      <c r="Q197" s="94" t="str">
        <f>IF(OR(D197="",P197=""),"",IF(D197="Buy",MROUND(P197*(1-Settings!$K$6),Settings!$K$10),MROUND(P197*(1+Settings!$K$6),Settings!$K$10)))</f>
        <v/>
      </c>
      <c r="R197" s="95" t="str">
        <f t="shared" si="17"/>
        <v/>
      </c>
      <c r="S197" s="82"/>
      <c r="T197" s="94" t="str">
        <f>IF(OR(D197="",S197=""),"",IF(D197="Buy",MROUND(S197*(1-Settings!$K$6),Settings!$K$10),MROUND(S197*(1+Settings!$K$6),Settings!$K$10)))</f>
        <v/>
      </c>
      <c r="U197" s="67"/>
      <c r="V197" s="109" t="str">
        <f t="shared" si="18"/>
        <v/>
      </c>
      <c r="W197" s="110"/>
      <c r="X197" s="109" t="str">
        <f t="shared" si="19"/>
        <v/>
      </c>
      <c r="Y197" s="109" t="str">
        <f t="shared" si="20"/>
        <v/>
      </c>
      <c r="Z197" s="82"/>
    </row>
    <row r="198" ht="20" customHeight="1" spans="1:26">
      <c r="A198" s="64">
        <v>185</v>
      </c>
      <c r="B198" s="65"/>
      <c r="C198" s="66"/>
      <c r="D198" s="67"/>
      <c r="E198" s="82"/>
      <c r="F198" s="82"/>
      <c r="G198" s="82"/>
      <c r="H198" s="82"/>
      <c r="I198" s="93" t="str">
        <f t="shared" si="14"/>
        <v/>
      </c>
      <c r="J198" s="82"/>
      <c r="K198" s="94" t="str">
        <f>IF(OR(D198="",E198=""),"",IF(J198="",G198,IF(D198="Buy",MROUND(MAX(E198*(1-Settings!$K$8),J198*(1-Settings!$K$6)),Settings!$K$10),MROUND(MIN(E198*(1+Settings!$K$8),J198*(1+Settings!$K$6)),Settings!$K$10))))</f>
        <v/>
      </c>
      <c r="L198" s="95" t="str">
        <f t="shared" si="15"/>
        <v/>
      </c>
      <c r="M198" s="82"/>
      <c r="N198" s="94" t="str">
        <f>IF(OR(D198="",E198=""),"",IF(M198="",H198,IF(D198="Buy",MROUND(MAX(E198*(1-Settings!$K$8),M198*(1-Settings!$K$6)),Settings!$K$10),MROUND(MIN(E198*(1+Settings!$K$8),M198*(1+Settings!$K$6)),Settings!$K$10))))</f>
        <v/>
      </c>
      <c r="O198" s="95" t="str">
        <f t="shared" si="16"/>
        <v/>
      </c>
      <c r="P198" s="82"/>
      <c r="Q198" s="94" t="str">
        <f>IF(OR(D198="",P198=""),"",IF(D198="Buy",MROUND(P198*(1-Settings!$K$6),Settings!$K$10),MROUND(P198*(1+Settings!$K$6),Settings!$K$10)))</f>
        <v/>
      </c>
      <c r="R198" s="95" t="str">
        <f t="shared" si="17"/>
        <v/>
      </c>
      <c r="S198" s="82"/>
      <c r="T198" s="94" t="str">
        <f>IF(OR(D198="",S198=""),"",IF(D198="Buy",MROUND(S198*(1-Settings!$K$6),Settings!$K$10),MROUND(S198*(1+Settings!$K$6),Settings!$K$10)))</f>
        <v/>
      </c>
      <c r="U198" s="67"/>
      <c r="V198" s="109" t="str">
        <f t="shared" si="18"/>
        <v/>
      </c>
      <c r="W198" s="110"/>
      <c r="X198" s="109" t="str">
        <f t="shared" si="19"/>
        <v/>
      </c>
      <c r="Y198" s="109" t="str">
        <f t="shared" si="20"/>
        <v/>
      </c>
      <c r="Z198" s="82"/>
    </row>
    <row r="199" ht="20" customHeight="1" spans="1:26">
      <c r="A199" s="64">
        <v>186</v>
      </c>
      <c r="B199" s="65"/>
      <c r="C199" s="66"/>
      <c r="D199" s="67"/>
      <c r="E199" s="82"/>
      <c r="F199" s="82"/>
      <c r="G199" s="82"/>
      <c r="H199" s="82"/>
      <c r="I199" s="93" t="str">
        <f t="shared" si="14"/>
        <v/>
      </c>
      <c r="J199" s="82"/>
      <c r="K199" s="94" t="str">
        <f>IF(OR(D199="",E199=""),"",IF(J199="",G199,IF(D199="Buy",MROUND(MAX(E199*(1-Settings!$K$8),J199*(1-Settings!$K$6)),Settings!$K$10),MROUND(MIN(E199*(1+Settings!$K$8),J199*(1+Settings!$K$6)),Settings!$K$10))))</f>
        <v/>
      </c>
      <c r="L199" s="95" t="str">
        <f t="shared" si="15"/>
        <v/>
      </c>
      <c r="M199" s="82"/>
      <c r="N199" s="94" t="str">
        <f>IF(OR(D199="",E199=""),"",IF(M199="",H199,IF(D199="Buy",MROUND(MAX(E199*(1-Settings!$K$8),M199*(1-Settings!$K$6)),Settings!$K$10),MROUND(MIN(E199*(1+Settings!$K$8),M199*(1+Settings!$K$6)),Settings!$K$10))))</f>
        <v/>
      </c>
      <c r="O199" s="95" t="str">
        <f t="shared" si="16"/>
        <v/>
      </c>
      <c r="P199" s="82"/>
      <c r="Q199" s="94" t="str">
        <f>IF(OR(D199="",P199=""),"",IF(D199="Buy",MROUND(P199*(1-Settings!$K$6),Settings!$K$10),MROUND(P199*(1+Settings!$K$6),Settings!$K$10)))</f>
        <v/>
      </c>
      <c r="R199" s="95" t="str">
        <f t="shared" si="17"/>
        <v/>
      </c>
      <c r="S199" s="82"/>
      <c r="T199" s="94" t="str">
        <f>IF(OR(D199="",S199=""),"",IF(D199="Buy",MROUND(S199*(1-Settings!$K$6),Settings!$K$10),MROUND(S199*(1+Settings!$K$6),Settings!$K$10)))</f>
        <v/>
      </c>
      <c r="U199" s="67"/>
      <c r="V199" s="109" t="str">
        <f t="shared" si="18"/>
        <v/>
      </c>
      <c r="W199" s="110"/>
      <c r="X199" s="109" t="str">
        <f t="shared" si="19"/>
        <v/>
      </c>
      <c r="Y199" s="109" t="str">
        <f t="shared" si="20"/>
        <v/>
      </c>
      <c r="Z199" s="82"/>
    </row>
    <row r="200" ht="20" customHeight="1" spans="1:26">
      <c r="A200" s="64">
        <v>187</v>
      </c>
      <c r="B200" s="65"/>
      <c r="C200" s="66"/>
      <c r="D200" s="67"/>
      <c r="E200" s="82"/>
      <c r="F200" s="82"/>
      <c r="G200" s="82"/>
      <c r="H200" s="82"/>
      <c r="I200" s="93" t="str">
        <f t="shared" si="14"/>
        <v/>
      </c>
      <c r="J200" s="82"/>
      <c r="K200" s="94" t="str">
        <f>IF(OR(D200="",E200=""),"",IF(J200="",G200,IF(D200="Buy",MROUND(MAX(E200*(1-Settings!$K$8),J200*(1-Settings!$K$6)),Settings!$K$10),MROUND(MIN(E200*(1+Settings!$K$8),J200*(1+Settings!$K$6)),Settings!$K$10))))</f>
        <v/>
      </c>
      <c r="L200" s="95" t="str">
        <f t="shared" si="15"/>
        <v/>
      </c>
      <c r="M200" s="82"/>
      <c r="N200" s="94" t="str">
        <f>IF(OR(D200="",E200=""),"",IF(M200="",H200,IF(D200="Buy",MROUND(MAX(E200*(1-Settings!$K$8),M200*(1-Settings!$K$6)),Settings!$K$10),MROUND(MIN(E200*(1+Settings!$K$8),M200*(1+Settings!$K$6)),Settings!$K$10))))</f>
        <v/>
      </c>
      <c r="O200" s="95" t="str">
        <f t="shared" si="16"/>
        <v/>
      </c>
      <c r="P200" s="82"/>
      <c r="Q200" s="94" t="str">
        <f>IF(OR(D200="",P200=""),"",IF(D200="Buy",MROUND(P200*(1-Settings!$K$6),Settings!$K$10),MROUND(P200*(1+Settings!$K$6),Settings!$K$10)))</f>
        <v/>
      </c>
      <c r="R200" s="95" t="str">
        <f t="shared" si="17"/>
        <v/>
      </c>
      <c r="S200" s="82"/>
      <c r="T200" s="94" t="str">
        <f>IF(OR(D200="",S200=""),"",IF(D200="Buy",MROUND(S200*(1-Settings!$K$6),Settings!$K$10),MROUND(S200*(1+Settings!$K$6),Settings!$K$10)))</f>
        <v/>
      </c>
      <c r="U200" s="67"/>
      <c r="V200" s="109" t="str">
        <f t="shared" si="18"/>
        <v/>
      </c>
      <c r="W200" s="110"/>
      <c r="X200" s="109" t="str">
        <f t="shared" si="19"/>
        <v/>
      </c>
      <c r="Y200" s="109" t="str">
        <f t="shared" si="20"/>
        <v/>
      </c>
      <c r="Z200" s="82"/>
    </row>
    <row r="201" ht="20" customHeight="1" spans="1:26">
      <c r="A201" s="64">
        <v>188</v>
      </c>
      <c r="B201" s="65"/>
      <c r="C201" s="66"/>
      <c r="D201" s="67"/>
      <c r="E201" s="82"/>
      <c r="F201" s="82"/>
      <c r="G201" s="82"/>
      <c r="H201" s="82"/>
      <c r="I201" s="93" t="str">
        <f t="shared" si="14"/>
        <v/>
      </c>
      <c r="J201" s="82"/>
      <c r="K201" s="94" t="str">
        <f>IF(OR(D201="",E201=""),"",IF(J201="",G201,IF(D201="Buy",MROUND(MAX(E201*(1-Settings!$K$8),J201*(1-Settings!$K$6)),Settings!$K$10),MROUND(MIN(E201*(1+Settings!$K$8),J201*(1+Settings!$K$6)),Settings!$K$10))))</f>
        <v/>
      </c>
      <c r="L201" s="95" t="str">
        <f t="shared" si="15"/>
        <v/>
      </c>
      <c r="M201" s="82"/>
      <c r="N201" s="94" t="str">
        <f>IF(OR(D201="",E201=""),"",IF(M201="",H201,IF(D201="Buy",MROUND(MAX(E201*(1-Settings!$K$8),M201*(1-Settings!$K$6)),Settings!$K$10),MROUND(MIN(E201*(1+Settings!$K$8),M201*(1+Settings!$K$6)),Settings!$K$10))))</f>
        <v/>
      </c>
      <c r="O201" s="95" t="str">
        <f t="shared" si="16"/>
        <v/>
      </c>
      <c r="P201" s="82"/>
      <c r="Q201" s="94" t="str">
        <f>IF(OR(D201="",P201=""),"",IF(D201="Buy",MROUND(P201*(1-Settings!$K$6),Settings!$K$10),MROUND(P201*(1+Settings!$K$6),Settings!$K$10)))</f>
        <v/>
      </c>
      <c r="R201" s="95" t="str">
        <f t="shared" si="17"/>
        <v/>
      </c>
      <c r="S201" s="82"/>
      <c r="T201" s="94" t="str">
        <f>IF(OR(D201="",S201=""),"",IF(D201="Buy",MROUND(S201*(1-Settings!$K$6),Settings!$K$10),MROUND(S201*(1+Settings!$K$6),Settings!$K$10)))</f>
        <v/>
      </c>
      <c r="U201" s="67"/>
      <c r="V201" s="109" t="str">
        <f t="shared" si="18"/>
        <v/>
      </c>
      <c r="W201" s="110"/>
      <c r="X201" s="109" t="str">
        <f t="shared" si="19"/>
        <v/>
      </c>
      <c r="Y201" s="109" t="str">
        <f t="shared" si="20"/>
        <v/>
      </c>
      <c r="Z201" s="82"/>
    </row>
    <row r="202" ht="20" customHeight="1" spans="1:26">
      <c r="A202" s="64">
        <v>189</v>
      </c>
      <c r="B202" s="65"/>
      <c r="C202" s="66"/>
      <c r="D202" s="67"/>
      <c r="E202" s="82"/>
      <c r="F202" s="82"/>
      <c r="G202" s="82"/>
      <c r="H202" s="82"/>
      <c r="I202" s="93" t="str">
        <f t="shared" si="14"/>
        <v/>
      </c>
      <c r="J202" s="82"/>
      <c r="K202" s="94" t="str">
        <f>IF(OR(D202="",E202=""),"",IF(J202="",G202,IF(D202="Buy",MROUND(MAX(E202*(1-Settings!$K$8),J202*(1-Settings!$K$6)),Settings!$K$10),MROUND(MIN(E202*(1+Settings!$K$8),J202*(1+Settings!$K$6)),Settings!$K$10))))</f>
        <v/>
      </c>
      <c r="L202" s="95" t="str">
        <f t="shared" si="15"/>
        <v/>
      </c>
      <c r="M202" s="82"/>
      <c r="N202" s="94" t="str">
        <f>IF(OR(D202="",E202=""),"",IF(M202="",H202,IF(D202="Buy",MROUND(MAX(E202*(1-Settings!$K$8),M202*(1-Settings!$K$6)),Settings!$K$10),MROUND(MIN(E202*(1+Settings!$K$8),M202*(1+Settings!$K$6)),Settings!$K$10))))</f>
        <v/>
      </c>
      <c r="O202" s="95" t="str">
        <f t="shared" si="16"/>
        <v/>
      </c>
      <c r="P202" s="82"/>
      <c r="Q202" s="94" t="str">
        <f>IF(OR(D202="",P202=""),"",IF(D202="Buy",MROUND(P202*(1-Settings!$K$6),Settings!$K$10),MROUND(P202*(1+Settings!$K$6),Settings!$K$10)))</f>
        <v/>
      </c>
      <c r="R202" s="95" t="str">
        <f t="shared" si="17"/>
        <v/>
      </c>
      <c r="S202" s="82"/>
      <c r="T202" s="94" t="str">
        <f>IF(OR(D202="",S202=""),"",IF(D202="Buy",MROUND(S202*(1-Settings!$K$6),Settings!$K$10),MROUND(S202*(1+Settings!$K$6),Settings!$K$10)))</f>
        <v/>
      </c>
      <c r="U202" s="67"/>
      <c r="V202" s="109" t="str">
        <f t="shared" si="18"/>
        <v/>
      </c>
      <c r="W202" s="110"/>
      <c r="X202" s="109" t="str">
        <f t="shared" si="19"/>
        <v/>
      </c>
      <c r="Y202" s="109" t="str">
        <f t="shared" si="20"/>
        <v/>
      </c>
      <c r="Z202" s="82"/>
    </row>
    <row r="203" ht="20" customHeight="1" spans="1:26">
      <c r="A203" s="64">
        <v>190</v>
      </c>
      <c r="B203" s="65"/>
      <c r="C203" s="66"/>
      <c r="D203" s="67"/>
      <c r="E203" s="82"/>
      <c r="F203" s="82"/>
      <c r="G203" s="82"/>
      <c r="H203" s="82"/>
      <c r="I203" s="93" t="str">
        <f t="shared" si="14"/>
        <v/>
      </c>
      <c r="J203" s="82"/>
      <c r="K203" s="94" t="str">
        <f>IF(OR(D203="",E203=""),"",IF(J203="",G203,IF(D203="Buy",MROUND(MAX(E203*(1-Settings!$K$8),J203*(1-Settings!$K$6)),Settings!$K$10),MROUND(MIN(E203*(1+Settings!$K$8),J203*(1+Settings!$K$6)),Settings!$K$10))))</f>
        <v/>
      </c>
      <c r="L203" s="95" t="str">
        <f t="shared" si="15"/>
        <v/>
      </c>
      <c r="M203" s="82"/>
      <c r="N203" s="94" t="str">
        <f>IF(OR(D203="",E203=""),"",IF(M203="",H203,IF(D203="Buy",MROUND(MAX(E203*(1-Settings!$K$8),M203*(1-Settings!$K$6)),Settings!$K$10),MROUND(MIN(E203*(1+Settings!$K$8),M203*(1+Settings!$K$6)),Settings!$K$10))))</f>
        <v/>
      </c>
      <c r="O203" s="95" t="str">
        <f t="shared" si="16"/>
        <v/>
      </c>
      <c r="P203" s="82"/>
      <c r="Q203" s="94" t="str">
        <f>IF(OR(D203="",P203=""),"",IF(D203="Buy",MROUND(P203*(1-Settings!$K$6),Settings!$K$10),MROUND(P203*(1+Settings!$K$6),Settings!$K$10)))</f>
        <v/>
      </c>
      <c r="R203" s="95" t="str">
        <f t="shared" si="17"/>
        <v/>
      </c>
      <c r="S203" s="82"/>
      <c r="T203" s="94" t="str">
        <f>IF(OR(D203="",S203=""),"",IF(D203="Buy",MROUND(S203*(1-Settings!$K$6),Settings!$K$10),MROUND(S203*(1+Settings!$K$6),Settings!$K$10)))</f>
        <v/>
      </c>
      <c r="U203" s="67"/>
      <c r="V203" s="109" t="str">
        <f t="shared" si="18"/>
        <v/>
      </c>
      <c r="W203" s="110"/>
      <c r="X203" s="109" t="str">
        <f t="shared" si="19"/>
        <v/>
      </c>
      <c r="Y203" s="109" t="str">
        <f t="shared" si="20"/>
        <v/>
      </c>
      <c r="Z203" s="82"/>
    </row>
    <row r="204" ht="20" customHeight="1" spans="1:26">
      <c r="A204" s="64">
        <v>191</v>
      </c>
      <c r="B204" s="65"/>
      <c r="C204" s="66"/>
      <c r="D204" s="67"/>
      <c r="E204" s="82"/>
      <c r="F204" s="82"/>
      <c r="G204" s="82"/>
      <c r="H204" s="82"/>
      <c r="I204" s="93" t="str">
        <f t="shared" si="14"/>
        <v/>
      </c>
      <c r="J204" s="82"/>
      <c r="K204" s="94" t="str">
        <f>IF(OR(D204="",E204=""),"",IF(J204="",G204,IF(D204="Buy",MROUND(MAX(E204*(1-Settings!$K$8),J204*(1-Settings!$K$6)),Settings!$K$10),MROUND(MIN(E204*(1+Settings!$K$8),J204*(1+Settings!$K$6)),Settings!$K$10))))</f>
        <v/>
      </c>
      <c r="L204" s="95" t="str">
        <f t="shared" si="15"/>
        <v/>
      </c>
      <c r="M204" s="82"/>
      <c r="N204" s="94" t="str">
        <f>IF(OR(D204="",E204=""),"",IF(M204="",H204,IF(D204="Buy",MROUND(MAX(E204*(1-Settings!$K$8),M204*(1-Settings!$K$6)),Settings!$K$10),MROUND(MIN(E204*(1+Settings!$K$8),M204*(1+Settings!$K$6)),Settings!$K$10))))</f>
        <v/>
      </c>
      <c r="O204" s="95" t="str">
        <f t="shared" si="16"/>
        <v/>
      </c>
      <c r="P204" s="82"/>
      <c r="Q204" s="94" t="str">
        <f>IF(OR(D204="",P204=""),"",IF(D204="Buy",MROUND(P204*(1-Settings!$K$6),Settings!$K$10),MROUND(P204*(1+Settings!$K$6),Settings!$K$10)))</f>
        <v/>
      </c>
      <c r="R204" s="95" t="str">
        <f t="shared" si="17"/>
        <v/>
      </c>
      <c r="S204" s="82"/>
      <c r="T204" s="94" t="str">
        <f>IF(OR(D204="",S204=""),"",IF(D204="Buy",MROUND(S204*(1-Settings!$K$6),Settings!$K$10),MROUND(S204*(1+Settings!$K$6),Settings!$K$10)))</f>
        <v/>
      </c>
      <c r="U204" s="67"/>
      <c r="V204" s="109" t="str">
        <f t="shared" si="18"/>
        <v/>
      </c>
      <c r="W204" s="110"/>
      <c r="X204" s="109" t="str">
        <f t="shared" si="19"/>
        <v/>
      </c>
      <c r="Y204" s="109" t="str">
        <f t="shared" si="20"/>
        <v/>
      </c>
      <c r="Z204" s="82"/>
    </row>
    <row r="205" ht="20" customHeight="1" spans="1:26">
      <c r="A205" s="64">
        <v>192</v>
      </c>
      <c r="B205" s="65"/>
      <c r="C205" s="66"/>
      <c r="D205" s="67"/>
      <c r="E205" s="82"/>
      <c r="F205" s="82"/>
      <c r="G205" s="82"/>
      <c r="H205" s="82"/>
      <c r="I205" s="93" t="str">
        <f t="shared" si="14"/>
        <v/>
      </c>
      <c r="J205" s="82"/>
      <c r="K205" s="94" t="str">
        <f>IF(OR(D205="",E205=""),"",IF(J205="",G205,IF(D205="Buy",MROUND(MAX(E205*(1-Settings!$K$8),J205*(1-Settings!$K$6)),Settings!$K$10),MROUND(MIN(E205*(1+Settings!$K$8),J205*(1+Settings!$K$6)),Settings!$K$10))))</f>
        <v/>
      </c>
      <c r="L205" s="95" t="str">
        <f t="shared" si="15"/>
        <v/>
      </c>
      <c r="M205" s="82"/>
      <c r="N205" s="94" t="str">
        <f>IF(OR(D205="",E205=""),"",IF(M205="",H205,IF(D205="Buy",MROUND(MAX(E205*(1-Settings!$K$8),M205*(1-Settings!$K$6)),Settings!$K$10),MROUND(MIN(E205*(1+Settings!$K$8),M205*(1+Settings!$K$6)),Settings!$K$10))))</f>
        <v/>
      </c>
      <c r="O205" s="95" t="str">
        <f t="shared" si="16"/>
        <v/>
      </c>
      <c r="P205" s="82"/>
      <c r="Q205" s="94" t="str">
        <f>IF(OR(D205="",P205=""),"",IF(D205="Buy",MROUND(P205*(1-Settings!$K$6),Settings!$K$10),MROUND(P205*(1+Settings!$K$6),Settings!$K$10)))</f>
        <v/>
      </c>
      <c r="R205" s="95" t="str">
        <f t="shared" si="17"/>
        <v/>
      </c>
      <c r="S205" s="82"/>
      <c r="T205" s="94" t="str">
        <f>IF(OR(D205="",S205=""),"",IF(D205="Buy",MROUND(S205*(1-Settings!$K$6),Settings!$K$10),MROUND(S205*(1+Settings!$K$6),Settings!$K$10)))</f>
        <v/>
      </c>
      <c r="U205" s="67"/>
      <c r="V205" s="109" t="str">
        <f t="shared" si="18"/>
        <v/>
      </c>
      <c r="W205" s="110"/>
      <c r="X205" s="109" t="str">
        <f t="shared" si="19"/>
        <v/>
      </c>
      <c r="Y205" s="109" t="str">
        <f t="shared" si="20"/>
        <v/>
      </c>
      <c r="Z205" s="82"/>
    </row>
    <row r="206" ht="20" customHeight="1" spans="1:26">
      <c r="A206" s="64">
        <v>193</v>
      </c>
      <c r="B206" s="65"/>
      <c r="C206" s="66"/>
      <c r="D206" s="67"/>
      <c r="E206" s="82"/>
      <c r="F206" s="82"/>
      <c r="G206" s="82"/>
      <c r="H206" s="82"/>
      <c r="I206" s="93" t="str">
        <f t="shared" ref="I206:I213" si="21">IF(D206="Buy","Enter New 2DLL",IF(D206="Sell","Enter New 2DHH",""))</f>
        <v/>
      </c>
      <c r="J206" s="82"/>
      <c r="K206" s="94" t="str">
        <f>IF(OR(D206="",E206=""),"",IF(J206="",G206,IF(D206="Buy",MROUND(MAX(E206*(1-Settings!$K$8),J206*(1-Settings!$K$6)),Settings!$K$10),MROUND(MIN(E206*(1+Settings!$K$8),J206*(1+Settings!$K$6)),Settings!$K$10))))</f>
        <v/>
      </c>
      <c r="L206" s="95" t="str">
        <f t="shared" ref="L206:L213" si="22">IF(D206="Buy","Enter New 4DLL",IF(D206="Sell","Enter New 4DHH",""))</f>
        <v/>
      </c>
      <c r="M206" s="82"/>
      <c r="N206" s="94" t="str">
        <f>IF(OR(D206="",E206=""),"",IF(M206="",H206,IF(D206="Buy",MROUND(MAX(E206*(1-Settings!$K$8),M206*(1-Settings!$K$6)),Settings!$K$10),MROUND(MIN(E206*(1+Settings!$K$8),M206*(1+Settings!$K$6)),Settings!$K$10))))</f>
        <v/>
      </c>
      <c r="O206" s="95" t="str">
        <f t="shared" ref="O206:O213" si="23">IF(D206="Buy","Enter First 15-Minute Low",IF(D206="Sell","Enter First 15-Minute High",""))</f>
        <v/>
      </c>
      <c r="P206" s="82"/>
      <c r="Q206" s="94" t="str">
        <f>IF(OR(D206="",P206=""),"",IF(D206="Buy",MROUND(P206*(1-Settings!$K$6),Settings!$K$10),MROUND(P206*(1+Settings!$K$6),Settings!$K$10)))</f>
        <v/>
      </c>
      <c r="R206" s="95" t="str">
        <f t="shared" ref="R206:R213" si="24">IF(D206="Buy","Enter First 15-Minute Low",IF(D206="Sell","Enter First 15-Minute High",""))</f>
        <v/>
      </c>
      <c r="S206" s="82"/>
      <c r="T206" s="94" t="str">
        <f>IF(OR(D206="",S206=""),"",IF(D206="Buy",MROUND(S206*(1-Settings!$K$6),Settings!$K$10),MROUND(S206*(1+Settings!$K$6),Settings!$K$10)))</f>
        <v/>
      </c>
      <c r="U206" s="67"/>
      <c r="V206" s="109" t="str">
        <f t="shared" ref="V206:V213" si="25">IF(OR(D206="",E206="",U206="",$C$8="",$C$9=""),"",IF(U206="Target Hit",IF(F206="","",IF(D206="Buy",(F206-E206)*($C$8/2)*$C$9,(E206-F206)*($C$8/2)*$C$9)),IF(U206="Rollover",IF(Z206="","",IF(D206="Buy",(Z206-E206)*$C$8*$C$9,(E206-Z206)*$C$8*$C$9)),IF(U206="Stoploss 1 Hit",IF(K206="","",IF(D206="Buy",(K206-E206)*$C$8*$C$9,(E206-K206)*$C$8*$C$9)),IF(OR(AND(D206="Buy",U206="Gap Down Stoploss 1 Hit"),AND(D206="Sell",U206="Gap Up Stoploss 1 Hit")),IF(Q206="","",IF(D206="Buy",(Q206-E206)*$C$8*$C$9,(E206-Q206)*$C$8*$C$9)),"")))))</f>
        <v/>
      </c>
      <c r="W206" s="110"/>
      <c r="X206" s="109" t="str">
        <f t="shared" ref="X206:X213" si="26">IF(OR(D206="",E206="",U206&lt;&gt;"Target Hit",W206="",$C$8="",$C$9=""),"",IF(W206="Stoploss 2 Hit",IF(N206="","",IF(D206="Buy",(N206-E206)*($C$8/2)*$C$9,(E206-N206)*($C$8/2)*$C$9)),IF(W206="Rollover",IF(Z206="","",IF(D206="Buy",(Z206-E206)*($C$8/2)*$C$9,(E206-Z206)*($C$8/2)*$C$9)),IF(OR(AND(D206="Buy",W206="Gap Down Stoploss 2 Hit"),AND(D206="Sell",W206="Gap Up Stoploss 2 Hit")),IF(T206="","",IF(D206="Buy",(T206-E206)*($C$8/2)*$C$9,(E206-T206)*($C$8/2)*$C$9)),""))))</f>
        <v/>
      </c>
      <c r="Y206" s="109" t="str">
        <f t="shared" ref="Y206:Y213" si="27">IF(AND(V206="",X206=""),"",SUM(V206,X206))</f>
        <v/>
      </c>
      <c r="Z206" s="82"/>
    </row>
    <row r="207" ht="20" customHeight="1" spans="1:26">
      <c r="A207" s="64">
        <v>194</v>
      </c>
      <c r="B207" s="65"/>
      <c r="C207" s="66"/>
      <c r="D207" s="67"/>
      <c r="E207" s="82"/>
      <c r="F207" s="82"/>
      <c r="G207" s="82"/>
      <c r="H207" s="82"/>
      <c r="I207" s="93" t="str">
        <f t="shared" si="21"/>
        <v/>
      </c>
      <c r="J207" s="82"/>
      <c r="K207" s="94" t="str">
        <f>IF(OR(D207="",E207=""),"",IF(J207="",G207,IF(D207="Buy",MROUND(MAX(E207*(1-Settings!$K$8),J207*(1-Settings!$K$6)),Settings!$K$10),MROUND(MIN(E207*(1+Settings!$K$8),J207*(1+Settings!$K$6)),Settings!$K$10))))</f>
        <v/>
      </c>
      <c r="L207" s="95" t="str">
        <f t="shared" si="22"/>
        <v/>
      </c>
      <c r="M207" s="82"/>
      <c r="N207" s="94" t="str">
        <f>IF(OR(D207="",E207=""),"",IF(M207="",H207,IF(D207="Buy",MROUND(MAX(E207*(1-Settings!$K$8),M207*(1-Settings!$K$6)),Settings!$K$10),MROUND(MIN(E207*(1+Settings!$K$8),M207*(1+Settings!$K$6)),Settings!$K$10))))</f>
        <v/>
      </c>
      <c r="O207" s="95" t="str">
        <f t="shared" si="23"/>
        <v/>
      </c>
      <c r="P207" s="82"/>
      <c r="Q207" s="94" t="str">
        <f>IF(OR(D207="",P207=""),"",IF(D207="Buy",MROUND(P207*(1-Settings!$K$6),Settings!$K$10),MROUND(P207*(1+Settings!$K$6),Settings!$K$10)))</f>
        <v/>
      </c>
      <c r="R207" s="95" t="str">
        <f t="shared" si="24"/>
        <v/>
      </c>
      <c r="S207" s="82"/>
      <c r="T207" s="94" t="str">
        <f>IF(OR(D207="",S207=""),"",IF(D207="Buy",MROUND(S207*(1-Settings!$K$6),Settings!$K$10),MROUND(S207*(1+Settings!$K$6),Settings!$K$10)))</f>
        <v/>
      </c>
      <c r="U207" s="67"/>
      <c r="V207" s="109" t="str">
        <f t="shared" si="25"/>
        <v/>
      </c>
      <c r="W207" s="110"/>
      <c r="X207" s="109" t="str">
        <f t="shared" si="26"/>
        <v/>
      </c>
      <c r="Y207" s="109" t="str">
        <f t="shared" si="27"/>
        <v/>
      </c>
      <c r="Z207" s="82"/>
    </row>
    <row r="208" ht="20" customHeight="1" spans="1:26">
      <c r="A208" s="64">
        <v>195</v>
      </c>
      <c r="B208" s="65"/>
      <c r="C208" s="66"/>
      <c r="D208" s="67"/>
      <c r="E208" s="82"/>
      <c r="F208" s="82"/>
      <c r="G208" s="82"/>
      <c r="H208" s="82"/>
      <c r="I208" s="93" t="str">
        <f t="shared" si="21"/>
        <v/>
      </c>
      <c r="J208" s="82"/>
      <c r="K208" s="94" t="str">
        <f>IF(OR(D208="",E208=""),"",IF(J208="",G208,IF(D208="Buy",MROUND(MAX(E208*(1-Settings!$K$8),J208*(1-Settings!$K$6)),Settings!$K$10),MROUND(MIN(E208*(1+Settings!$K$8),J208*(1+Settings!$K$6)),Settings!$K$10))))</f>
        <v/>
      </c>
      <c r="L208" s="95" t="str">
        <f t="shared" si="22"/>
        <v/>
      </c>
      <c r="M208" s="82"/>
      <c r="N208" s="94" t="str">
        <f>IF(OR(D208="",E208=""),"",IF(M208="",H208,IF(D208="Buy",MROUND(MAX(E208*(1-Settings!$K$8),M208*(1-Settings!$K$6)),Settings!$K$10),MROUND(MIN(E208*(1+Settings!$K$8),M208*(1+Settings!$K$6)),Settings!$K$10))))</f>
        <v/>
      </c>
      <c r="O208" s="95" t="str">
        <f t="shared" si="23"/>
        <v/>
      </c>
      <c r="P208" s="82"/>
      <c r="Q208" s="94" t="str">
        <f>IF(OR(D208="",P208=""),"",IF(D208="Buy",MROUND(P208*(1-Settings!$K$6),Settings!$K$10),MROUND(P208*(1+Settings!$K$6),Settings!$K$10)))</f>
        <v/>
      </c>
      <c r="R208" s="95" t="str">
        <f t="shared" si="24"/>
        <v/>
      </c>
      <c r="S208" s="82"/>
      <c r="T208" s="94" t="str">
        <f>IF(OR(D208="",S208=""),"",IF(D208="Buy",MROUND(S208*(1-Settings!$K$6),Settings!$K$10),MROUND(S208*(1+Settings!$K$6),Settings!$K$10)))</f>
        <v/>
      </c>
      <c r="U208" s="67"/>
      <c r="V208" s="109" t="str">
        <f t="shared" si="25"/>
        <v/>
      </c>
      <c r="W208" s="110"/>
      <c r="X208" s="109" t="str">
        <f t="shared" si="26"/>
        <v/>
      </c>
      <c r="Y208" s="109" t="str">
        <f t="shared" si="27"/>
        <v/>
      </c>
      <c r="Z208" s="82"/>
    </row>
    <row r="209" ht="20" customHeight="1" spans="1:26">
      <c r="A209" s="64">
        <v>196</v>
      </c>
      <c r="B209" s="65"/>
      <c r="C209" s="66"/>
      <c r="D209" s="67"/>
      <c r="E209" s="82"/>
      <c r="F209" s="82"/>
      <c r="G209" s="82"/>
      <c r="H209" s="82"/>
      <c r="I209" s="93" t="str">
        <f t="shared" si="21"/>
        <v/>
      </c>
      <c r="J209" s="82"/>
      <c r="K209" s="94" t="str">
        <f>IF(OR(D209="",E209=""),"",IF(J209="",G209,IF(D209="Buy",MROUND(MAX(E209*(1-Settings!$K$8),J209*(1-Settings!$K$6)),Settings!$K$10),MROUND(MIN(E209*(1+Settings!$K$8),J209*(1+Settings!$K$6)),Settings!$K$10))))</f>
        <v/>
      </c>
      <c r="L209" s="95" t="str">
        <f t="shared" si="22"/>
        <v/>
      </c>
      <c r="M209" s="82"/>
      <c r="N209" s="94" t="str">
        <f>IF(OR(D209="",E209=""),"",IF(M209="",H209,IF(D209="Buy",MROUND(MAX(E209*(1-Settings!$K$8),M209*(1-Settings!$K$6)),Settings!$K$10),MROUND(MIN(E209*(1+Settings!$K$8),M209*(1+Settings!$K$6)),Settings!$K$10))))</f>
        <v/>
      </c>
      <c r="O209" s="95" t="str">
        <f t="shared" si="23"/>
        <v/>
      </c>
      <c r="P209" s="82"/>
      <c r="Q209" s="94" t="str">
        <f>IF(OR(D209="",P209=""),"",IF(D209="Buy",MROUND(P209*(1-Settings!$K$6),Settings!$K$10),MROUND(P209*(1+Settings!$K$6),Settings!$K$10)))</f>
        <v/>
      </c>
      <c r="R209" s="95" t="str">
        <f t="shared" si="24"/>
        <v/>
      </c>
      <c r="S209" s="82"/>
      <c r="T209" s="94" t="str">
        <f>IF(OR(D209="",S209=""),"",IF(D209="Buy",MROUND(S209*(1-Settings!$K$6),Settings!$K$10),MROUND(S209*(1+Settings!$K$6),Settings!$K$10)))</f>
        <v/>
      </c>
      <c r="U209" s="67"/>
      <c r="V209" s="109" t="str">
        <f t="shared" si="25"/>
        <v/>
      </c>
      <c r="W209" s="110"/>
      <c r="X209" s="109" t="str">
        <f t="shared" si="26"/>
        <v/>
      </c>
      <c r="Y209" s="109" t="str">
        <f t="shared" si="27"/>
        <v/>
      </c>
      <c r="Z209" s="82"/>
    </row>
    <row r="210" ht="20" customHeight="1" spans="1:26">
      <c r="A210" s="64">
        <v>197</v>
      </c>
      <c r="B210" s="65"/>
      <c r="C210" s="66"/>
      <c r="D210" s="67"/>
      <c r="E210" s="82"/>
      <c r="F210" s="82"/>
      <c r="G210" s="82"/>
      <c r="H210" s="82"/>
      <c r="I210" s="93" t="str">
        <f t="shared" si="21"/>
        <v/>
      </c>
      <c r="J210" s="82"/>
      <c r="K210" s="94" t="str">
        <f>IF(OR(D210="",E210=""),"",IF(J210="",G210,IF(D210="Buy",MROUND(MAX(E210*(1-Settings!$K$8),J210*(1-Settings!$K$6)),Settings!$K$10),MROUND(MIN(E210*(1+Settings!$K$8),J210*(1+Settings!$K$6)),Settings!$K$10))))</f>
        <v/>
      </c>
      <c r="L210" s="95" t="str">
        <f t="shared" si="22"/>
        <v/>
      </c>
      <c r="M210" s="82"/>
      <c r="N210" s="94" t="str">
        <f>IF(OR(D210="",E210=""),"",IF(M210="",H210,IF(D210="Buy",MROUND(MAX(E210*(1-Settings!$K$8),M210*(1-Settings!$K$6)),Settings!$K$10),MROUND(MIN(E210*(1+Settings!$K$8),M210*(1+Settings!$K$6)),Settings!$K$10))))</f>
        <v/>
      </c>
      <c r="O210" s="95" t="str">
        <f t="shared" si="23"/>
        <v/>
      </c>
      <c r="P210" s="82"/>
      <c r="Q210" s="94" t="str">
        <f>IF(OR(D210="",P210=""),"",IF(D210="Buy",MROUND(P210*(1-Settings!$K$6),Settings!$K$10),MROUND(P210*(1+Settings!$K$6),Settings!$K$10)))</f>
        <v/>
      </c>
      <c r="R210" s="95" t="str">
        <f t="shared" si="24"/>
        <v/>
      </c>
      <c r="S210" s="82"/>
      <c r="T210" s="94" t="str">
        <f>IF(OR(D210="",S210=""),"",IF(D210="Buy",MROUND(S210*(1-Settings!$K$6),Settings!$K$10),MROUND(S210*(1+Settings!$K$6),Settings!$K$10)))</f>
        <v/>
      </c>
      <c r="U210" s="67"/>
      <c r="V210" s="109" t="str">
        <f t="shared" si="25"/>
        <v/>
      </c>
      <c r="W210" s="110"/>
      <c r="X210" s="109" t="str">
        <f t="shared" si="26"/>
        <v/>
      </c>
      <c r="Y210" s="109" t="str">
        <f t="shared" si="27"/>
        <v/>
      </c>
      <c r="Z210" s="82"/>
    </row>
    <row r="211" ht="20" customHeight="1" spans="1:26">
      <c r="A211" s="64">
        <v>198</v>
      </c>
      <c r="B211" s="65"/>
      <c r="C211" s="66"/>
      <c r="D211" s="67"/>
      <c r="E211" s="82"/>
      <c r="F211" s="82"/>
      <c r="G211" s="82"/>
      <c r="H211" s="82"/>
      <c r="I211" s="93" t="str">
        <f t="shared" si="21"/>
        <v/>
      </c>
      <c r="J211" s="82"/>
      <c r="K211" s="94" t="str">
        <f>IF(OR(D211="",E211=""),"",IF(J211="",G211,IF(D211="Buy",MROUND(MAX(E211*(1-Settings!$K$8),J211*(1-Settings!$K$6)),Settings!$K$10),MROUND(MIN(E211*(1+Settings!$K$8),J211*(1+Settings!$K$6)),Settings!$K$10))))</f>
        <v/>
      </c>
      <c r="L211" s="95" t="str">
        <f t="shared" si="22"/>
        <v/>
      </c>
      <c r="M211" s="82"/>
      <c r="N211" s="94" t="str">
        <f>IF(OR(D211="",E211=""),"",IF(M211="",H211,IF(D211="Buy",MROUND(MAX(E211*(1-Settings!$K$8),M211*(1-Settings!$K$6)),Settings!$K$10),MROUND(MIN(E211*(1+Settings!$K$8),M211*(1+Settings!$K$6)),Settings!$K$10))))</f>
        <v/>
      </c>
      <c r="O211" s="95" t="str">
        <f t="shared" si="23"/>
        <v/>
      </c>
      <c r="P211" s="82"/>
      <c r="Q211" s="94" t="str">
        <f>IF(OR(D211="",P211=""),"",IF(D211="Buy",MROUND(P211*(1-Settings!$K$6),Settings!$K$10),MROUND(P211*(1+Settings!$K$6),Settings!$K$10)))</f>
        <v/>
      </c>
      <c r="R211" s="95" t="str">
        <f t="shared" si="24"/>
        <v/>
      </c>
      <c r="S211" s="82"/>
      <c r="T211" s="94" t="str">
        <f>IF(OR(D211="",S211=""),"",IF(D211="Buy",MROUND(S211*(1-Settings!$K$6),Settings!$K$10),MROUND(S211*(1+Settings!$K$6),Settings!$K$10)))</f>
        <v/>
      </c>
      <c r="U211" s="67"/>
      <c r="V211" s="109" t="str">
        <f t="shared" si="25"/>
        <v/>
      </c>
      <c r="W211" s="110"/>
      <c r="X211" s="109" t="str">
        <f t="shared" si="26"/>
        <v/>
      </c>
      <c r="Y211" s="109" t="str">
        <f t="shared" si="27"/>
        <v/>
      </c>
      <c r="Z211" s="82"/>
    </row>
    <row r="212" ht="20" customHeight="1" spans="1:26">
      <c r="A212" s="64">
        <v>199</v>
      </c>
      <c r="B212" s="65"/>
      <c r="C212" s="66"/>
      <c r="D212" s="67"/>
      <c r="E212" s="82"/>
      <c r="F212" s="82"/>
      <c r="G212" s="82"/>
      <c r="H212" s="82"/>
      <c r="I212" s="93" t="str">
        <f t="shared" si="21"/>
        <v/>
      </c>
      <c r="J212" s="82"/>
      <c r="K212" s="94" t="str">
        <f>IF(OR(D212="",E212=""),"",IF(J212="",G212,IF(D212="Buy",MROUND(MAX(E212*(1-Settings!$K$8),J212*(1-Settings!$K$6)),Settings!$K$10),MROUND(MIN(E212*(1+Settings!$K$8),J212*(1+Settings!$K$6)),Settings!$K$10))))</f>
        <v/>
      </c>
      <c r="L212" s="95" t="str">
        <f t="shared" si="22"/>
        <v/>
      </c>
      <c r="M212" s="82"/>
      <c r="N212" s="94" t="str">
        <f>IF(OR(D212="",E212=""),"",IF(M212="",H212,IF(D212="Buy",MROUND(MAX(E212*(1-Settings!$K$8),M212*(1-Settings!$K$6)),Settings!$K$10),MROUND(MIN(E212*(1+Settings!$K$8),M212*(1+Settings!$K$6)),Settings!$K$10))))</f>
        <v/>
      </c>
      <c r="O212" s="95" t="str">
        <f t="shared" si="23"/>
        <v/>
      </c>
      <c r="P212" s="82"/>
      <c r="Q212" s="94" t="str">
        <f>IF(OR(D212="",P212=""),"",IF(D212="Buy",MROUND(P212*(1-Settings!$K$6),Settings!$K$10),MROUND(P212*(1+Settings!$K$6),Settings!$K$10)))</f>
        <v/>
      </c>
      <c r="R212" s="95" t="str">
        <f t="shared" si="24"/>
        <v/>
      </c>
      <c r="S212" s="82"/>
      <c r="T212" s="94" t="str">
        <f>IF(OR(D212="",S212=""),"",IF(D212="Buy",MROUND(S212*(1-Settings!$K$6),Settings!$K$10),MROUND(S212*(1+Settings!$K$6),Settings!$K$10)))</f>
        <v/>
      </c>
      <c r="U212" s="67"/>
      <c r="V212" s="109" t="str">
        <f t="shared" si="25"/>
        <v/>
      </c>
      <c r="W212" s="110"/>
      <c r="X212" s="109" t="str">
        <f t="shared" si="26"/>
        <v/>
      </c>
      <c r="Y212" s="109" t="str">
        <f t="shared" si="27"/>
        <v/>
      </c>
      <c r="Z212" s="82"/>
    </row>
    <row r="213" ht="20" customHeight="1" spans="1:26">
      <c r="A213" s="64">
        <v>200</v>
      </c>
      <c r="B213" s="65"/>
      <c r="C213" s="66"/>
      <c r="D213" s="67"/>
      <c r="E213" s="82"/>
      <c r="F213" s="82"/>
      <c r="G213" s="82"/>
      <c r="H213" s="82"/>
      <c r="I213" s="93" t="str">
        <f t="shared" si="21"/>
        <v/>
      </c>
      <c r="J213" s="82"/>
      <c r="K213" s="94" t="str">
        <f>IF(OR(D213="",E213=""),"",IF(J213="",G213,IF(D213="Buy",MROUND(MAX(E213*(1-Settings!$K$8),J213*(1-Settings!$K$6)),Settings!$K$10),MROUND(MIN(E213*(1+Settings!$K$8),J213*(1+Settings!$K$6)),Settings!$K$10))))</f>
        <v/>
      </c>
      <c r="L213" s="95" t="str">
        <f t="shared" si="22"/>
        <v/>
      </c>
      <c r="M213" s="82"/>
      <c r="N213" s="94" t="str">
        <f>IF(OR(D213="",E213=""),"",IF(M213="",H213,IF(D213="Buy",MROUND(MAX(E213*(1-Settings!$K$8),M213*(1-Settings!$K$6)),Settings!$K$10),MROUND(MIN(E213*(1+Settings!$K$8),M213*(1+Settings!$K$6)),Settings!$K$10))))</f>
        <v/>
      </c>
      <c r="O213" s="95" t="str">
        <f t="shared" si="23"/>
        <v/>
      </c>
      <c r="P213" s="82"/>
      <c r="Q213" s="94" t="str">
        <f>IF(OR(D213="",P213=""),"",IF(D213="Buy",MROUND(P213*(1-Settings!$K$6),Settings!$K$10),MROUND(P213*(1+Settings!$K$6),Settings!$K$10)))</f>
        <v/>
      </c>
      <c r="R213" s="95" t="str">
        <f t="shared" si="24"/>
        <v/>
      </c>
      <c r="S213" s="82"/>
      <c r="T213" s="94" t="str">
        <f>IF(OR(D213="",S213=""),"",IF(D213="Buy",MROUND(S213*(1-Settings!$K$6),Settings!$K$10),MROUND(S213*(1+Settings!$K$6),Settings!$K$10)))</f>
        <v/>
      </c>
      <c r="U213" s="67"/>
      <c r="V213" s="109" t="str">
        <f t="shared" si="25"/>
        <v/>
      </c>
      <c r="W213" s="110"/>
      <c r="X213" s="109" t="str">
        <f t="shared" si="26"/>
        <v/>
      </c>
      <c r="Y213" s="109" t="str">
        <f t="shared" si="27"/>
        <v/>
      </c>
      <c r="Z213" s="82"/>
    </row>
    <row r="214" spans="1:26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8" customHeight="1" spans="1:26">
      <c r="A216" s="123" t="s">
        <v>34</v>
      </c>
      <c r="B216" s="123" t="s">
        <v>34</v>
      </c>
      <c r="C216" s="123" t="s">
        <v>34</v>
      </c>
      <c r="D216" s="123" t="s">
        <v>34</v>
      </c>
      <c r="E216" s="123" t="s">
        <v>34</v>
      </c>
      <c r="F216" s="123" t="s">
        <v>34</v>
      </c>
      <c r="G216" s="123" t="s">
        <v>34</v>
      </c>
      <c r="H216" s="123" t="s">
        <v>34</v>
      </c>
      <c r="I216" s="123" t="s">
        <v>34</v>
      </c>
      <c r="J216" s="123" t="s">
        <v>34</v>
      </c>
      <c r="K216" s="123" t="s">
        <v>34</v>
      </c>
      <c r="L216" s="123" t="s">
        <v>34</v>
      </c>
      <c r="M216" s="123" t="s">
        <v>34</v>
      </c>
      <c r="N216" s="123" t="s">
        <v>34</v>
      </c>
      <c r="O216" s="123" t="s">
        <v>34</v>
      </c>
      <c r="P216" s="123" t="s">
        <v>34</v>
      </c>
      <c r="Q216" s="123" t="s">
        <v>34</v>
      </c>
      <c r="R216" s="123" t="s">
        <v>34</v>
      </c>
      <c r="S216" s="123" t="s">
        <v>34</v>
      </c>
      <c r="T216" s="123" t="s">
        <v>34</v>
      </c>
      <c r="U216" s="123" t="s">
        <v>34</v>
      </c>
      <c r="V216" s="123" t="s">
        <v>34</v>
      </c>
      <c r="W216" s="123" t="s">
        <v>34</v>
      </c>
      <c r="X216" s="123" t="s">
        <v>34</v>
      </c>
      <c r="Y216" s="123" t="s">
        <v>34</v>
      </c>
      <c r="Z216" s="126"/>
    </row>
    <row r="217" ht="18" customHeight="1" spans="1:26">
      <c r="A217" s="124" t="s">
        <v>35</v>
      </c>
      <c r="B217" s="124" t="s">
        <v>35</v>
      </c>
      <c r="C217" s="124" t="s">
        <v>35</v>
      </c>
      <c r="D217" s="124" t="s">
        <v>35</v>
      </c>
      <c r="E217" s="124" t="s">
        <v>35</v>
      </c>
      <c r="F217" s="124" t="s">
        <v>35</v>
      </c>
      <c r="G217" s="124" t="s">
        <v>35</v>
      </c>
      <c r="H217" s="124" t="s">
        <v>35</v>
      </c>
      <c r="I217" s="124" t="s">
        <v>35</v>
      </c>
      <c r="J217" s="124" t="s">
        <v>35</v>
      </c>
      <c r="K217" s="124" t="s">
        <v>35</v>
      </c>
      <c r="L217" s="124" t="s">
        <v>35</v>
      </c>
      <c r="M217" s="124" t="s">
        <v>35</v>
      </c>
      <c r="N217" s="124" t="s">
        <v>35</v>
      </c>
      <c r="O217" s="124" t="s">
        <v>35</v>
      </c>
      <c r="P217" s="124" t="s">
        <v>35</v>
      </c>
      <c r="Q217" s="124" t="s">
        <v>35</v>
      </c>
      <c r="R217" s="124" t="s">
        <v>35</v>
      </c>
      <c r="S217" s="124" t="s">
        <v>35</v>
      </c>
      <c r="T217" s="124" t="s">
        <v>35</v>
      </c>
      <c r="U217" s="124" t="s">
        <v>35</v>
      </c>
      <c r="V217" s="124" t="s">
        <v>35</v>
      </c>
      <c r="W217" s="124" t="s">
        <v>35</v>
      </c>
      <c r="X217" s="124" t="s">
        <v>35</v>
      </c>
      <c r="Y217" s="124" t="s">
        <v>35</v>
      </c>
      <c r="Z217" s="126"/>
    </row>
    <row r="218" ht="18" customHeight="1" spans="1:26">
      <c r="A218" s="124" t="s">
        <v>36</v>
      </c>
      <c r="B218" s="124" t="s">
        <v>36</v>
      </c>
      <c r="C218" s="124" t="s">
        <v>36</v>
      </c>
      <c r="D218" s="124" t="s">
        <v>36</v>
      </c>
      <c r="E218" s="124" t="s">
        <v>36</v>
      </c>
      <c r="F218" s="124" t="s">
        <v>36</v>
      </c>
      <c r="G218" s="124" t="s">
        <v>36</v>
      </c>
      <c r="H218" s="124" t="s">
        <v>36</v>
      </c>
      <c r="I218" s="124" t="s">
        <v>36</v>
      </c>
      <c r="J218" s="124" t="s">
        <v>36</v>
      </c>
      <c r="K218" s="124" t="s">
        <v>36</v>
      </c>
      <c r="L218" s="124" t="s">
        <v>36</v>
      </c>
      <c r="M218" s="124" t="s">
        <v>36</v>
      </c>
      <c r="N218" s="124" t="s">
        <v>36</v>
      </c>
      <c r="O218" s="124" t="s">
        <v>36</v>
      </c>
      <c r="P218" s="124" t="s">
        <v>36</v>
      </c>
      <c r="Q218" s="124" t="s">
        <v>36</v>
      </c>
      <c r="R218" s="124" t="s">
        <v>36</v>
      </c>
      <c r="S218" s="124" t="s">
        <v>36</v>
      </c>
      <c r="T218" s="124" t="s">
        <v>36</v>
      </c>
      <c r="U218" s="124" t="s">
        <v>36</v>
      </c>
      <c r="V218" s="124" t="s">
        <v>36</v>
      </c>
      <c r="W218" s="124" t="s">
        <v>36</v>
      </c>
      <c r="X218" s="124" t="s">
        <v>36</v>
      </c>
      <c r="Y218" s="124" t="s">
        <v>36</v>
      </c>
      <c r="Z218" s="126"/>
    </row>
    <row r="219" ht="18" customHeight="1" spans="1:26">
      <c r="A219" s="125" t="s">
        <v>37</v>
      </c>
      <c r="B219" s="125" t="s">
        <v>37</v>
      </c>
      <c r="C219" s="125" t="s">
        <v>37</v>
      </c>
      <c r="D219" s="125" t="s">
        <v>37</v>
      </c>
      <c r="E219" s="125" t="s">
        <v>37</v>
      </c>
      <c r="F219" s="125" t="s">
        <v>37</v>
      </c>
      <c r="G219" s="125" t="s">
        <v>37</v>
      </c>
      <c r="H219" s="125" t="s">
        <v>37</v>
      </c>
      <c r="I219" s="125" t="s">
        <v>37</v>
      </c>
      <c r="J219" s="125" t="s">
        <v>37</v>
      </c>
      <c r="K219" s="125" t="s">
        <v>37</v>
      </c>
      <c r="L219" s="125" t="s">
        <v>37</v>
      </c>
      <c r="M219" s="125" t="s">
        <v>37</v>
      </c>
      <c r="N219" s="125" t="s">
        <v>37</v>
      </c>
      <c r="O219" s="125" t="s">
        <v>37</v>
      </c>
      <c r="P219" s="125" t="s">
        <v>37</v>
      </c>
      <c r="Q219" s="125" t="s">
        <v>37</v>
      </c>
      <c r="R219" s="125" t="s">
        <v>37</v>
      </c>
      <c r="S219" s="125" t="s">
        <v>37</v>
      </c>
      <c r="T219" s="125" t="s">
        <v>37</v>
      </c>
      <c r="U219" s="125" t="s">
        <v>37</v>
      </c>
      <c r="V219" s="125" t="s">
        <v>37</v>
      </c>
      <c r="W219" s="125" t="s">
        <v>37</v>
      </c>
      <c r="X219" s="125" t="s">
        <v>37</v>
      </c>
      <c r="Y219" s="125" t="s">
        <v>37</v>
      </c>
      <c r="Z219" s="126"/>
    </row>
  </sheetData>
  <sheetProtection algorithmName="SHA-512" hashValue="XJ8TLLHnwy5B8jxrznSPZDtpOxsVYJ+RuahV6TgObr84qlUlGTTBRpKJER4XPnx8IE4dMW1K/A9VzkUEkQEIRA==" saltValue="dKBnGK2F8c2msAzU8APyhw==" spinCount="100000" sheet="1" objects="1"/>
  <mergeCells count="29">
    <mergeCell ref="C1:W1"/>
    <mergeCell ref="C2:W2"/>
    <mergeCell ref="C3:W3"/>
    <mergeCell ref="A4:Z4"/>
    <mergeCell ref="F6:H6"/>
    <mergeCell ref="J6:L6"/>
    <mergeCell ref="A7:D7"/>
    <mergeCell ref="F7:G7"/>
    <mergeCell ref="J7:K7"/>
    <mergeCell ref="A8:B8"/>
    <mergeCell ref="C8:D8"/>
    <mergeCell ref="F8:G8"/>
    <mergeCell ref="J8:K8"/>
    <mergeCell ref="A9:B9"/>
    <mergeCell ref="C9:D9"/>
    <mergeCell ref="F9:G9"/>
    <mergeCell ref="J9:K9"/>
    <mergeCell ref="F10:G10"/>
    <mergeCell ref="J10:K10"/>
    <mergeCell ref="A12:H12"/>
    <mergeCell ref="I12:T12"/>
    <mergeCell ref="U12:X12"/>
    <mergeCell ref="Y12:Z12"/>
    <mergeCell ref="A216:Y216"/>
    <mergeCell ref="A217:Y217"/>
    <mergeCell ref="A218:Y218"/>
    <mergeCell ref="A219:Y219"/>
    <mergeCell ref="X1:Z3"/>
    <mergeCell ref="N5:Z9"/>
  </mergeCells>
  <conditionalFormatting sqref="D14:H213">
    <cfRule type="expression" dxfId="2" priority="1">
      <formula>$D14="Buy"</formula>
    </cfRule>
    <cfRule type="expression" dxfId="3" priority="2">
      <formula>$D14="Sell"</formula>
    </cfRule>
  </conditionalFormatting>
  <conditionalFormatting sqref="V14:Y213">
    <cfRule type="cellIs" dxfId="1" priority="3" operator="greaterThan">
      <formula>0</formula>
    </cfRule>
    <cfRule type="cellIs" dxfId="0" priority="4" operator="lessThan">
      <formula>0</formula>
    </cfRule>
  </conditionalFormatting>
  <dataValidations count="6">
    <dataValidation type="decimal" operator="greaterThan" sqref="H7 C9 E14:H213">
      <formula1>0</formula1>
    </dataValidation>
    <dataValidation type="list" sqref="C8">
      <formula1>Settings!$A$7:$A$16</formula1>
    </dataValidation>
    <dataValidation type="date" operator="greaterThan" sqref="B14:B213">
      <formula1>1</formula1>
    </dataValidation>
    <dataValidation type="list" sqref="D14:D213">
      <formula1>Settings!$C$7:$C$8</formula1>
    </dataValidation>
    <dataValidation type="list" sqref="U14:U213">
      <formula1>Settings!$F$7:$F$11</formula1>
    </dataValidation>
    <dataValidation type="list" sqref="W14:W213">
      <formula1>Settings!$G$7:$G$10</formula1>
    </dataValidation>
  </dataValidation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M34"/>
  <sheetViews>
    <sheetView showGridLines="0" zoomScale="93" zoomScaleNormal="93" workbookViewId="0">
      <pane ySplit="3" topLeftCell="A4" activePane="bottomLeft" state="frozen"/>
      <selection/>
      <selection pane="bottomLeft" activeCell="F28" sqref="F28"/>
    </sheetView>
  </sheetViews>
  <sheetFormatPr defaultColWidth="9" defaultRowHeight="16.8"/>
  <cols>
    <col min="1" max="1" width="12" customWidth="1"/>
    <col min="2" max="2" width="22" customWidth="1"/>
    <col min="3" max="3" width="15" customWidth="1"/>
    <col min="4" max="4" width="18" customWidth="1"/>
    <col min="5" max="5" width="20" customWidth="1"/>
    <col min="6" max="7" width="27" customWidth="1"/>
    <col min="8" max="9" width="3" customWidth="1"/>
    <col min="10" max="10" width="28" customWidth="1"/>
    <col min="11" max="11" width="20.3653846153846" customWidth="1"/>
    <col min="12" max="12" width="16.8076923076923" customWidth="1"/>
    <col min="13" max="13" width="27.8846153846154" customWidth="1"/>
  </cols>
  <sheetData>
    <row r="1" ht="23" customHeight="1" spans="1:13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3" t="s">
        <v>201</v>
      </c>
      <c r="L1" s="24" t="s">
        <v>201</v>
      </c>
      <c r="M1" s="36" t="s">
        <v>201</v>
      </c>
    </row>
    <row r="2" ht="21" customHeight="1" spans="1:13">
      <c r="A2" s="1"/>
      <c r="B2" s="1"/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25" t="s">
        <v>201</v>
      </c>
      <c r="L2" s="26" t="s">
        <v>201</v>
      </c>
      <c r="M2" s="37" t="s">
        <v>201</v>
      </c>
    </row>
    <row r="3" ht="23" customHeight="1" spans="1:13">
      <c r="A3" s="1"/>
      <c r="B3" s="1"/>
      <c r="C3" s="4" t="s">
        <v>202</v>
      </c>
      <c r="D3" s="4" t="s">
        <v>202</v>
      </c>
      <c r="E3" s="4" t="s">
        <v>202</v>
      </c>
      <c r="F3" s="4" t="s">
        <v>202</v>
      </c>
      <c r="G3" s="4" t="s">
        <v>202</v>
      </c>
      <c r="H3" s="4" t="s">
        <v>202</v>
      </c>
      <c r="I3" s="4" t="s">
        <v>202</v>
      </c>
      <c r="J3" s="4" t="s">
        <v>202</v>
      </c>
      <c r="K3" s="27" t="s">
        <v>201</v>
      </c>
      <c r="L3" s="28" t="s">
        <v>201</v>
      </c>
      <c r="M3" s="38" t="s">
        <v>201</v>
      </c>
    </row>
    <row r="4" ht="17.55" spans="1:13">
      <c r="A4" s="262" t="inlineStr">
        <is>
          <t xml:space="preserve">Licence Number: TSA-MURU-2419    |    Name: MURUGAN M    |    Mail ID: muruganm56789@gmail.com    |    Contact Number: 8610022419</t>
        </is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17.55" spans="1:13">
      <c r="A5" s="6" t="s">
        <v>203</v>
      </c>
      <c r="B5" s="7" t="s">
        <v>203</v>
      </c>
      <c r="C5" s="7" t="s">
        <v>203</v>
      </c>
      <c r="D5" s="7" t="s">
        <v>203</v>
      </c>
      <c r="E5" s="7" t="s">
        <v>203</v>
      </c>
      <c r="F5" s="7" t="s">
        <v>203</v>
      </c>
      <c r="G5" s="21" t="s">
        <v>203</v>
      </c>
      <c r="H5" s="5"/>
      <c r="I5" s="5"/>
      <c r="J5" s="29" t="s">
        <v>204</v>
      </c>
      <c r="K5" s="30" t="s">
        <v>204</v>
      </c>
      <c r="L5" s="30" t="s">
        <v>204</v>
      </c>
      <c r="M5" s="39" t="s">
        <v>204</v>
      </c>
    </row>
    <row r="6" spans="1:13">
      <c r="A6" s="8" t="s">
        <v>142</v>
      </c>
      <c r="B6" s="8" t="s">
        <v>205</v>
      </c>
      <c r="C6" s="8" t="s">
        <v>140</v>
      </c>
      <c r="D6" s="8" t="s">
        <v>21</v>
      </c>
      <c r="E6" s="8" t="s">
        <v>23</v>
      </c>
      <c r="F6" s="8" t="s">
        <v>206</v>
      </c>
      <c r="G6" s="8" t="s">
        <v>207</v>
      </c>
      <c r="H6" s="5" t="s">
        <v>208</v>
      </c>
      <c r="I6" s="5" t="s">
        <v>209</v>
      </c>
      <c r="J6" s="31" t="s">
        <v>210</v>
      </c>
      <c r="K6" s="32">
        <v>0.0012</v>
      </c>
      <c r="L6" s="31" t="s">
        <v>211</v>
      </c>
      <c r="M6" s="31" t="s">
        <v>212</v>
      </c>
    </row>
    <row r="7" spans="1:13">
      <c r="A7" s="9">
        <v>2</v>
      </c>
      <c r="B7" s="9" t="s">
        <v>198</v>
      </c>
      <c r="C7" s="9" t="s">
        <v>77</v>
      </c>
      <c r="D7" s="9" t="s">
        <v>105</v>
      </c>
      <c r="E7" s="9" t="s">
        <v>106</v>
      </c>
      <c r="F7" s="9" t="s">
        <v>188</v>
      </c>
      <c r="G7" s="9" t="s">
        <v>189</v>
      </c>
      <c r="H7" s="5" t="s">
        <v>98</v>
      </c>
      <c r="I7" s="5" t="s">
        <v>98</v>
      </c>
      <c r="J7" s="31" t="s">
        <v>213</v>
      </c>
      <c r="K7" s="32">
        <v>0.015</v>
      </c>
      <c r="L7" s="31" t="s">
        <v>214</v>
      </c>
      <c r="M7" s="31" t="s">
        <v>215</v>
      </c>
    </row>
    <row r="8" spans="1:13">
      <c r="A8" s="9">
        <v>4</v>
      </c>
      <c r="B8" s="9" t="s">
        <v>100</v>
      </c>
      <c r="C8" s="9" t="s">
        <v>79</v>
      </c>
      <c r="D8" s="9" t="s">
        <v>107</v>
      </c>
      <c r="E8" s="9" t="s">
        <v>108</v>
      </c>
      <c r="F8" s="9" t="s">
        <v>216</v>
      </c>
      <c r="G8" s="9" t="s">
        <v>217</v>
      </c>
      <c r="H8" s="5" t="s">
        <v>218</v>
      </c>
      <c r="I8" s="5" t="s">
        <v>99</v>
      </c>
      <c r="J8" s="31" t="s">
        <v>219</v>
      </c>
      <c r="K8" s="32">
        <v>0.015</v>
      </c>
      <c r="L8" s="31" t="s">
        <v>214</v>
      </c>
      <c r="M8" s="31" t="s">
        <v>220</v>
      </c>
    </row>
    <row r="9" spans="1:13">
      <c r="A9" s="9">
        <v>6</v>
      </c>
      <c r="B9" s="9" t="s">
        <v>221</v>
      </c>
      <c r="C9" s="9"/>
      <c r="D9" s="9"/>
      <c r="E9" s="9"/>
      <c r="F9" s="9" t="s">
        <v>222</v>
      </c>
      <c r="G9" s="9" t="s">
        <v>223</v>
      </c>
      <c r="H9" s="5"/>
      <c r="I9" s="5"/>
      <c r="J9" s="31" t="s">
        <v>224</v>
      </c>
      <c r="K9" s="32">
        <v>0.001</v>
      </c>
      <c r="L9" s="31" t="s">
        <v>225</v>
      </c>
      <c r="M9" s="31" t="s">
        <v>226</v>
      </c>
    </row>
    <row r="10" spans="1:13">
      <c r="A10" s="9">
        <v>8</v>
      </c>
      <c r="B10" s="9" t="s">
        <v>227</v>
      </c>
      <c r="C10" s="9"/>
      <c r="D10" s="9"/>
      <c r="E10" s="9"/>
      <c r="F10" s="9" t="s">
        <v>228</v>
      </c>
      <c r="G10" s="9" t="s">
        <v>200</v>
      </c>
      <c r="H10" s="5"/>
      <c r="I10" s="5"/>
      <c r="J10" s="31" t="s">
        <v>229</v>
      </c>
      <c r="K10" s="33">
        <v>1</v>
      </c>
      <c r="L10" s="31" t="s">
        <v>230</v>
      </c>
      <c r="M10" s="31" t="s">
        <v>231</v>
      </c>
    </row>
    <row r="11" spans="1:13">
      <c r="A11" s="9">
        <v>10</v>
      </c>
      <c r="B11" s="9" t="s">
        <v>193</v>
      </c>
      <c r="C11" s="9"/>
      <c r="D11" s="9"/>
      <c r="E11" s="9"/>
      <c r="F11" s="9" t="s">
        <v>200</v>
      </c>
      <c r="G11" s="9"/>
      <c r="H11" s="5"/>
      <c r="I11" s="5"/>
      <c r="J11" s="31" t="s">
        <v>232</v>
      </c>
      <c r="K11" s="33">
        <v>9</v>
      </c>
      <c r="L11" s="31" t="s">
        <v>233</v>
      </c>
      <c r="M11" s="31" t="s">
        <v>234</v>
      </c>
    </row>
    <row r="12" spans="1:13">
      <c r="A12" s="9">
        <v>12</v>
      </c>
      <c r="B12" s="9"/>
      <c r="C12" s="9"/>
      <c r="D12" s="9"/>
      <c r="E12" s="9"/>
      <c r="F12" s="9"/>
      <c r="G12" s="9"/>
      <c r="H12" s="5"/>
      <c r="I12" s="5"/>
      <c r="J12" s="5"/>
      <c r="K12" s="5"/>
      <c r="L12" s="5"/>
      <c r="M12" s="5"/>
    </row>
    <row r="13" ht="17.55" spans="1:13">
      <c r="A13" s="9">
        <v>14</v>
      </c>
      <c r="B13" s="9"/>
      <c r="C13" s="9"/>
      <c r="D13" s="9"/>
      <c r="E13" s="9"/>
      <c r="F13" s="9"/>
      <c r="G13" s="9"/>
      <c r="H13" s="5"/>
      <c r="I13" s="5"/>
      <c r="J13" s="5"/>
      <c r="K13" s="5"/>
      <c r="L13" s="5"/>
      <c r="M13" s="5"/>
    </row>
    <row r="14" ht="17.55" spans="1:13">
      <c r="A14" s="9">
        <v>16</v>
      </c>
      <c r="B14" s="9"/>
      <c r="C14" s="9"/>
      <c r="D14" s="9"/>
      <c r="E14" s="9"/>
      <c r="F14" s="9"/>
      <c r="G14" s="9"/>
      <c r="H14" s="5"/>
      <c r="I14" s="5"/>
      <c r="J14" s="10" t="s">
        <v>235</v>
      </c>
      <c r="K14" s="11" t="s">
        <v>235</v>
      </c>
      <c r="L14" s="11" t="s">
        <v>235</v>
      </c>
      <c r="M14" s="22" t="s">
        <v>235</v>
      </c>
    </row>
    <row r="15" spans="1:13">
      <c r="A15" s="9">
        <v>18</v>
      </c>
      <c r="B15" s="9"/>
      <c r="C15" s="9"/>
      <c r="D15" s="9"/>
      <c r="E15" s="9"/>
      <c r="F15" s="9"/>
      <c r="G15" s="9"/>
      <c r="H15" s="5"/>
      <c r="I15" s="5"/>
      <c r="J15" s="8" t="s">
        <v>236</v>
      </c>
      <c r="K15" s="8" t="s">
        <v>52</v>
      </c>
      <c r="L15" s="8" t="s">
        <v>237</v>
      </c>
      <c r="M15" s="8" t="s">
        <v>238</v>
      </c>
    </row>
    <row r="16" ht="55" spans="1:13">
      <c r="A16" s="9">
        <v>20</v>
      </c>
      <c r="B16" s="9"/>
      <c r="C16" s="9"/>
      <c r="D16" s="9"/>
      <c r="E16" s="9"/>
      <c r="F16" s="9"/>
      <c r="G16" s="9"/>
      <c r="H16" s="5"/>
      <c r="I16" s="5"/>
      <c r="J16" s="34" t="s">
        <v>239</v>
      </c>
      <c r="K16" s="35">
        <v>46281</v>
      </c>
      <c r="L16" s="34" t="s">
        <v>240</v>
      </c>
      <c r="M16" s="34" t="s">
        <v>241</v>
      </c>
    </row>
    <row r="17" ht="28" spans="1:13">
      <c r="A17" s="5"/>
      <c r="B17" s="5"/>
      <c r="C17" s="5"/>
      <c r="D17" s="5"/>
      <c r="E17" s="5"/>
      <c r="F17" s="5"/>
      <c r="G17" s="5"/>
      <c r="H17" s="5"/>
      <c r="I17" s="5"/>
      <c r="J17" s="34" t="s">
        <v>242</v>
      </c>
      <c r="K17" s="35"/>
      <c r="L17" s="34" t="s">
        <v>243</v>
      </c>
      <c r="M17" s="34" t="s">
        <v>244</v>
      </c>
    </row>
    <row r="18" ht="17.55" spans="1:1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ht="17.55" spans="1:13">
      <c r="A19" s="10" t="s">
        <v>245</v>
      </c>
      <c r="B19" s="11" t="s">
        <v>245</v>
      </c>
      <c r="C19" s="11" t="s">
        <v>245</v>
      </c>
      <c r="D19" s="11" t="s">
        <v>245</v>
      </c>
      <c r="E19" s="22" t="s">
        <v>245</v>
      </c>
      <c r="F19" s="5"/>
      <c r="G19" s="5"/>
      <c r="H19" s="5"/>
      <c r="I19" s="5"/>
      <c r="J19" s="5"/>
      <c r="K19" s="5"/>
      <c r="L19" s="5"/>
      <c r="M19" s="5"/>
    </row>
    <row r="20" spans="1:13">
      <c r="A20" s="8" t="s">
        <v>18</v>
      </c>
      <c r="B20" s="8" t="s">
        <v>160</v>
      </c>
      <c r="C20" s="8" t="s">
        <v>246</v>
      </c>
      <c r="D20" s="8" t="s">
        <v>247</v>
      </c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12" t="s">
        <v>248</v>
      </c>
      <c r="B21" s="12">
        <v>1</v>
      </c>
      <c r="C21" s="13">
        <v>100000</v>
      </c>
      <c r="D21" s="12">
        <v>1</v>
      </c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12" t="s">
        <v>249</v>
      </c>
      <c r="B22" s="12">
        <v>10</v>
      </c>
      <c r="C22" s="13">
        <v>800000</v>
      </c>
      <c r="D22" s="12">
        <v>1</v>
      </c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12" t="s">
        <v>250</v>
      </c>
      <c r="B23" s="12">
        <v>10</v>
      </c>
      <c r="C23" s="13">
        <v>8000000</v>
      </c>
      <c r="D23" s="12">
        <v>1</v>
      </c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7.5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14" t="s">
        <v>251</v>
      </c>
      <c r="B26" s="15" t="s">
        <v>251</v>
      </c>
      <c r="C26" s="15" t="s">
        <v>251</v>
      </c>
      <c r="D26" s="15" t="s">
        <v>251</v>
      </c>
      <c r="E26" s="15" t="s">
        <v>251</v>
      </c>
      <c r="F26" s="15" t="s">
        <v>251</v>
      </c>
      <c r="G26" s="15" t="s">
        <v>251</v>
      </c>
      <c r="H26" s="15" t="s">
        <v>251</v>
      </c>
      <c r="I26" s="15" t="s">
        <v>251</v>
      </c>
      <c r="J26" s="15" t="s">
        <v>251</v>
      </c>
      <c r="K26" s="15" t="s">
        <v>251</v>
      </c>
      <c r="L26" s="15" t="s">
        <v>251</v>
      </c>
      <c r="M26" s="40" t="s">
        <v>251</v>
      </c>
    </row>
    <row r="27" ht="17.55" spans="1:13">
      <c r="A27" s="16" t="s">
        <v>251</v>
      </c>
      <c r="B27" s="17" t="s">
        <v>251</v>
      </c>
      <c r="C27" s="17" t="s">
        <v>251</v>
      </c>
      <c r="D27" s="17" t="s">
        <v>251</v>
      </c>
      <c r="E27" s="17" t="s">
        <v>251</v>
      </c>
      <c r="F27" s="17" t="s">
        <v>251</v>
      </c>
      <c r="G27" s="17" t="s">
        <v>251</v>
      </c>
      <c r="H27" s="17" t="s">
        <v>251</v>
      </c>
      <c r="I27" s="17" t="s">
        <v>251</v>
      </c>
      <c r="J27" s="17" t="s">
        <v>251</v>
      </c>
      <c r="K27" s="17" t="s">
        <v>251</v>
      </c>
      <c r="L27" s="17" t="s">
        <v>251</v>
      </c>
      <c r="M27" s="41" t="s">
        <v>251</v>
      </c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8" customHeight="1" spans="1:13">
      <c r="A31" s="18" t="s">
        <v>34</v>
      </c>
      <c r="B31" s="18" t="s">
        <v>34</v>
      </c>
      <c r="C31" s="18" t="s">
        <v>34</v>
      </c>
      <c r="D31" s="18" t="s">
        <v>34</v>
      </c>
      <c r="E31" s="18" t="s">
        <v>34</v>
      </c>
      <c r="F31" s="18" t="s">
        <v>34</v>
      </c>
      <c r="G31" s="18" t="s">
        <v>34</v>
      </c>
      <c r="H31" s="18" t="s">
        <v>34</v>
      </c>
      <c r="I31" s="18" t="s">
        <v>34</v>
      </c>
      <c r="J31" s="18" t="s">
        <v>34</v>
      </c>
      <c r="K31" s="18" t="s">
        <v>34</v>
      </c>
      <c r="L31" s="18" t="s">
        <v>34</v>
      </c>
      <c r="M31" s="42"/>
    </row>
    <row r="32" ht="18" customHeight="1" spans="1:13">
      <c r="A32" s="19" t="s">
        <v>35</v>
      </c>
      <c r="B32" s="19" t="s">
        <v>35</v>
      </c>
      <c r="C32" s="19" t="s">
        <v>35</v>
      </c>
      <c r="D32" s="19" t="s">
        <v>35</v>
      </c>
      <c r="E32" s="19" t="s">
        <v>35</v>
      </c>
      <c r="F32" s="19" t="s">
        <v>35</v>
      </c>
      <c r="G32" s="19" t="s">
        <v>35</v>
      </c>
      <c r="H32" s="19" t="s">
        <v>35</v>
      </c>
      <c r="I32" s="19" t="s">
        <v>35</v>
      </c>
      <c r="J32" s="19" t="s">
        <v>35</v>
      </c>
      <c r="K32" s="19" t="s">
        <v>35</v>
      </c>
      <c r="L32" s="19" t="s">
        <v>35</v>
      </c>
      <c r="M32" s="42"/>
    </row>
    <row r="33" ht="18" customHeight="1" spans="1:13">
      <c r="A33" s="19" t="s">
        <v>36</v>
      </c>
      <c r="B33" s="19" t="s">
        <v>36</v>
      </c>
      <c r="C33" s="19" t="s">
        <v>36</v>
      </c>
      <c r="D33" s="19" t="s">
        <v>36</v>
      </c>
      <c r="E33" s="19" t="s">
        <v>36</v>
      </c>
      <c r="F33" s="19" t="s">
        <v>36</v>
      </c>
      <c r="G33" s="19" t="s">
        <v>36</v>
      </c>
      <c r="H33" s="19" t="s">
        <v>36</v>
      </c>
      <c r="I33" s="19" t="s">
        <v>36</v>
      </c>
      <c r="J33" s="19" t="s">
        <v>36</v>
      </c>
      <c r="K33" s="19" t="s">
        <v>36</v>
      </c>
      <c r="L33" s="19" t="s">
        <v>36</v>
      </c>
      <c r="M33" s="42"/>
    </row>
    <row r="34" ht="18" customHeight="1" spans="1:13">
      <c r="A34" s="20" t="s">
        <v>37</v>
      </c>
      <c r="B34" s="20" t="s">
        <v>37</v>
      </c>
      <c r="C34" s="20" t="s">
        <v>37</v>
      </c>
      <c r="D34" s="20" t="s">
        <v>37</v>
      </c>
      <c r="E34" s="20" t="s">
        <v>37</v>
      </c>
      <c r="F34" s="20" t="s">
        <v>37</v>
      </c>
      <c r="G34" s="20" t="s">
        <v>37</v>
      </c>
      <c r="H34" s="20" t="s">
        <v>37</v>
      </c>
      <c r="I34" s="20" t="s">
        <v>37</v>
      </c>
      <c r="J34" s="20" t="s">
        <v>37</v>
      </c>
      <c r="K34" s="20" t="s">
        <v>37</v>
      </c>
      <c r="L34" s="20" t="s">
        <v>37</v>
      </c>
      <c r="M34" s="42"/>
    </row>
  </sheetData>
  <mergeCells count="13">
    <mergeCell ref="C1:J1"/>
    <mergeCell ref="C2:J2"/>
    <mergeCell ref="C3:J3"/>
    <mergeCell ref="A5:G5"/>
    <mergeCell ref="J5:M5"/>
    <mergeCell ref="J14:M14"/>
    <mergeCell ref="A19:E19"/>
    <mergeCell ref="A31:L31"/>
    <mergeCell ref="A32:L32"/>
    <mergeCell ref="A33:L33"/>
    <mergeCell ref="A34:L34"/>
    <mergeCell ref="K1:M3"/>
    <mergeCell ref="A26:M27"/>
  </mergeCell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Home</vt:lpstr>
      <vt:lpstr>GOLDTEN Calculation</vt:lpstr>
      <vt:lpstr>GOLDTEN Orders</vt:lpstr>
      <vt:lpstr>GOLDTEN Tracking</vt:lpstr>
      <vt:lpstr>GOLDM Calculation</vt:lpstr>
      <vt:lpstr>GOLDM Orders</vt:lpstr>
      <vt:lpstr>GOLDM Tracking</vt:lpstr>
      <vt:lpstr>GOLD Calculation</vt:lpstr>
      <vt:lpstr>GOLD Orders</vt:lpstr>
      <vt:lpstr>GOLD Tracking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subash</cp:lastModifiedBy>
  <dcterms:created xsi:type="dcterms:W3CDTF">2026-09-22T07:49:00Z</dcterms:created>
  <dcterms:modified xsi:type="dcterms:W3CDTF">2026-09-21T23:48:01Z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CAB131BB4D9BAC709068B16A179611C7_43</vt:lpwstr>
  </property>
  <property fmtid="{D5CDD505-2E9C-101B-9397-08002B2CF9AE}" pid="3" name="KSOProductBuildVer">
    <vt:lpwstr>1033-12.1.23155.23155</vt:lpwstr>
  </property>
</Properties>
</file>