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55ea23b28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FTYFUT CALCULATION" sheetId="8" r:id="R469b866f3c7f4d14"/>
    <x:sheet xmlns:r="http://schemas.openxmlformats.org/officeDocument/2006/relationships" name="NIFTYFUT ORDER PLACING" sheetId="9" r:id="Rfc127e67f4354a5a"/>
    <x:sheet xmlns:r="http://schemas.openxmlformats.org/officeDocument/2006/relationships" name="NIFTYFUT TRACKING" sheetId="10" r:id="R9060ccdfdf9444fe"/>
    <x:sheet xmlns:r="http://schemas.openxmlformats.org/officeDocument/2006/relationships" name="Lists" sheetId="4" r:id="Rf2b0a2151e8f459a"/>
  </x:sheets>
</x:workbook>
</file>

<file path=xl/sharedStrings.xml><?xml version="1.0" encoding="utf-8"?>
<x:sst xmlns:x="http://schemas.openxmlformats.org/spreadsheetml/2006/main">
  <x:si>
    <x:t xml:space="preserve">TRADING SECRETS ACADEMY PVT LTD</x:t>
  </x:si>
  <x:si>
    <x:t xml:space="preserve">Quality, Trust, Consistency &amp; Ethics</x:t>
  </x:si>
  <x:si>
    <x:t xml:space="preserve">Contract Details</x:t>
  </x:si>
  <x:si>
    <x:t xml:space="preserve">Product</x:t>
  </x:si>
  <x:si>
    <x:t xml:space="preserve">NSE NIFTY FUT</x:t>
  </x:si>
  <x:si>
    <x:t xml:space="preserve">Next Trading Date</x:t>
  </x:si>
  <x:si>
    <x:t xml:space="preserve">DATE FORMAT</x:t>
  </x:si>
  <x:si>
    <x:t xml:space="preserve">Contract 1 Name / Month</x:t>
  </x:si>
  <x:si>
    <x:t xml:space="preserve">AUG</x:t>
  </x:si>
  <x:si>
    <x:t xml:space="preserve">DD/MM/YY</x:t>
  </x:si>
  <x:si>
    <x:t xml:space="preserve">Contract 1 Expiry Date</x:t>
  </x:si>
  <x:si>
    <x:t xml:space="preserve">Contract 2 Name / Month</x:t>
  </x:si>
  <x:si>
    <x:t xml:space="preserve">SEP</x:t>
  </x:si>
  <x:si>
    <x:t xml:space="preserve">Contract 2 Expiry Date</x:t>
  </x:si>
  <x:si>
    <x:t xml:space="preserve">Contract Switch Date</x:t>
  </x:si>
  <x:si>
    <x:t xml:space="preserve">Final Contract</x:t>
  </x:si>
  <x:si>
    <x:t xml:space="preserve">Four-Day High / Low Inputs</x:t>
  </x:si>
  <x:si>
    <x:t xml:space="preserve">Summary Levels</x:t>
  </x:si>
  <x:si>
    <x:t xml:space="preserve">Paste Values Use Control+Shift+V</x:t>
  </x:si>
  <x:si>
    <x:t xml:space="preserve">Day</x:t>
  </x:si>
  <x:si>
    <x:t xml:space="preserve">Date</x:t>
  </x:si>
  <x:si>
    <x:t xml:space="preserve">High</x:t>
  </x:si>
  <x:si>
    <x:t xml:space="preserve">Low</x:t>
  </x:si>
  <x:si>
    <x:t xml:space="preserve">3DHH</x:t>
  </x:si>
  <x:si>
    <x:t xml:space="preserve">Day 01</x:t>
  </x:si>
  <x:si>
    <x:t xml:space="preserve">3DLL</x:t>
  </x:si>
  <x:si>
    <x:t xml:space="preserve">Day 02</x:t>
  </x:si>
  <x:si>
    <x:t xml:space="preserve">2DHH</x:t>
  </x:si>
  <x:si>
    <x:t xml:space="preserve">Day 03</x:t>
  </x:si>
  <x:si>
    <x:t xml:space="preserve">2DLL</x:t>
  </x:si>
  <x:si>
    <x:t xml:space="preserve">Normal Buy</x:t>
  </x:si>
  <x:si>
    <x:t xml:space="preserve">Normal Sell</x:t>
  </x:si>
  <x:si>
    <x:t xml:space="preserve">Entry</x:t>
  </x:si>
  <x:si>
    <x:t xml:space="preserve">Target</x:t>
  </x:si>
  <x:si>
    <x:t xml:space="preserve">Stoploss 1</x:t>
  </x:si>
  <x:si>
    <x:t xml:space="preserve">Stoploss 2</x:t>
  </x:si>
  <x:si>
    <x:t xml:space="preserve">NORMAL CALCULATION LEVELS</x:t>
  </x:si>
  <x:si>
    <x:t xml:space="preserve">Order Date</x:t>
  </x:si>
  <x:si>
    <x:t xml:space="preserve">Contract</x:t>
  </x:si>
  <x:si>
    <x:t xml:space="preserve">Trade</x:t>
  </x:si>
  <x:si>
    <x:t xml:space="preserve">Normal Buy Levels</x:t>
  </x:si>
  <x:si>
    <x:t xml:space="preserve">Buy</x:t>
  </x:si>
  <x:si>
    <x:t xml:space="preserve">Normal Sell Levels</x:t>
  </x:si>
  <x:si>
    <x:t xml:space="preserve">Sell</x:t>
  </x:si>
  <x:si>
    <x:t xml:space="preserve">GAP UP &amp; GAP DOWN LEVELS</x:t>
  </x:si>
  <x:si>
    <x:t xml:space="preserve">Gap Up Buy</x:t>
  </x:si>
  <x:si>
    <x:t xml:space="preserve">Gap Down Sell</x:t>
  </x:si>
  <x:si>
    <x:t xml:space="preserve">First 15-Minute High</x:t>
  </x:si>
  <x:si>
    <x:t xml:space="preserve">First 15-Minute Low</x:t>
  </x:si>
  <x:si>
    <x:t xml:space="preserve">GAP UP &amp; DOWN CALCULATION LEVELS</x:t>
  </x:si>
  <x:si>
    <x:t xml:space="preserve">Copy this values use Control + C</x:t>
  </x:si>
  <x:si>
    <x:t xml:space="preserve">Gap Up Buy Levels</x:t>
  </x:si>
  <x:si>
    <x:t xml:space="preserve">Gap Down Sell Levels</x:t>
  </x:si>
  <x:si>
    <x:t xml:space="preserve">Office Support: Mrs. Sathyavani +91 90425 87730 | Mrs. Suganya +91 80569 25382</x:t>
  </x:si>
  <x:si>
    <x:t xml:space="preserve">Calculations &amp; Live Market Support: Mr. Vanaraja +91 7200575175 | Mr. Gokul +91 7200575154</x:t>
  </x:si>
  <x:si>
    <x:t xml:space="preserve">Registered Office: 32/3B, Plot No. 32, Rainbow Nagar, Madapuram, Thirupuvanam, Sivaganga, Tamil Nadu – 630611</x:t>
  </x:si>
  <x:si>
    <x:t xml:space="preserve">Head Office: 2/5, Brindavan Avenue, Near AG Hospital, West Tambaram, Tambaram, Chennai, Tamil Nadu – 600045</x:t>
  </x:si>
  <x:si>
    <x:t xml:space="preserve">Number of Lots — SELECT BLUE CELL</x:t>
  </x:si>
  <x:si>
    <x:t xml:space="preserve">Market Opening Price</x:t>
  </x:si>
  <x:si>
    <x:t xml:space="preserve">First 10-Minute High</x:t>
  </x:si>
  <x:si>
    <x:t xml:space="preserve">First 10-Minute Low</x:t>
  </x:si>
  <x:si>
    <x:t xml:space="preserve">Buy Status — SELECT BLUE CELL</x:t>
  </x:si>
  <x:si>
    <x:t xml:space="preserve">No Holdings</x:t>
  </x:si>
  <x:si>
    <x:t xml:space="preserve">Sell Status — SELECT BLUE CELL</x:t>
  </x:si>
  <x:si>
    <x:t xml:space="preserve">Source Levels from Calculation Sheet</x:t>
  </x:si>
  <x:si>
    <x:t xml:space="preserve">SL1</x:t>
  </x:si>
  <x:si>
    <x:t xml:space="preserve">SL2</x:t>
  </x:si>
  <x:si>
    <x:t xml:space="preserve">Status</x:t>
  </x:si>
  <x:si>
    <x:t xml:space="preserve">Selected Trading Levels and Status
Missed Order Checking</x:t>
  </x:si>
  <x:si>
    <x:t xml:space="preserve">Check</x:t>
  </x:si>
  <x:si>
    <x:t xml:space="preserve">Order Direction</x:t>
  </x:si>
  <x:si>
    <x:t xml:space="preserve">Compare Input</x:t>
  </x:si>
  <x:si>
    <x:t xml:space="preserve">Level</x:t>
  </x:si>
  <x:si>
    <x:t xml:space="preserve">Result</x:t>
  </x:si>
  <x:si>
    <x:t xml:space="preserve">Instruction</x:t>
  </x:si>
  <x:si>
    <x:t xml:space="preserve">Final Value</x:t>
  </x:si>
  <x:si>
    <x:t xml:space="preserve">Buy Entry</x:t>
  </x:si>
  <x:si>
    <x:t xml:space="preserve">First 10-Min High</x:t>
  </x:si>
  <x:si>
    <x:t xml:space="preserve">Normal Buy Entry</x:t>
  </x:si>
  <x:si>
    <x:t xml:space="preserve">Sell Entry</x:t>
  </x:si>
  <x:si>
    <x:t xml:space="preserve">First 10-Min Low</x:t>
  </x:si>
  <x:si>
    <x:t xml:space="preserve">Normal Sell Entry</x:t>
  </x:si>
  <x:si>
    <x:t xml:space="preserve">Buy Target</x:t>
  </x:si>
  <x:si>
    <x:t xml:space="preserve">Opening Price</x:t>
  </x:si>
  <x:si>
    <x:t xml:space="preserve">Selected Buy Target</x:t>
  </x:si>
  <x:si>
    <x:t xml:space="preserve">Sell Target</x:t>
  </x:si>
  <x:si>
    <x:t xml:space="preserve">Selected Sell Target</x:t>
  </x:si>
  <x:si>
    <x:t xml:space="preserve">Buy SL1</x:t>
  </x:si>
  <x:si>
    <x:t xml:space="preserve">Selected Buy SL1</x:t>
  </x:si>
  <x:si>
    <x:t xml:space="preserve">Buy SL2</x:t>
  </x:si>
  <x:si>
    <x:t xml:space="preserve">Selected Buy SL2</x:t>
  </x:si>
  <x:si>
    <x:t xml:space="preserve">Sell SL1</x:t>
  </x:si>
  <x:si>
    <x:t xml:space="preserve">Selected Sell SL1</x:t>
  </x:si>
  <x:si>
    <x:t xml:space="preserve">Sell SL2</x:t>
  </x:si>
  <x:si>
    <x:t xml:space="preserve">Selected Sell SL2</x:t>
  </x:si>
  <x:si>
    <x:t xml:space="preserve">BUY TRADE ORDER PLACING TABLE</x:t>
  </x:si>
  <x:si>
    <x:t xml:space="preserve">Direction</x:t>
  </x:si>
  <x:si>
    <x:t xml:space="preserve">Order Type</x:t>
  </x:si>
  <x:si>
    <x:t xml:space="preserve">Lots</x:t>
  </x:si>
  <x:si>
    <x:t xml:space="preserve">Trigger Price</x:t>
  </x:si>
  <x:si>
    <x:t xml:space="preserve">Price</x:t>
  </x:si>
  <x:si>
    <x:t xml:space="preserve">Limit Price</x:t>
  </x:si>
  <x:si>
    <x:t xml:space="preserve">Placing Time</x:t>
  </x:si>
  <x:si>
    <x:t xml:space="preserve">Stoploss Order</x:t>
  </x:si>
  <x:si>
    <x:t xml:space="preserve">Limit Order</x:t>
  </x:si>
  <x:si>
    <x:t xml:space="preserve">SELL TRADE ORDER PLACING TABLE</x:t>
  </x:si>
  <x:si>
    <x:t xml:space="preserve">A. TRADING INPUTS</x:t>
  </x:si>
  <x:si>
    <x:t xml:space="preserve">B. OVERALL PERFORMANCE</x:t>
  </x:si>
  <x:si>
    <x:t xml:space="preserve">Capital Used</x:t>
  </x:si>
  <x:si>
    <x:t xml:space="preserve">Lot Size</x:t>
  </x:si>
  <x:si>
    <x:t xml:space="preserve">Overall Profit/Loss</x:t>
  </x:si>
  <x:si>
    <x:t xml:space="preserve">Return %</x:t>
  </x:si>
  <x:si>
    <x:t xml:space="preserve">Column1</x:t>
  </x:si>
  <x:si>
    <x:t xml:space="preserve">Column2</x:t>
  </x:si>
  <x:si>
    <x:t xml:space="preserve">Column3</x:t>
  </x:si>
  <x:si>
    <x:t xml:space="preserve">Column4</x:t>
  </x:si>
  <x:si>
    <x:t xml:space="preserve">Column5</x:t>
  </x:si>
  <x:si>
    <x:t xml:space="preserve">Column6</x:t>
  </x:si>
  <x:si>
    <x:t xml:space="preserve">Column7</x:t>
  </x:si>
  <x:si>
    <x:t xml:space="preserve">Column8</x:t>
  </x:si>
  <x:si>
    <x:t xml:space="preserve">Column9</x:t>
  </x:si>
  <x:si>
    <x:t xml:space="preserve">Column10</x:t>
  </x:si>
  <x:si>
    <x:t xml:space="preserve">Column11</x:t>
  </x:si>
  <x:si>
    <x:t xml:space="preserve">Column12</x:t>
  </x:si>
  <x:si>
    <x:t xml:space="preserve">Column13</x:t>
  </x:si>
  <x:si>
    <x:t xml:space="preserve">Column14</x:t>
  </x:si>
  <x:si>
    <x:t xml:space="preserve">Column15</x:t>
  </x:si>
  <x:si>
    <x:t xml:space="preserve">Column16</x:t>
  </x:si>
  <x:si>
    <x:t xml:space="preserve">Column17</x:t>
  </x:si>
  <x:si>
    <x:t xml:space="preserve">Column18</x:t>
  </x:si>
  <x:si>
    <x:t xml:space="preserve">Column19</x:t>
  </x:si>
  <x:si>
    <x:t xml:space="preserve">Column20</x:t>
  </x:si>
  <x:si>
    <x:t xml:space="preserve">Column21</x:t>
  </x:si>
  <x:si>
    <x:t xml:space="preserve">Column22</x:t>
  </x:si>
  <x:si>
    <x:t xml:space="preserve">Column23</x:t>
  </x:si>
  <x:si>
    <x:t xml:space="preserve">Column24</x:t>
  </x:si>
  <x:si>
    <x:t xml:space="preserve">Column25</x:t>
  </x:si>
  <x:si>
    <x:t xml:space="preserve">Column26</x:t>
  </x:si>
  <x:si>
    <x:t xml:space="preserve">S.No</x:t>
  </x:si>
  <x:si>
    <x:t xml:space="preserve">Trade Buy or Sell
SELECT BLUE CELL</x:t>
  </x:si>
  <x:si>
    <x:t xml:space="preserve">SL1 Required Input</x:t>
  </x:si>
  <x:si>
    <x:t xml:space="preserve">SL1 Recalculation Input</x:t>
  </x:si>
  <x:si>
    <x:t xml:space="preserve">Stoploss 1 Recalculation</x:t>
  </x:si>
  <x:si>
    <x:t xml:space="preserve">SL2 Required Input</x:t>
  </x:si>
  <x:si>
    <x:t xml:space="preserve">SL2 Recalculation Input</x:t>
  </x:si>
  <x:si>
    <x:t xml:space="preserve">Stoploss 2 Recalculation</x:t>
  </x:si>
  <x:si>
    <x:t xml:space="preserve">Gap Up &amp; Down SL1</x:t>
  </x:si>
  <x:si>
    <x:t xml:space="preserve">Gap SL1 Input Value</x:t>
  </x:si>
  <x:si>
    <x:t xml:space="preserve">Gap Stoploss 1 Calculation</x:t>
  </x:si>
  <x:si>
    <x:t xml:space="preserve">Gap Up &amp; Down SL2</x:t>
  </x:si>
  <x:si>
    <x:t xml:space="preserve">Gap SL2 Input Value</x:t>
  </x:si>
  <x:si>
    <x:t xml:space="preserve">Gap Stoploss 2 Calculation</x:t>
  </x:si>
  <x:si>
    <x:t xml:space="preserve">Exit 1 Selection
SELECT BLUE CELL</x:t>
  </x:si>
  <x:si>
    <x:t xml:space="preserve">Exit 1 Profit &amp; Loss</x:t>
  </x:si>
  <x:si>
    <x:t xml:space="preserve">Exit 2 Selection
SELECT BLUE CELL</x:t>
  </x:si>
  <x:si>
    <x:t xml:space="preserve">Exit 2 Profit &amp; Loss</x:t>
  </x:si>
  <x:si>
    <x:t xml:space="preserve">Total P&amp;L</x:t>
  </x:si>
  <x:si>
    <x:t xml:space="preserve">Rollover</x:t>
  </x:si>
  <x:si>
    <x:t xml:space="preserve">August</x:t>
  </x:si>
  <x:si>
    <x:t xml:space="preserve">Exit 1 Buy</x:t>
  </x:si>
  <x:si>
    <x:t xml:space="preserve">Exit 2 Buy</x:t>
  </x:si>
  <x:si>
    <x:t xml:space="preserve">Exit 1 Sell</x:t>
  </x:si>
  <x:si>
    <x:t xml:space="preserve">Exit 2 Sell</x:t>
  </x:si>
  <x:si>
    <x:t xml:space="preserve"> No</x:t>
  </x:si>
  <x:si>
    <x:t xml:space="preserve">Target Hit</x:t>
  </x:si>
  <x:si>
    <x:t xml:space="preserve">Stoploss 2 Hit</x:t>
  </x:si>
  <x:si>
    <x:t xml:space="preserve">Yes</x:t>
  </x:si>
  <x:si>
    <x:t xml:space="preserve">Entry Triggered</x:t>
  </x:si>
  <x:si>
    <x:t xml:space="preserve">Stoploss 1 Hit</x:t>
  </x:si>
  <x:si>
    <x:t xml:space="preserve">Gap Down Stoploss 2 Hit</x:t>
  </x:si>
  <x:si>
    <x:t xml:space="preserve">Gap Up Stoploss 2 Hit</x:t>
  </x:si>
  <x:si>
    <x:t xml:space="preserve">No</x:t>
  </x:si>
  <x:si>
    <x:t xml:space="preserve">Target Triggered</x:t>
  </x:si>
  <x:si>
    <x:t xml:space="preserve">Gap Down Stoploss 1 Hit</x:t>
  </x:si>
  <x:si>
    <x:t xml:space="preserve">Gap Up Stoploss 1 Hit</x:t>
  </x:si>
  <x:si>
    <x:t xml:space="preserve">Stoploss 1 Triggered</x:t>
  </x:si>
  <x:si>
    <x:t xml:space="preserve">SL2 Triggered</x:t>
  </x:si>
</x:sst>
</file>

<file path=xl/styles.xml><?xml version="1.0" encoding="utf-8"?>
<x:styleSheet xmlns:x="http://schemas.openxmlformats.org/spreadsheetml/2006/main">
  <x:numFmts count="9">
    <x:numFmt numFmtId="41" formatCode="_-* #,##0_-;\-* #,##0_-;_-* &quot;-&quot;_-;_-@_-"/>
    <x:numFmt numFmtId="42" formatCode="_-&quot;£&quot;* #,##0_-;\-&quot;£&quot;* #,##0_-;_-&quot;£&quot;* &quot;-&quot;_-;_-@_-"/>
    <x:numFmt numFmtId="43" formatCode="_-* #,##0.00_-;\-* #,##0.00_-;_-* &quot;-&quot;??_-;_-@_-"/>
    <x:numFmt numFmtId="44" formatCode="_-&quot;£&quot;* #,##0.00_-;\-&quot;£&quot;* #,##0.00_-;_-&quot;£&quot;* &quot;-&quot;??_-;_-@_-"/>
    <x:numFmt numFmtId="176" formatCode="[$-809]dd\ mmmm\ yyyy;@"/>
    <x:numFmt numFmtId="177" formatCode="&quot;₹&quot;#,##0.00;[Red]\(&quot;₹&quot;#,##0.00\);\-"/>
    <x:numFmt numFmtId="178" formatCode="0.00%;[Red]\(0.00%\);\-"/>
    <x:numFmt numFmtId="179" formatCode="0.0"/>
    <x:numFmt numFmtId="180" formatCode="dd\-mmm\-yyyy"/>
  </x:numFmts>
  <x:fonts count="37">
    <x:font>
      <x:sz val="11"/>
      <x:name val="Carlito"/>
    </x:font>
    <x:font>
      <x:b/>
      <x:sz val="18"/>
      <x:color rgb="FFFFFFFF"/>
      <x:name val="Carlito"/>
    </x:font>
    <x:font>
      <x:b/>
      <x:i/>
      <x:sz val="11"/>
      <x:color rgb="FF00B050"/>
      <x:name val="Carlito"/>
    </x:font>
    <x:font>
      <x:b/>
      <x:sz val="10"/>
      <x:color rgb="FFFFFFFF"/>
      <x:name val="Carlito"/>
    </x:font>
    <x:font>
      <x:b/>
      <x:sz val="11"/>
      <x:color rgb="FF080B0D"/>
      <x:name val="Carlito"/>
    </x:font>
    <x:font>
      <x:b/>
      <x:sz val="9"/>
      <x:color rgb="FF080B0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b/>
      <x:sz val="11"/>
      <x:color rgb="FF0000FF"/>
      <x:name val="Carlito"/>
    </x:font>
    <x:font>
      <x:sz val="11"/>
      <x:color theme="1"/>
      <x:name val="Carlito"/>
    </x:font>
    <x:font>
      <x:b/>
      <x:sz val="11"/>
      <x:color theme="1"/>
      <x:name val="Carlito"/>
    </x:font>
    <x:font>
      <x:b/>
      <x:sz val="10"/>
      <x:color rgb="FF000000"/>
      <x:name val="Carlito"/>
    </x:font>
    <x:font>
      <x:b/>
      <x:sz val="9"/>
      <x:color rgb="FFFFFFFF"/>
      <x:name val="Carlito"/>
    </x:font>
    <x:font>
      <x:b/>
      <x:sz val="10"/>
      <x:color theme="1"/>
      <x:name val="Carlito"/>
    </x:font>
    <x:font>
      <x:b/>
      <x:sz val="11"/>
      <x:color rgb="FF92400E"/>
      <x:name val="Carlito"/>
    </x:font>
    <x:font>
      <x:b/>
      <x:sz val="11"/>
      <x:color theme="0"/>
      <x:name val="Carlito"/>
    </x:font>
    <x:font>
      <x:b/>
      <x:sz val="8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50">
    <x:fill>
      <x:patternFill patternType="none"/>
    </x:fill>
    <x:fill>
      <x:patternFill patternType="gray125"/>
    </x:fill>
    <x:fill>
      <x:patternFill patternType="solid">
        <x:fgColor rgb="FF080B0D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9DC3E6"/>
      </x:patternFill>
    </x:fill>
    <x:fill>
      <x:patternFill patternType="solid">
        <x:fgColor rgb="FFFFF2CC"/>
      </x:patternFill>
    </x:fill>
    <x:fill>
      <x:patternFill patternType="solid">
        <x:fgColor rgb="FFFFFF00"/>
      </x:patternFill>
    </x:fill>
    <x:fill>
      <x:patternFill patternType="solid">
        <x:fgColor theme="1"/>
      </x:patternFill>
    </x:fill>
    <x:fill>
      <x:patternFill patternType="solid">
        <x:fgColor theme="0"/>
      </x:patternFill>
    </x:fill>
    <x:fill>
      <x:patternFill patternType="solid">
        <x:fgColor rgb="FF00B050"/>
      </x:patternFill>
    </x:fill>
    <x:fill>
      <x:patternFill patternType="solid">
        <x:fgColor rgb="FF0B0F12"/>
      </x:patternFill>
    </x:fill>
    <x:fill>
      <x:patternFill patternType="solid">
        <x:fgColor rgb="FFF2F2F2"/>
      </x:patternFill>
    </x:fill>
    <x:fill>
      <x:patternFill patternType="solid">
        <x:fgColor theme="5" tint="0.8"/>
      </x:patternFill>
    </x:fill>
    <x:fill>
      <x:patternFill patternType="solid">
        <x:fgColor theme="2" tint="-0.1"/>
      </x:patternFill>
    </x:fill>
    <x:fill>
      <x:patternFill patternType="solid">
        <x:fgColor rgb="FFFF0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0B050"/>
      </x:patternFill>
    </x:fill>
    <x:fill>
      <x:patternFill patternType="solid">
        <x:fgColor rgb="FF0B0F12"/>
      </x:patternFill>
    </x:fill>
  </x:fills>
  <x:borders count="89">
    <x:border/>
    <x:border>
      <x:left style="thin">
        <x:color theme="1"/>
      </x:left>
      <x:top style="thin">
        <x:color theme="1"/>
      </x:top>
    </x:border>
    <x:border>
      <x:top style="thin">
        <x:color theme="1"/>
      </x:top>
    </x:border>
    <x:border>
      <x:left style="thin">
        <x:color theme="1"/>
      </x:left>
    </x:border>
    <x:border>
      <x:left style="thin">
        <x:color theme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bottom style="thin">
        <x:color theme="1"/>
      </x:bottom>
    </x:border>
    <x:border>
      <x:left style="thin">
        <x:color theme="1"/>
      </x:left>
      <x:right style="thin">
        <x:color auto="1"/>
      </x:right>
      <x:top style="thin">
        <x:color theme="1"/>
      </x:top>
    </x:border>
    <x:border>
      <x:right style="thin">
        <x:color auto="1"/>
      </x:right>
      <x:top style="thin">
        <x:color theme="1"/>
      </x:top>
    </x:border>
    <x:border>
      <x:left style="thin">
        <x:color theme="1"/>
      </x:left>
      <x:right style="thin">
        <x:color theme="1"/>
      </x:right>
    </x:border>
    <x:border>
      <x:left style="medium">
        <x:color theme="1"/>
      </x:left>
      <x:right style="medium">
        <x:color theme="1"/>
      </x:right>
      <x:top style="medium">
        <x:color theme="1"/>
      </x:top>
      <x:bottom style="medium">
        <x:color theme="1"/>
      </x:bottom>
    </x:border>
    <x:border>
      <x:right style="medium">
        <x:color theme="1"/>
      </x:right>
      <x:top style="medium">
        <x:color theme="1"/>
      </x:top>
      <x:bottom style="medium">
        <x:color theme="1"/>
      </x:bottom>
    </x:border>
    <x:border>
      <x:right style="thin">
        <x:color auto="1"/>
      </x:right>
      <x:bottom style="thin">
        <x:color theme="1"/>
      </x:bottom>
    </x:border>
    <x:border>
      <x:left style="thin">
        <x:color theme="1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left style="thin">
        <x:color theme="1"/>
      </x:left>
      <x:right style="thin">
        <x:color rgb="FFB7B7B7"/>
      </x:right>
      <x:top style="thin">
        <x:color rgb="FFB7B7B7"/>
      </x:top>
    </x:border>
    <x:border>
      <x:left style="thin">
        <x:color rgb="FFB7B7B7"/>
      </x:left>
      <x:top style="thin">
        <x:color rgb="FFB7B7B7"/>
      </x:top>
    </x:border>
    <x:border>
      <x:left style="thin">
        <x:color auto="1"/>
      </x:left>
      <x:right style="thin">
        <x:color auto="1"/>
      </x:right>
      <x:top style="thin">
        <x:color rgb="FFFFFFFF"/>
      </x:top>
    </x:border>
    <x:border>
      <x:left style="thick">
        <x:color rgb="FF1F4E78"/>
      </x:left>
      <x:right style="thick">
        <x:color rgb="FF1F4E78"/>
      </x:right>
      <x:top style="thin">
        <x:color rgb="FF1F4E78"/>
      </x:top>
    </x:border>
    <x:border>
      <x:left style="thin">
        <x:color theme="1"/>
      </x:left>
      <x:right style="thin">
        <x:color rgb="FFB7B7B7"/>
      </x:right>
    </x:border>
    <x:border>
      <x:left style="thin">
        <x:color rgb="FFB7B7B7"/>
      </x:left>
    </x:border>
    <x:border>
      <x:left style="thin">
        <x:color auto="1"/>
      </x:left>
      <x:right style="thin">
        <x:color auto="1"/>
      </x:right>
    </x:border>
    <x:border>
      <x:left style="thick">
        <x:color rgb="FF1F4E78"/>
      </x:left>
      <x:right style="thick">
        <x:color rgb="FF1F4E78"/>
      </x:right>
    </x:border>
    <x:border>
      <x:left style="thick">
        <x:color rgb="FF1F4E78"/>
      </x:left>
      <x:right style="thick">
        <x:color rgb="FF1F4E78"/>
      </x:right>
      <x:top style="thin">
        <x:color rgb="FFB7B7B7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rgb="FFD1D5DB"/>
      </x:right>
    </x:border>
    <x:border>
      <x:right style="thin">
        <x:color rgb="FFD1D5DB"/>
      </x:right>
    </x:border>
    <x:border>
      <x:left style="thin">
        <x:color rgb="FFD1D5DB"/>
      </x:left>
      <x:right style="thin">
        <x:color auto="1"/>
      </x:right>
      <x:bottom style="thin">
        <x:color auto="1"/>
      </x:bottom>
    </x:border>
    <x:border>
      <x:left style="thin">
        <x:color rgb="FFD1D5DB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rgb="FFD1D5DB"/>
      </x:right>
      <x:bottom style="thin">
        <x:color auto="1"/>
      </x:bottom>
    </x:border>
    <x:border>
      <x:right style="thin">
        <x:color rgb="FFD1D5DB"/>
      </x:right>
      <x:bottom style="thin">
        <x:color auto="1"/>
      </x:bottom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right style="thin">
        <x:color rgb="FFB7B7B7"/>
      </x:right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</x:border>
    <x:border>
      <x:left style="thin">
        <x:color rgb="FFB7B7B7"/>
      </x:left>
      <x:right style="thin">
        <x:color rgb="FFB7B7B7"/>
      </x:right>
    </x:border>
    <x:border>
      <x:right style="thin">
        <x:color theme="1"/>
      </x:right>
      <x:top style="thin">
        <x:color theme="1"/>
      </x:top>
    </x:border>
    <x:border>
      <x:right style="thin">
        <x:color theme="1"/>
      </x:right>
    </x:border>
    <x:border>
      <x:right style="thin">
        <x:color theme="1"/>
      </x:right>
      <x:top style="thin">
        <x:color rgb="FFFFFFFF"/>
      </x:top>
      <x:bottom style="thin">
        <x:color rgb="FFFFFFFF"/>
      </x:bottom>
    </x:border>
    <x:border>
      <x:left style="thin">
        <x:color rgb="FFB7B7B7"/>
      </x:left>
      <x:right style="thin">
        <x:color theme="1"/>
      </x:right>
      <x:top style="thin">
        <x:color rgb="FFB7B7B7"/>
      </x:top>
    </x:border>
    <x:border>
      <x:left style="thin">
        <x:color rgb="FFB7B7B7"/>
      </x:left>
      <x:right style="thin">
        <x:color theme="1"/>
      </x:right>
    </x:border>
    <x:border>
      <x:left style="thick">
        <x:color rgb="FF1F4E78"/>
      </x:left>
      <x:right style="thick">
        <x:color rgb="FF1F4E78"/>
      </x:right>
      <x:bottom style="thin">
        <x:color rgb="FF1F4E78"/>
      </x:bottom>
    </x:border>
    <x:border>
      <x:left style="thin">
        <x:color theme="1"/>
      </x:left>
      <x:right style="thin">
        <x:color auto="1"/>
      </x:right>
      <x:top style="thin">
        <x:color auto="1"/>
      </x:top>
    </x:border>
    <x:border>
      <x:left style="thin">
        <x:color theme="1"/>
      </x:left>
      <x:right style="thin">
        <x:color auto="1"/>
      </x:right>
    </x:border>
    <x:border>
      <x:left style="thin">
        <x:color theme="1"/>
      </x:left>
      <x:right style="thin">
        <x:color auto="1"/>
      </x:right>
      <x:bottom style="thin">
        <x:color theme="1"/>
      </x:bottom>
    </x:border>
    <x:border>
      <x:left style="thick">
        <x:color rgb="FF1F4E78"/>
      </x:left>
      <x:right style="thick">
        <x:color rgb="FF1F4E78"/>
      </x:right>
      <x:top style="thin">
        <x:color rgb="FFB7B7B7"/>
      </x:top>
      <x:bottom style="thin">
        <x:color rgb="FF1F4E78"/>
      </x:bottom>
    </x:border>
    <x:border>
      <x:right style="thin">
        <x:color theme="1"/>
      </x:right>
      <x:top style="thin">
        <x:color auto="1"/>
      </x:top>
    </x:border>
    <x:border>
      <x:right style="thin">
        <x:color theme="1"/>
      </x:right>
      <x:bottom style="thin">
        <x:color theme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ck">
        <x:color rgb="FF1F4E78"/>
      </x:left>
      <x:right style="thick">
        <x:color rgb="FF1F4E78"/>
      </x:right>
      <x:top style="thick">
        <x:color rgb="FF1F4E78"/>
      </x:top>
      <x:bottom style="thick">
        <x:color rgb="FF1F4E78"/>
      </x:bottom>
    </x:border>
    <x:border>
      <x:right style="thin">
        <x:color auto="1"/>
      </x:right>
    </x:border>
    <x:border>
      <x:left style="thick">
        <x:color rgb="FF1F4E78"/>
      </x:left>
      <x:right style="thick">
        <x:color rgb="FF1F4E78"/>
      </x:right>
      <x:top style="thick">
        <x:color rgb="FF1F4E78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ck">
        <x:color rgb="FF1F4E78"/>
      </x:left>
      <x:right style="thick">
        <x:color rgb="FF1F4E78"/>
      </x:right>
      <x:bottom style="thick">
        <x:color rgb="FF1F4E78"/>
      </x:bottom>
    </x:border>
    <x:border>
      <x:left style="thin">
        <x:color theme="3"/>
      </x:left>
      <x:top style="thin">
        <x:color theme="3"/>
      </x:top>
    </x:border>
    <x:border>
      <x:top style="thin">
        <x:color theme="3"/>
      </x:top>
    </x:border>
    <x:border>
      <x:left style="thin">
        <x:color theme="3"/>
      </x:left>
    </x:border>
    <x:border>
      <x:left style="thin">
        <x:color theme="3"/>
      </x:left>
      <x:bottom style="thin">
        <x:color theme="3"/>
      </x:bottom>
    </x:border>
    <x:border>
      <x:bottom style="thin">
        <x:color theme="3"/>
      </x:bottom>
    </x:border>
    <x:border>
      <x:left style="thin">
        <x:color theme="1"/>
      </x:left>
      <x:top style="thin">
        <x:color theme="1"/>
      </x:top>
      <x:bottom style="thin">
        <x:color theme="1"/>
      </x:bottom>
    </x:border>
    <x:border>
      <x:top style="thin">
        <x:color theme="1"/>
      </x:top>
      <x:bottom style="thin">
        <x:color theme="1"/>
      </x:bottom>
    </x:border>
    <x:border>
      <x:left style="thin">
        <x:color auto="1"/>
      </x:left>
    </x:border>
    <x:border>
      <x:left style="thin">
        <x:color auto="1"/>
      </x:left>
      <x:top style="thin">
        <x:color auto="1"/>
      </x:top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right style="thin">
        <x:color theme="3"/>
      </x:right>
      <x:top style="thin">
        <x:color theme="3"/>
      </x:top>
    </x:border>
    <x:border>
      <x:right style="thin">
        <x:color theme="3"/>
      </x:right>
    </x:border>
    <x:border>
      <x:right style="thin">
        <x:color theme="3"/>
      </x:right>
      <x:bottom style="thin">
        <x:color theme="3"/>
      </x:bottom>
    </x:border>
    <x:border>
      <x:right style="thin">
        <x:color theme="1"/>
      </x:right>
      <x:top style="thin">
        <x:color theme="1"/>
      </x:top>
      <x:bottom style="thin">
        <x:color theme="1"/>
      </x:bottom>
    </x:border>
    <x:border>
      <x:left style="thin">
        <x:color theme="3"/>
      </x:left>
      <x:right style="thin">
        <x:color auto="1"/>
      </x:right>
      <x:top style="thin">
        <x:color theme="3"/>
      </x:top>
    </x:border>
    <x:border>
      <x:left style="thin">
        <x:color auto="1"/>
      </x:left>
      <x:right style="thin">
        <x:color auto="1"/>
      </x:right>
      <x:top style="thin">
        <x:color theme="3"/>
      </x:top>
    </x:border>
    <x:border>
      <x:left style="thin">
        <x:color auto="1"/>
      </x:left>
      <x:right style="thin">
        <x:color theme="3"/>
      </x:right>
      <x:top style="thin">
        <x:color theme="3"/>
      </x:top>
    </x:border>
    <x:border>
      <x:left style="thin">
        <x:color theme="3"/>
      </x:left>
      <x:right style="thin">
        <x:color auto="1"/>
      </x:right>
    </x:border>
    <x:border>
      <x:left style="thin">
        <x:color auto="1"/>
      </x:left>
      <x:right style="thin">
        <x:color theme="3"/>
      </x:right>
    </x:border>
    <x:border>
      <x:left style="thin">
        <x:color theme="3"/>
      </x:left>
      <x:right style="thin">
        <x:color auto="1"/>
      </x:right>
      <x:bottom style="thin">
        <x:color theme="3"/>
      </x:bottom>
    </x:border>
    <x:border>
      <x:left style="thin">
        <x:color auto="1"/>
      </x:left>
      <x:right style="thin">
        <x:color auto="1"/>
      </x:right>
      <x:bottom style="thin">
        <x:color theme="3"/>
      </x:bottom>
    </x:border>
    <x:border>
      <x:left style="thin">
        <x:color auto="1"/>
      </x:left>
      <x:right style="thin">
        <x:color theme="3"/>
      </x:right>
      <x:bottom style="thin">
        <x:color theme="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8" fillId="0" borderId="0">
      <x:alignment vertical="center"/>
    </x:xf>
    <x:xf numFmtId="44" fontId="18" fillId="0" borderId="0">
      <x:alignment vertical="center"/>
    </x:xf>
    <x:xf numFmtId="9" fontId="18" fillId="0" borderId="0">
      <x:alignment vertical="center"/>
    </x:xf>
    <x:xf numFmtId="41" fontId="18" fillId="0" borderId="0">
      <x:alignment vertical="center"/>
    </x:xf>
    <x:xf numFmtId="42" fontId="18" fillId="0" borderId="0">
      <x:alignment vertical="center"/>
    </x:xf>
    <x:xf numFmtId="0" fontId="19" fillId="0" borderId="0">
      <x:alignment vertical="center"/>
    </x:xf>
    <x:xf numFmtId="0" fontId="20" fillId="0" borderId="0">
      <x:alignment vertical="center"/>
    </x:xf>
    <x:xf numFmtId="0" fontId="18" fillId="18" borderId="81">
      <x:alignment vertical="center"/>
    </x:xf>
    <x:xf numFmtId="0" fontId="21" fillId="0" borderId="0">
      <x:alignment vertical="center"/>
    </x:xf>
    <x:xf numFmtId="0" fontId="22" fillId="0" borderId="0">
      <x:alignment vertical="center"/>
    </x:xf>
    <x:xf numFmtId="0" fontId="23" fillId="0" borderId="0">
      <x:alignment vertical="center"/>
    </x:xf>
    <x:xf numFmtId="0" fontId="24" fillId="0" borderId="82">
      <x:alignment vertical="center"/>
    </x:xf>
    <x:xf numFmtId="0" fontId="25" fillId="0" borderId="82">
      <x:alignment vertical="center"/>
    </x:xf>
    <x:xf numFmtId="0" fontId="26" fillId="0" borderId="83">
      <x:alignment vertical="center"/>
    </x:xf>
    <x:xf numFmtId="0" fontId="26" fillId="0" borderId="0">
      <x:alignment vertical="center"/>
    </x:xf>
    <x:xf numFmtId="0" fontId="27" fillId="19" borderId="84">
      <x:alignment vertical="center"/>
    </x:xf>
    <x:xf numFmtId="0" fontId="28" fillId="14" borderId="85">
      <x:alignment vertical="center"/>
    </x:xf>
    <x:xf numFmtId="0" fontId="29" fillId="14" borderId="84">
      <x:alignment vertical="center"/>
    </x:xf>
    <x:xf numFmtId="0" fontId="30" fillId="20" borderId="86">
      <x:alignment vertical="center"/>
    </x:xf>
    <x:xf numFmtId="0" fontId="31" fillId="0" borderId="87">
      <x:alignment vertical="center"/>
    </x:xf>
    <x:xf numFmtId="0" fontId="32" fillId="0" borderId="88">
      <x:alignment vertical="center"/>
    </x:xf>
    <x:xf numFmtId="0" fontId="33" fillId="21" borderId="0">
      <x:alignment vertical="center"/>
    </x:xf>
    <x:xf numFmtId="0" fontId="34" fillId="22" borderId="0">
      <x:alignment vertical="center"/>
    </x:xf>
    <x:xf numFmtId="0" fontId="35" fillId="23" borderId="0">
      <x:alignment vertical="center"/>
    </x:xf>
    <x:xf numFmtId="0" fontId="36" fillId="24" borderId="0">
      <x:alignment vertical="center"/>
    </x:xf>
    <x:xf numFmtId="0" fontId="18" fillId="25" borderId="0">
      <x:alignment vertical="center"/>
    </x:xf>
    <x:xf numFmtId="0" fontId="18" fillId="26" borderId="0">
      <x:alignment vertical="center"/>
    </x:xf>
    <x:xf numFmtId="0" fontId="36" fillId="27" borderId="0">
      <x:alignment vertical="center"/>
    </x:xf>
    <x:xf numFmtId="0" fontId="36" fillId="28" borderId="0">
      <x:alignment vertical="center"/>
    </x:xf>
    <x:xf numFmtId="0" fontId="18" fillId="29" borderId="0">
      <x:alignment vertical="center"/>
    </x:xf>
    <x:xf numFmtId="0" fontId="18" fillId="30" borderId="0">
      <x:alignment vertical="center"/>
    </x:xf>
    <x:xf numFmtId="0" fontId="36" fillId="31" borderId="0">
      <x:alignment vertical="center"/>
    </x:xf>
    <x:xf numFmtId="0" fontId="36" fillId="32" borderId="0">
      <x:alignment vertical="center"/>
    </x:xf>
    <x:xf numFmtId="0" fontId="18" fillId="33" borderId="0">
      <x:alignment vertical="center"/>
    </x:xf>
    <x:xf numFmtId="0" fontId="18" fillId="34" borderId="0">
      <x:alignment vertical="center"/>
    </x:xf>
    <x:xf numFmtId="0" fontId="36" fillId="35" borderId="0">
      <x:alignment vertical="center"/>
    </x:xf>
    <x:xf numFmtId="0" fontId="36" fillId="36" borderId="0">
      <x:alignment vertical="center"/>
    </x:xf>
    <x:xf numFmtId="0" fontId="18" fillId="37" borderId="0">
      <x:alignment vertical="center"/>
    </x:xf>
    <x:xf numFmtId="0" fontId="18" fillId="38" borderId="0">
      <x:alignment vertical="center"/>
    </x:xf>
    <x:xf numFmtId="0" fontId="36" fillId="39" borderId="0">
      <x:alignment vertical="center"/>
    </x:xf>
    <x:xf numFmtId="0" fontId="36" fillId="40" borderId="0">
      <x:alignment vertical="center"/>
    </x:xf>
    <x:xf numFmtId="0" fontId="18" fillId="41" borderId="0">
      <x:alignment vertical="center"/>
    </x:xf>
    <x:xf numFmtId="0" fontId="18" fillId="42" borderId="0">
      <x:alignment vertical="center"/>
    </x:xf>
    <x:xf numFmtId="0" fontId="36" fillId="43" borderId="0">
      <x:alignment vertical="center"/>
    </x:xf>
    <x:xf numFmtId="0" fontId="36" fillId="44" borderId="0">
      <x:alignment vertical="center"/>
    </x:xf>
    <x:xf numFmtId="0" fontId="18" fillId="45" borderId="0">
      <x:alignment vertical="center"/>
    </x:xf>
    <x:xf numFmtId="0" fontId="18" fillId="46" borderId="0">
      <x:alignment vertical="center"/>
    </x:xf>
    <x:xf numFmtId="0" fontId="36" fillId="47" borderId="0">
      <x:alignment vertical="center"/>
    </x:xf>
  </x:cellStyleXfs>
  <x:cellXfs count="38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 wrapText="1"/>
    </x:xf>
    <x:xf numFmtId="0" fontId="4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/>
    </x:xf>
    <x:xf numFmtId="0" fontId="0" fillId="0" borderId="2" xfId="0" applyBorder="1" applyAlignment="1"/>
    <x:xf numFmtId="0" fontId="2" fillId="2" borderId="3" xfId="0" applyFont="1" applyFill="1" applyBorder="1" applyAlignment="1">
      <x:alignment horizontal="center" vertical="center"/>
    </x:xf>
    <x:xf numFmtId="0" fontId="0" fillId="0" borderId="0" xfId="0" applyAlignment="1"/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4" fillId="0" borderId="6" xfId="0" applyFont="1" applyBorder="1" applyAlignment="1">
      <x:alignment vertical="center"/>
    </x:xf>
    <x:xf numFmtId="0" fontId="0" fillId="0" borderId="7" xfId="0" applyBorder="1" applyAlignment="1"/>
    <x:xf numFmtId="0" fontId="4" fillId="0" borderId="3" xfId="0" applyFont="1" applyBorder="1" applyAlignment="1">
      <x:alignment vertical="center"/>
    </x:xf>
    <x:xf numFmtId="0" fontId="6" fillId="5" borderId="8" xfId="0" applyFont="1" applyFill="1" applyBorder="1" applyAlignment="1">
      <x:alignment horizontal="center" vertical="center"/>
    </x:xf>
    <x:xf numFmtId="0" fontId="0" fillId="0" borderId="9" xfId="0" applyBorder="1" applyAlignment="1"/>
    <x:xf numFmtId="0" fontId="4" fillId="0" borderId="10" xfId="0" applyFont="1" applyBorder="1" applyAlignment="1">
      <x:alignment vertical="center"/>
    </x:xf>
    <x:xf numFmtId="0" fontId="7" fillId="6" borderId="5" xfId="0" applyFont="1" applyFill="1" applyBorder="1" applyAlignment="1">
      <x:alignment wrapText="1"/>
    </x:xf>
    <x:xf numFmtId="1" fontId="8" fillId="7" borderId="11" xfId="0" applyNumberFormat="1" applyFont="1" applyFill="1" applyBorder="1" applyAlignment="1">
      <x:alignment horizontal="center" vertical="center"/>
    </x:xf>
    <x:xf numFmtId="0" fontId="0" fillId="0" borderId="12" xfId="0" applyBorder="1" applyAlignment="1"/>
    <x:xf numFmtId="0" fontId="7" fillId="6" borderId="13" xfId="0" applyFont="1" applyFill="1" applyBorder="1" applyAlignment="1"/>
    <x:xf numFmtId="1" fontId="9" fillId="8" borderId="13" xfId="0" applyNumberFormat="1" applyFont="1" applyFill="1" applyBorder="1" applyAlignment="1">
      <x:alignment horizontal="center"/>
    </x:xf>
    <x:xf numFmtId="0" fontId="0" fillId="0" borderId="13" xfId="0" applyBorder="1" applyAlignment="1"/>
    <x:xf numFmtId="0" fontId="4" fillId="0" borderId="0" xfId="0" applyFont="1" applyAlignment="1">
      <x:alignment vertical="center"/>
    </x:xf>
    <x:xf numFmtId="0" fontId="4" fillId="0" borderId="2" xfId="0" applyFont="1" applyBorder="1" applyAlignment="1">
      <x:alignment vertical="center"/>
    </x:xf>
    <x:xf numFmtId="0" fontId="10" fillId="0" borderId="3" xfId="0" applyFont="1" applyBorder="1" applyAlignment="1"/>
    <x:xf numFmtId="0" fontId="10" fillId="0" borderId="0" xfId="0" applyFont="1" applyAlignment="1"/>
    <x:xf numFmtId="0" fontId="10" fillId="9" borderId="0" xfId="0" applyFont="1" applyFill="1" applyAlignment="1">
      <x:alignment horizontal="center"/>
    </x:xf>
    <x:xf numFmtId="0" fontId="6" fillId="10" borderId="14" xfId="0" applyFont="1" applyFill="1" applyBorder="1" applyAlignment="1">
      <x:alignment horizontal="center" vertical="center" wrapText="1"/>
    </x:xf>
    <x:xf numFmtId="0" fontId="6" fillId="10" borderId="15" xfId="0" applyFont="1" applyFill="1" applyBorder="1" applyAlignment="1">
      <x:alignment horizontal="center" vertical="center" wrapText="1"/>
    </x:xf>
    <x:xf numFmtId="0" fontId="11" fillId="0" borderId="16" xfId="0" applyFont="1" applyBorder="1" applyAlignment="1"/>
    <x:xf numFmtId="176" fontId="11" fillId="0" borderId="17" xfId="0" applyNumberFormat="1" applyFont="1" applyBorder="1" applyAlignment="1">
      <x:alignment horizontal="center"/>
    </x:xf>
    <x:xf numFmtId="176" fontId="11" fillId="0" borderId="18" xfId="0" applyNumberFormat="1" applyFont="1" applyBorder="1" applyAlignment="1">
      <x:alignment horizontal="center" vertical="center"/>
    </x:xf>
    <x:xf numFmtId="0" fontId="8" fillId="7" borderId="19" xfId="0" applyFont="1" applyFill="1" applyBorder="1" applyAlignment="1">
      <x:alignment horizontal="center"/>
    </x:xf>
    <x:xf numFmtId="0" fontId="11" fillId="0" borderId="20" xfId="0" applyFont="1" applyBorder="1" applyAlignment="1"/>
    <x:xf numFmtId="176" fontId="11" fillId="0" borderId="21" xfId="0" applyNumberFormat="1" applyFont="1" applyBorder="1" applyAlignment="1">
      <x:alignment horizontal="center"/>
    </x:xf>
    <x:xf numFmtId="176" fontId="11" fillId="0" borderId="22" xfId="0" applyNumberFormat="1" applyFont="1" applyBorder="1" applyAlignment="1">
      <x:alignment horizontal="center" vertical="center"/>
    </x:xf>
    <x:xf numFmtId="0" fontId="8" fillId="7" borderId="23" xfId="0" applyFont="1" applyFill="1" applyBorder="1" applyAlignment="1">
      <x:alignment horizontal="center"/>
    </x:xf>
    <x:xf numFmtId="0" fontId="8" fillId="7" borderId="24" xfId="0" applyFont="1" applyFill="1" applyBorder="1" applyAlignment="1">
      <x:alignment horizontal="center"/>
    </x:xf>
    <x:xf numFmtId="0" fontId="6" fillId="5" borderId="25" xfId="0" applyFont="1" applyFill="1" applyBorder="1" applyAlignment="1">
      <x:alignment horizontal="center" vertical="center"/>
    </x:xf>
    <x:xf numFmtId="0" fontId="0" fillId="0" borderId="26" xfId="0" applyBorder="1" applyAlignment="1"/>
    <x:xf numFmtId="0" fontId="7" fillId="6" borderId="27" xfId="0" applyFont="1" applyFill="1" applyBorder="1" applyAlignment="1">
      <x:alignment horizontal="center" vertical="center"/>
    </x:xf>
    <x:xf numFmtId="0" fontId="0" fillId="0" borderId="28" xfId="0" applyBorder="1" applyAlignment="1"/>
    <x:xf numFmtId="177" fontId="9" fillId="8" borderId="29" xfId="0" applyNumberFormat="1" applyFont="1" applyFill="1" applyBorder="1" applyAlignment="1">
      <x:alignment horizontal="center" vertical="center"/>
    </x:xf>
    <x:xf numFmtId="0" fontId="7" fillId="6" borderId="27" xfId="0" applyFont="1" applyFill="1" applyBorder="1" applyAlignment="1">
      <x:alignment horizontal="center"/>
    </x:xf>
    <x:xf numFmtId="177" fontId="8" fillId="3" borderId="30" xfId="0" applyNumberFormat="1" applyFont="1" applyFill="1" applyBorder="1" applyAlignment="1">
      <x:alignment horizontal="center"/>
    </x:xf>
    <x:xf numFmtId="0" fontId="7" fillId="6" borderId="31" xfId="0" applyFont="1" applyFill="1" applyBorder="1" applyAlignment="1">
      <x:alignment horizontal="center"/>
    </x:xf>
    <x:xf numFmtId="0" fontId="0" fillId="0" borderId="32" xfId="0" applyBorder="1" applyAlignment="1"/>
    <x:xf numFmtId="178" fontId="8" fillId="3" borderId="30" xfId="0" applyNumberFormat="1" applyFont="1" applyFill="1" applyBorder="1" applyAlignment="1">
      <x:alignment horizontal="center"/>
    </x:xf>
    <x:xf numFmtId="179" fontId="11" fillId="0" borderId="18" xfId="0" applyNumberFormat="1" applyFont="1" applyBorder="1" applyAlignment="1"/>
    <x:xf numFmtId="179" fontId="11" fillId="0" borderId="33" xfId="0" applyNumberFormat="1" applyFont="1" applyBorder="1" applyAlignment="1"/>
    <x:xf numFmtId="179" fontId="11" fillId="0" borderId="34" xfId="0" applyNumberFormat="1" applyFont="1" applyBorder="1" applyAlignment="1"/>
    <x:xf numFmtId="179" fontId="11" fillId="0" borderId="22" xfId="0" applyNumberFormat="1" applyFont="1" applyBorder="1" applyAlignment="1"/>
    <x:xf numFmtId="179" fontId="11" fillId="0" borderId="0" xfId="0" applyNumberFormat="1" applyFont="1" applyAlignment="1"/>
    <x:xf numFmtId="179" fontId="11" fillId="0" borderId="35" xfId="0" applyNumberFormat="1" applyFont="1" applyBorder="1" applyAlignment="1"/>
    <x:xf numFmtId="0" fontId="0" fillId="0" borderId="36" xfId="0" applyBorder="1" applyAlignment="1"/>
    <x:xf numFmtId="0" fontId="6" fillId="0" borderId="0" xfId="0" applyFont="1" applyAlignment="1">
      <x:alignment vertical="center"/>
    </x:xf>
    <x:xf numFmtId="0" fontId="0" fillId="0" borderId="37" xfId="0" applyBorder="1" applyAlignment="1"/>
    <x:xf numFmtId="0" fontId="7" fillId="0" borderId="38" xfId="0" applyFont="1" applyFill="1" applyBorder="1" applyAlignment="1"/>
    <x:xf numFmtId="179" fontId="7" fillId="11" borderId="38" xfId="0" applyNumberFormat="1" applyFont="1" applyFill="1" applyBorder="1" applyAlignment="1"/>
    <x:xf numFmtId="179" fontId="7" fillId="0" borderId="38" xfId="0" applyNumberFormat="1" applyFont="1" applyBorder="1" applyAlignment="1"/>
    <x:xf numFmtId="0" fontId="7" fillId="0" borderId="39" xfId="0" applyFont="1" applyFill="1" applyBorder="1" applyAlignment="1"/>
    <x:xf numFmtId="179" fontId="7" fillId="11" borderId="39" xfId="0" applyNumberFormat="1" applyFont="1" applyFill="1" applyBorder="1" applyAlignment="1"/>
    <x:xf numFmtId="0" fontId="8" fillId="0" borderId="38" xfId="0" applyFont="1" applyFill="1" applyBorder="1" applyAlignment="1"/>
    <x:xf numFmtId="0" fontId="8" fillId="0" borderId="39" xfId="0" applyFont="1" applyFill="1" applyBorder="1" applyAlignment="1"/>
    <x:xf numFmtId="0" fontId="12" fillId="12" borderId="0" xfId="0" applyNumberFormat="1" applyFont="1" applyFill="1" applyBorder="1" applyAlignment="1">
      <x:alignment horizontal="center" vertical="center"/>
    </x:xf>
    <x:xf numFmtId="0" fontId="8" fillId="7" borderId="19" xfId="0" applyFont="1" applyFill="1" applyBorder="1" applyAlignment="1"/>
    <x:xf numFmtId="177" fontId="8" fillId="0" borderId="38" xfId="0" applyNumberFormat="1" applyFont="1" applyBorder="1" applyAlignment="1"/>
    <x:xf numFmtId="177" fontId="8" fillId="0" borderId="17" xfId="0" applyNumberFormat="1" applyFont="1" applyBorder="1" applyAlignment="1"/>
    <x:xf numFmtId="0" fontId="8" fillId="7" borderId="24" xfId="0" applyFont="1" applyFill="1" applyBorder="1" applyAlignment="1"/>
    <x:xf numFmtId="0" fontId="8" fillId="7" borderId="23" xfId="0" applyFont="1" applyFill="1" applyBorder="1" applyAlignment="1"/>
    <x:xf numFmtId="0" fontId="0" fillId="0" borderId="40" xfId="0" applyBorder="1" applyAlignment="1"/>
    <x:xf numFmtId="0" fontId="0" fillId="0" borderId="41" xfId="0" applyBorder="1" applyAlignment="1"/>
    <x:xf numFmtId="0" fontId="12" fillId="12" borderId="41" xfId="0" applyNumberFormat="1" applyFont="1" applyFill="1" applyBorder="1" applyAlignment="1">
      <x:alignment horizontal="center" vertical="center"/>
    </x:xf>
    <x:xf numFmtId="0" fontId="6" fillId="10" borderId="42" xfId="0" applyFont="1" applyFill="1" applyBorder="1" applyAlignment="1">
      <x:alignment horizontal="center" vertical="center" wrapText="1"/>
    </x:xf>
    <x:xf numFmtId="177" fontId="8" fillId="0" borderId="34" xfId="0" applyNumberFormat="1" applyFont="1" applyBorder="1" applyAlignment="1"/>
    <x:xf numFmtId="0" fontId="7" fillId="0" borderId="43" xfId="0" applyFont="1" applyFill="1" applyBorder="1" applyAlignment="1"/>
    <x:xf numFmtId="177" fontId="8" fillId="0" borderId="35" xfId="0" applyNumberFormat="1" applyFont="1" applyBorder="1" applyAlignment="1"/>
    <x:xf numFmtId="0" fontId="7" fillId="0" borderId="44" xfId="0" applyFont="1" applyFill="1" applyBorder="1" applyAlignment="1"/>
    <x:xf numFmtId="0" fontId="8" fillId="7" borderId="45" xfId="0" applyFont="1" applyFill="1" applyBorder="1" applyAlignment="1">
      <x:alignment horizontal="center"/>
    </x:xf>
    <x:xf numFmtId="0" fontId="13" fillId="13" borderId="46" xfId="0" applyNumberFormat="1" applyFont="1" applyFill="1" applyBorder="1" applyAlignment="1">
      <x:alignment horizontal="center" vertical="center"/>
    </x:xf>
    <x:xf numFmtId="0" fontId="13" fillId="13" borderId="5" xfId="0" applyNumberFormat="1" applyFont="1" applyFill="1" applyBorder="1" applyAlignment="1">
      <x:alignment horizontal="center" vertical="center"/>
    </x:xf>
    <x:xf numFmtId="0" fontId="2" fillId="2" borderId="47" xfId="0" applyFont="1" applyFill="1" applyBorder="1" applyAlignment="1">
      <x:alignment horizontal="center" vertical="center"/>
    </x:xf>
    <x:xf numFmtId="0" fontId="5" fillId="4" borderId="47" xfId="0" applyFont="1" applyFill="1" applyBorder="1" applyAlignment="1">
      <x:alignment horizontal="center" vertical="center" wrapText="1"/>
    </x:xf>
    <x:xf numFmtId="0" fontId="5" fillId="4" borderId="48" xfId="0" applyFont="1" applyFill="1" applyBorder="1" applyAlignment="1">
      <x:alignment horizontal="center" vertical="center" wrapText="1"/>
    </x:xf>
    <x:xf numFmtId="179" fontId="9" fillId="11" borderId="39" xfId="0" applyNumberFormat="1" applyFont="1" applyFill="1" applyBorder="1" applyAlignment="1"/>
    <x:xf numFmtId="0" fontId="8" fillId="7" borderId="49" xfId="0" applyFont="1" applyFill="1" applyBorder="1" applyAlignment="1"/>
    <x:xf numFmtId="0" fontId="8" fillId="7" borderId="45" xfId="0" applyFont="1" applyFill="1" applyBorder="1" applyAlignment="1"/>
    <x:xf numFmtId="0" fontId="13" fillId="13" borderId="50" xfId="0" applyNumberFormat="1" applyFont="1" applyFill="1" applyBorder="1" applyAlignment="1">
      <x:alignment horizontal="center" vertical="center"/>
    </x:xf>
    <x:xf numFmtId="0" fontId="0" fillId="0" borderId="51" xfId="0" applyBorder="1" applyAlignment="1"/>
    <x:xf numFmtId="0" fontId="4" fillId="0" borderId="0" xfId="0" applyFont="1" applyAlignment="1">
      <x:alignment vertical="center" wrapText="1"/>
    </x:xf>
    <x:xf numFmtId="0" fontId="1" fillId="2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horizontal="center" vertical="center" wrapText="1"/>
    </x:xf>
    <x:xf numFmtId="0" fontId="12" fillId="12" borderId="0" xfId="0" applyNumberFormat="1" applyFont="1" applyFill="1" applyBorder="1" applyAlignment="1">
      <x:alignment horizontal="center" vertical="center" wrapText="1"/>
    </x:xf>
    <x:xf numFmtId="0" fontId="4" fillId="14" borderId="52" xfId="0" applyFont="1" applyFill="1" applyBorder="1" applyAlignment="1">
      <x:alignment vertical="center" wrapText="1"/>
    </x:xf>
    <x:xf numFmtId="0" fontId="8" fillId="7" borderId="53" xfId="0" applyFont="1" applyFill="1" applyBorder="1" applyAlignment="1">
      <x:alignment horizontal="center" vertical="center" wrapText="1"/>
    </x:xf>
    <x:xf numFmtId="0" fontId="0" fillId="0" borderId="0" xfId="0" applyAlignment="1">
      <x:alignment wrapText="1"/>
    </x:xf>
    <x:xf numFmtId="0" fontId="4" fillId="14" borderId="22" xfId="0" applyFont="1" applyFill="1" applyBorder="1" applyAlignment="1">
      <x:alignment vertical="center" wrapText="1"/>
    </x:xf>
    <x:xf numFmtId="179" fontId="4" fillId="8" borderId="54" xfId="0" applyNumberFormat="1" applyFont="1" applyFill="1" applyBorder="1" applyAlignment="1">
      <x:alignment horizontal="center" vertical="center" wrapText="1"/>
    </x:xf>
    <x:xf numFmtId="0" fontId="4" fillId="3" borderId="52" xfId="0" applyFont="1" applyFill="1" applyBorder="1" applyAlignment="1">
      <x:alignment vertical="center" wrapText="1"/>
    </x:xf>
    <x:xf numFmtId="0" fontId="8" fillId="7" borderId="55" xfId="0" applyFont="1" applyFill="1" applyBorder="1" applyAlignment="1">
      <x:alignment horizontal="center" vertical="center" wrapText="1"/>
    </x:xf>
    <x:xf numFmtId="0" fontId="4" fillId="15" borderId="56" xfId="0" applyFont="1" applyFill="1" applyBorder="1" applyAlignment="1">
      <x:alignment vertical="center" wrapText="1"/>
    </x:xf>
    <x:xf numFmtId="0" fontId="8" fillId="7" borderId="57" xfId="0" applyFont="1" applyFill="1" applyBorder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 wrapText="1"/>
    </x:xf>
    <x:xf numFmtId="0" fontId="3" fillId="2" borderId="58" xfId="0" applyFont="1" applyFill="1" applyBorder="1" applyAlignment="1">
      <x:alignment horizontal="center" vertical="center" wrapText="1"/>
    </x:xf>
    <x:xf numFmtId="0" fontId="3" fillId="2" borderId="59" xfId="0" applyFont="1" applyFill="1" applyBorder="1" applyAlignment="1">
      <x:alignment horizontal="center" vertical="center" wrapText="1"/>
    </x:xf>
    <x:xf numFmtId="0" fontId="4" fillId="14" borderId="60" xfId="0" applyFont="1" applyFill="1" applyBorder="1" applyAlignment="1">
      <x:alignment vertical="center" wrapText="1"/>
    </x:xf>
    <x:xf numFmtId="179" fontId="4" fillId="3" borderId="0" xfId="0" applyNumberFormat="1" applyFont="1" applyFill="1" applyAlignment="1">
      <x:alignment horizontal="center" vertical="center" wrapText="1"/>
    </x:xf>
    <x:xf numFmtId="179" fontId="4" fillId="15" borderId="0" xfId="0" applyNumberFormat="1" applyFont="1" applyFill="1" applyAlignment="1">
      <x:alignment horizontal="center" vertical="center" wrapText="1"/>
    </x:xf>
    <x:xf numFmtId="0" fontId="4" fillId="14" borderId="61" xfId="0" applyFont="1" applyFill="1" applyBorder="1" applyAlignment="1">
      <x:alignment vertical="center" wrapText="1"/>
    </x:xf>
    <x:xf numFmtId="179" fontId="4" fillId="15" borderId="62" xfId="0" applyNumberFormat="1" applyFont="1" applyFill="1" applyBorder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14" fillId="9" borderId="63" xfId="0" applyFont="1" applyFill="1" applyBorder="1" applyAlignment="1">
      <x:alignment horizontal="center" vertical="center" wrapText="1"/>
    </x:xf>
    <x:xf numFmtId="0" fontId="14" fillId="9" borderId="64" xfId="0" applyFont="1" applyFill="1" applyBorder="1" applyAlignment="1">
      <x:alignment horizontal="center" vertical="center" wrapText="1"/>
    </x:xf>
    <x:xf numFmtId="0" fontId="3" fillId="2" borderId="65" xfId="0" applyFont="1" applyFill="1" applyBorder="1" applyAlignment="1">
      <x:alignment horizontal="center" vertical="center" wrapText="1"/>
    </x:xf>
    <x:xf numFmtId="0" fontId="3" fillId="2" borderId="0" xfId="0" applyFont="1" applyFill="1" applyBorder="1" applyAlignment="1">
      <x:alignment horizontal="center" vertical="center" wrapText="1"/>
    </x:xf>
    <x:xf numFmtId="0" fontId="4" fillId="3" borderId="65" xfId="0" applyFont="1" applyFill="1" applyBorder="1" applyAlignment="1">
      <x:alignment vertical="center" wrapText="1"/>
    </x:xf>
    <x:xf numFmtId="179" fontId="4" fillId="8" borderId="66" xfId="0" applyNumberFormat="1" applyFont="1" applyFill="1" applyBorder="1" applyAlignment="1">
      <x:alignment horizontal="center" vertical="center" wrapText="1"/>
    </x:xf>
    <x:xf numFmtId="179" fontId="4" fillId="8" borderId="5" xfId="0" applyNumberFormat="1" applyFont="1" applyFill="1" applyBorder="1" applyAlignment="1">
      <x:alignment horizontal="center" vertical="center" wrapText="1"/>
    </x:xf>
    <x:xf numFmtId="0" fontId="4" fillId="15" borderId="67" xfId="0" applyFont="1" applyFill="1" applyBorder="1" applyAlignment="1">
      <x:alignment vertical="center" wrapText="1"/>
    </x:xf>
    <x:xf numFmtId="179" fontId="4" fillId="8" borderId="67" xfId="0" applyNumberFormat="1" applyFont="1" applyFill="1" applyBorder="1" applyAlignment="1">
      <x:alignment horizontal="center" vertical="center" wrapText="1"/>
    </x:xf>
    <x:xf numFmtId="179" fontId="4" fillId="8" borderId="68" xfId="0" applyNumberFormat="1" applyFont="1" applyFill="1" applyBorder="1" applyAlignment="1">
      <x:alignment horizontal="center" vertical="center" wrapText="1"/>
    </x:xf>
    <x:xf numFmtId="0" fontId="4" fillId="12" borderId="52" xfId="0" applyFont="1" applyFill="1" applyBorder="1" applyAlignment="1">
      <x:alignment horizontal="center" vertical="center" wrapText="1"/>
    </x:xf>
    <x:xf numFmtId="0" fontId="0" fillId="0" borderId="5" xfId="0" applyBorder="1"/>
    <x:xf numFmtId="0" fontId="4" fillId="16" borderId="52" xfId="0" applyFont="1" applyFill="1" applyBorder="1" applyAlignment="1">
      <x:alignment vertical="center" wrapText="1"/>
    </x:xf>
    <x:xf numFmtId="0" fontId="4" fillId="16" borderId="0" xfId="0" applyFont="1" applyFill="1" applyAlignment="1">
      <x:alignment vertical="center" wrapText="1"/>
    </x:xf>
    <x:xf numFmtId="0" fontId="4" fillId="16" borderId="22" xfId="0" applyFont="1" applyFill="1" applyBorder="1" applyAlignment="1">
      <x:alignment vertical="center" wrapText="1"/>
    </x:xf>
    <x:xf numFmtId="0" fontId="4" fillId="14" borderId="0" xfId="0" applyFont="1" applyFill="1" applyAlignment="1">
      <x:alignment vertical="center" wrapText="1"/>
    </x:xf>
    <x:xf numFmtId="0" fontId="4" fillId="14" borderId="56" xfId="0" applyFont="1" applyFill="1" applyBorder="1" applyAlignment="1">
      <x:alignment vertical="center" wrapText="1"/>
    </x:xf>
    <x:xf numFmtId="0" fontId="4" fillId="14" borderId="68" xfId="0" applyFont="1" applyFill="1" applyBorder="1" applyAlignment="1">
      <x:alignment vertical="center" wrapText="1"/>
    </x:xf>
    <x:xf numFmtId="0" fontId="15" fillId="0" borderId="0" xfId="0" applyFont="1" applyAlignment="1">
      <x:alignment horizontal="center" vertical="center" wrapText="1"/>
    </x:xf>
    <x:xf numFmtId="0" fontId="3" fillId="2" borderId="52" xfId="0" applyFont="1" applyFill="1" applyBorder="1" applyAlignment="1">
      <x:alignment horizontal="center" vertical="center" wrapText="1"/>
    </x:xf>
    <x:xf numFmtId="1" fontId="4" fillId="3" borderId="0" xfId="0" applyNumberFormat="1" applyFont="1" applyFill="1" applyAlignment="1">
      <x:alignment horizontal="center" vertical="center" wrapText="1"/>
    </x:xf>
    <x:xf numFmtId="1" fontId="4" fillId="3" borderId="68" xfId="0" applyNumberFormat="1" applyFont="1" applyFill="1" applyBorder="1" applyAlignment="1">
      <x:alignment horizontal="center" vertical="center" wrapText="1"/>
    </x:xf>
    <x:xf numFmtId="179" fontId="0" fillId="0" borderId="0" xfId="0" applyNumberFormat="1" applyAlignment="1">
      <x:alignment wrapText="1"/>
    </x:xf>
    <x:xf numFmtId="0" fontId="4" fillId="17" borderId="52" xfId="0" applyFont="1" applyFill="1" applyBorder="1" applyAlignment="1">
      <x:alignment horizontal="center" vertical="center" wrapText="1"/>
    </x:xf>
    <x:xf numFmtId="0" fontId="0" fillId="17" borderId="5" xfId="0" applyFill="1" applyBorder="1"/>
    <x:xf numFmtId="179" fontId="3" fillId="2" borderId="0" xfId="0" applyNumberFormat="1" applyFont="1" applyFill="1" applyAlignment="1">
      <x:alignment horizontal="center" vertical="center" wrapText="1"/>
    </x:xf>
    <x:xf numFmtId="0" fontId="4" fillId="14" borderId="65" xfId="0" applyFont="1" applyFill="1" applyBorder="1" applyAlignment="1">
      <x:alignment vertical="center" wrapText="1"/>
    </x:xf>
    <x:xf numFmtId="1" fontId="4" fillId="3" borderId="52" xfId="0" applyNumberFormat="1" applyFont="1" applyFill="1" applyBorder="1" applyAlignment="1">
      <x:alignment horizontal="center" vertical="center" wrapText="1"/>
    </x:xf>
    <x:xf numFmtId="1" fontId="4" fillId="3" borderId="22" xfId="0" applyNumberFormat="1" applyFont="1" applyFill="1" applyBorder="1" applyAlignment="1">
      <x:alignment horizontal="center" vertical="center" wrapText="1"/>
    </x:xf>
    <x:xf numFmtId="0" fontId="4" fillId="14" borderId="67" xfId="0" applyFont="1" applyFill="1" applyBorder="1" applyAlignment="1">
      <x:alignment vertical="center" wrapText="1"/>
    </x:xf>
    <x:xf numFmtId="1" fontId="4" fillId="3" borderId="56" xfId="0" applyNumberFormat="1" applyFont="1" applyFill="1" applyBorder="1" applyAlignment="1">
      <x:alignment horizontal="center" vertical="center" wrapText="1"/>
    </x:xf>
    <x:xf numFmtId="0" fontId="13" fillId="13" borderId="0" xfId="0" applyNumberFormat="1" applyFont="1" applyFill="1" applyBorder="1" applyAlignment="1">
      <x:alignment horizontal="center" vertical="center"/>
    </x:xf>
    <x:xf numFmtId="0" fontId="1" fillId="2" borderId="52" xfId="0" applyFont="1" applyFill="1" applyBorder="1" applyAlignment="1">
      <x:alignment horizontal="center" vertical="center"/>
    </x:xf>
    <x:xf numFmtId="0" fontId="2" fillId="2" borderId="22" xfId="0" applyFont="1" applyFill="1" applyBorder="1" applyAlignment="1">
      <x:alignment horizontal="center" vertical="center"/>
    </x:xf>
    <x:xf numFmtId="0" fontId="5" fillId="4" borderId="22" xfId="0" applyFont="1" applyFill="1" applyBorder="1" applyAlignment="1">
      <x:alignment horizontal="center" vertical="center" wrapText="1"/>
    </x:xf>
    <x:xf numFmtId="0" fontId="5" fillId="4" borderId="56" xfId="0" applyFont="1" applyFill="1" applyBorder="1" applyAlignment="1">
      <x:alignment horizontal="center" vertical="center" wrapText="1"/>
    </x:xf>
    <x:xf numFmtId="0" fontId="0" fillId="0" borderId="68" xfId="0" applyBorder="1"/>
    <x:xf numFmtId="0" fontId="3" fillId="2" borderId="69" xfId="0" applyFont="1" applyFill="1" applyBorder="1" applyAlignment="1">
      <x:alignment horizontal="center" vertical="center" wrapText="1"/>
    </x:xf>
    <x:xf numFmtId="179" fontId="4" fillId="3" borderId="70" xfId="0" applyNumberFormat="1" applyFont="1" applyFill="1" applyBorder="1" applyAlignment="1">
      <x:alignment horizontal="center" vertical="center" wrapText="1"/>
    </x:xf>
    <x:xf numFmtId="179" fontId="4" fillId="15" borderId="70" xfId="0" applyNumberFormat="1" applyFont="1" applyFill="1" applyBorder="1" applyAlignment="1">
      <x:alignment horizontal="center" vertical="center" wrapText="1"/>
    </x:xf>
    <x:xf numFmtId="179" fontId="4" fillId="15" borderId="71" xfId="0" applyNumberFormat="1" applyFont="1" applyFill="1" applyBorder="1" applyAlignment="1">
      <x:alignment horizontal="center" vertical="center" wrapText="1"/>
    </x:xf>
    <x:xf numFmtId="0" fontId="14" fillId="9" borderId="72" xfId="0" applyFont="1" applyFill="1" applyBorder="1" applyAlignment="1">
      <x:alignment horizontal="center" vertical="center" wrapText="1"/>
    </x:xf>
    <x:xf numFmtId="0" fontId="3" fillId="2" borderId="54" xfId="0" applyFont="1" applyFill="1" applyBorder="1" applyAlignment="1">
      <x:alignment horizontal="center" vertical="center" wrapText="1"/>
    </x:xf>
    <x:xf numFmtId="179" fontId="4" fillId="8" borderId="6" xfId="0" applyNumberFormat="1" applyFont="1" applyFill="1" applyBorder="1" applyAlignment="1">
      <x:alignment horizontal="center" vertical="center" wrapText="1"/>
    </x:xf>
    <x:xf numFmtId="0" fontId="4" fillId="3" borderId="54" xfId="0" applyFont="1" applyFill="1" applyBorder="1" applyAlignment="1">
      <x:alignment horizontal="center" vertical="center" wrapText="1"/>
    </x:xf>
    <x:xf numFmtId="179" fontId="4" fillId="8" borderId="37" xfId="0" applyNumberFormat="1" applyFont="1" applyFill="1" applyBorder="1" applyAlignment="1">
      <x:alignment horizontal="center" vertical="center" wrapText="1"/>
    </x:xf>
    <x:xf numFmtId="0" fontId="4" fillId="15" borderId="37" xfId="0" applyFont="1" applyFill="1" applyBorder="1" applyAlignment="1">
      <x:alignment horizontal="center" vertical="center" wrapText="1"/>
    </x:xf>
    <x:xf numFmtId="0" fontId="4" fillId="3" borderId="0" xfId="0" applyFont="1" applyFill="1" applyAlignment="1">
      <x:alignment horizontal="center" vertical="center" wrapText="1"/>
    </x:xf>
    <x:xf numFmtId="0" fontId="4" fillId="3" borderId="52" xfId="0" applyFont="1" applyFill="1" applyBorder="1" applyAlignment="1">
      <x:alignment horizontal="center" vertical="center" wrapText="1"/>
    </x:xf>
    <x:xf numFmtId="0" fontId="0" fillId="0" borderId="6" xfId="0" applyBorder="1"/>
    <x:xf numFmtId="179" fontId="4" fillId="3" borderId="54" xfId="0" applyNumberFormat="1" applyFont="1" applyFill="1" applyBorder="1" applyAlignment="1">
      <x:alignment horizontal="center" vertical="center" wrapText="1"/>
    </x:xf>
    <x:xf numFmtId="0" fontId="4" fillId="3" borderId="22" xfId="0" applyFont="1" applyFill="1" applyBorder="1" applyAlignment="1">
      <x:alignment horizontal="center" vertical="center" wrapText="1"/>
    </x:xf>
    <x:xf numFmtId="0" fontId="0" fillId="0" borderId="54" xfId="0" applyBorder="1"/>
    <x:xf numFmtId="179" fontId="4" fillId="3" borderId="0" xfId="0" applyNumberFormat="1" applyFont="1" applyFill="1" applyAlignment="1">
      <x:alignment vertical="center" wrapText="1"/>
    </x:xf>
    <x:xf numFmtId="0" fontId="4" fillId="3" borderId="68" xfId="0" applyFont="1" applyFill="1" applyBorder="1" applyAlignment="1">
      <x:alignment horizontal="center" vertical="center" wrapText="1"/>
    </x:xf>
    <x:xf numFmtId="0" fontId="4" fillId="3" borderId="56" xfId="0" applyFont="1" applyFill="1" applyBorder="1" applyAlignment="1">
      <x:alignment horizontal="center" vertical="center" wrapText="1"/>
    </x:xf>
    <x:xf numFmtId="0" fontId="0" fillId="0" borderId="37" xfId="0" applyBorder="1"/>
    <x:xf numFmtId="179" fontId="4" fillId="3" borderId="37" xfId="0" applyNumberFormat="1" applyFont="1" applyFill="1" applyBorder="1" applyAlignment="1">
      <x:alignment horizontal="center" vertical="center" wrapText="1"/>
    </x:xf>
    <x:xf numFmtId="179" fontId="4" fillId="3" borderId="52" xfId="0" applyNumberFormat="1" applyFont="1" applyFill="1" applyBorder="1" applyAlignment="1">
      <x:alignment horizontal="center" vertical="center" wrapText="1"/>
    </x:xf>
    <x:xf numFmtId="179" fontId="4" fillId="3" borderId="22" xfId="0" applyNumberFormat="1" applyFont="1" applyFill="1" applyBorder="1" applyAlignment="1">
      <x:alignment horizontal="center" vertical="center" wrapText="1"/>
    </x:xf>
    <x:xf numFmtId="179" fontId="4" fillId="3" borderId="56" xfId="0" applyNumberFormat="1" applyFont="1" applyFill="1" applyBorder="1" applyAlignment="1">
      <x:alignment horizontal="center" vertical="center" wrapText="1"/>
    </x:xf>
    <x:xf numFmtId="179" fontId="4" fillId="3" borderId="68" xfId="0" applyNumberFormat="1" applyFont="1" applyFill="1" applyBorder="1" applyAlignment="1">
      <x:alignment horizontal="center" vertical="center" wrapText="1"/>
    </x:xf>
    <x:xf numFmtId="0" fontId="1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179" fontId="4" fillId="3" borderId="54" xfId="0" applyNumberFormat="1" applyFont="1" applyFill="1" applyBorder="1" applyAlignment="1">
      <x:alignment vertical="center" wrapText="1"/>
    </x:xf>
    <x:xf numFmtId="0" fontId="4" fillId="3" borderId="37" xfId="0" applyFont="1" applyFill="1" applyBorder="1" applyAlignment="1">
      <x:alignment horizontal="center" vertical="center" wrapText="1"/>
    </x:xf>
    <x:xf numFmtId="0" fontId="0" fillId="17" borderId="6" xfId="0" applyFill="1" applyBorder="1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5" fillId="0" borderId="0" xfId="0" applyFont="1" applyAlignment="1">
      <x:alignment vertical="center" wrapText="1"/>
    </x:xf>
    <x:xf numFmtId="0" fontId="4" fillId="12" borderId="25" xfId="0" applyFont="1" applyFill="1" applyBorder="1" applyAlignment="1">
      <x:alignment horizontal="center" vertical="center" wrapText="1"/>
    </x:xf>
    <x:xf numFmtId="0" fontId="0" fillId="0" borderId="26" xfId="0" applyBorder="1"/>
    <x:xf numFmtId="0" fontId="0" fillId="0" borderId="36" xfId="0" applyBorder="1"/>
    <x:xf numFmtId="180" fontId="4" fillId="8" borderId="52" xfId="0" applyNumberFormat="1" applyFont="1" applyFill="1" applyBorder="1" applyAlignment="1">
      <x:alignment horizontal="center" vertical="center" wrapText="1"/>
    </x:xf>
    <x:xf numFmtId="0" fontId="0" fillId="0" borderId="5" xfId="0" applyBorder="1"/>
    <x:xf numFmtId="0" fontId="0" fillId="0" borderId="6" xfId="0" applyBorder="1"/>
    <x:xf numFmtId="0" fontId="4" fillId="8" borderId="22" xfId="0" applyFont="1" applyFill="1" applyBorder="1" applyAlignment="1">
      <x:alignment horizontal="center" vertical="center" wrapText="1"/>
    </x:xf>
    <x:xf numFmtId="0" fontId="0" fillId="0" borderId="0" xfId="0"/>
    <x:xf numFmtId="0" fontId="0" fillId="0" borderId="54" xfId="0" applyBorder="1"/>
    <x:xf numFmtId="180" fontId="4" fillId="8" borderId="22" xfId="0" applyNumberFormat="1" applyFont="1" applyFill="1" applyBorder="1" applyAlignment="1">
      <x:alignment horizontal="center" vertical="center" wrapText="1"/>
    </x:xf>
    <x:xf numFmtId="180" fontId="4" fillId="8" borderId="56" xfId="0" applyNumberFormat="1" applyFont="1" applyFill="1" applyBorder="1" applyAlignment="1">
      <x:alignment horizontal="center" vertical="center" wrapText="1"/>
    </x:xf>
    <x:xf numFmtId="0" fontId="0" fillId="0" borderId="68" xfId="0" applyBorder="1"/>
    <x:xf numFmtId="0" fontId="0" fillId="0" borderId="37" xfId="0" applyBorder="1"/>
    <x:xf numFmtId="180" fontId="4" fillId="3" borderId="54" xfId="0" applyNumberFormat="1" applyFont="1" applyFill="1" applyBorder="1" applyAlignment="1">
      <x:alignment horizontal="center" vertical="center" wrapText="1"/>
    </x:xf>
    <x:xf numFmtId="0" fontId="14" fillId="9" borderId="65" xfId="0" applyFont="1" applyFill="1" applyBorder="1" applyAlignment="1">
      <x:alignment horizontal="center" vertical="center" wrapText="1"/>
    </x:xf>
    <x:xf numFmtId="0" fontId="14" fillId="9" borderId="0" xfId="0" applyFont="1" applyFill="1" applyAlignment="1">
      <x:alignment horizontal="center" vertical="center" wrapText="1"/>
    </x:xf>
    <x:xf numFmtId="0" fontId="14" fillId="9" borderId="54" xfId="0" applyFont="1" applyFill="1" applyBorder="1" applyAlignment="1">
      <x:alignment horizontal="center" vertical="center" wrapText="1"/>
    </x:xf>
    <x:xf numFmtId="0" fontId="4" fillId="14" borderId="73" xfId="0" applyFont="1" applyFill="1" applyBorder="1" applyAlignment="1">
      <x:alignment vertical="center" wrapText="1"/>
    </x:xf>
    <x:xf numFmtId="180" fontId="4" fillId="8" borderId="74" xfId="0" applyNumberFormat="1" applyFont="1" applyFill="1" applyBorder="1" applyAlignment="1">
      <x:alignment horizontal="center" vertical="center" wrapText="1"/>
    </x:xf>
    <x:xf numFmtId="2" fontId="4" fillId="8" borderId="59" xfId="0" applyNumberFormat="1" applyFont="1" applyFill="1" applyBorder="1" applyAlignment="1">
      <x:alignment horizontal="center" vertical="center" wrapText="1"/>
    </x:xf>
    <x:xf numFmtId="2" fontId="4" fillId="8" borderId="75" xfId="0" applyNumberFormat="1" applyFont="1" applyFill="1" applyBorder="1" applyAlignment="1">
      <x:alignment horizontal="center" vertical="center" wrapText="1"/>
    </x:xf>
    <x:xf numFmtId="0" fontId="4" fillId="14" borderId="76" xfId="0" applyFont="1" applyFill="1" applyBorder="1" applyAlignment="1">
      <x:alignment vertical="center" wrapText="1"/>
    </x:xf>
    <x:xf numFmtId="2" fontId="4" fillId="8" borderId="0" xfId="0" applyNumberFormat="1" applyFont="1" applyFill="1" applyAlignment="1">
      <x:alignment horizontal="center" vertical="center" wrapText="1"/>
    </x:xf>
    <x:xf numFmtId="2" fontId="4" fillId="8" borderId="77" xfId="0" applyNumberFormat="1" applyFont="1" applyFill="1" applyBorder="1" applyAlignment="1">
      <x:alignment horizontal="center" vertical="center" wrapText="1"/>
    </x:xf>
    <x:xf numFmtId="0" fontId="4" fillId="14" borderId="78" xfId="0" applyFont="1" applyFill="1" applyBorder="1" applyAlignment="1">
      <x:alignment vertical="center" wrapText="1"/>
    </x:xf>
    <x:xf numFmtId="180" fontId="4" fillId="8" borderId="79" xfId="0" applyNumberFormat="1" applyFont="1" applyFill="1" applyBorder="1" applyAlignment="1">
      <x:alignment horizontal="center" vertical="center" wrapText="1"/>
    </x:xf>
    <x:xf numFmtId="2" fontId="4" fillId="8" borderId="62" xfId="0" applyNumberFormat="1" applyFont="1" applyFill="1" applyBorder="1" applyAlignment="1">
      <x:alignment horizontal="center" vertical="center" wrapText="1"/>
    </x:xf>
    <x:xf numFmtId="2" fontId="4" fillId="8" borderId="80" xfId="0" applyNumberFormat="1" applyFont="1" applyFill="1" applyBorder="1" applyAlignment="1">
      <x:alignment horizontal="center" vertical="center" wrapText="1"/>
    </x:xf>
    <x:xf numFmtId="0" fontId="4" fillId="0" borderId="0" xfId="0" applyFont="1" applyFill="1" applyBorder="1" applyAlignment="1">
      <x:alignment vertical="center" wrapText="1"/>
    </x:xf>
    <x:xf numFmtId="180" fontId="4" fillId="0" borderId="0" xfId="0" applyNumberFormat="1" applyFont="1" applyFill="1" applyBorder="1" applyAlignment="1">
      <x:alignment horizontal="center" vertical="center" wrapText="1"/>
    </x:xf>
    <x:xf numFmtId="179" fontId="4" fillId="0" borderId="0" xfId="0" applyNumberFormat="1" applyFont="1" applyFill="1" applyBorder="1" applyAlignment="1">
      <x:alignment horizontal="center" vertical="center" wrapText="1"/>
    </x:xf>
    <x:xf numFmtId="179" fontId="0" fillId="0" borderId="0" xfId="0" applyNumberFormat="1"/>
    <x:xf numFmtId="179" fontId="0" fillId="0" borderId="54" xfId="0" applyNumberFormat="1" applyBorder="1"/>
    <x:xf numFmtId="179" fontId="0" fillId="0" borderId="68" xfId="0" applyNumberFormat="1" applyBorder="1"/>
    <x:xf numFmtId="179" fontId="0" fillId="0" borderId="37" xfId="0" applyNumberFormat="1" applyBorder="1"/>
    <x:xf numFmtId="0" fontId="0" fillId="10" borderId="65" xfId="0" applyFill="1" applyBorder="1"/>
    <x:xf numFmtId="0" fontId="0" fillId="3" borderId="65" xfId="0" applyFill="1" applyBorder="1"/>
    <x:xf numFmtId="180" fontId="4" fillId="3" borderId="0" xfId="0" applyNumberFormat="1" applyFont="1" applyFill="1" applyAlignment="1">
      <x:alignment horizontal="center" vertical="center" wrapText="1"/>
    </x:xf>
    <x:xf numFmtId="0" fontId="0" fillId="15" borderId="67" xfId="0" applyFill="1" applyBorder="1"/>
    <x:xf numFmtId="180" fontId="4" fillId="15" borderId="68" xfId="0" applyNumberFormat="1" applyFont="1" applyFill="1" applyBorder="1" applyAlignment="1">
      <x:alignment horizontal="center" vertical="center"/>
    </x:xf>
    <x:xf numFmtId="0" fontId="4" fillId="15" borderId="68" xfId="0" applyFont="1" applyFill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6" fillId="10" borderId="0" xfId="0" applyFont="1" applyFill="1" applyAlignment="1">
      <x:alignment horizontal="center" vertical="center" wrapText="1"/>
    </x:xf>
    <x:xf numFmtId="179" fontId="4" fillId="8" borderId="25" xfId="0" applyNumberFormat="1" applyFont="1" applyFill="1" applyBorder="1" applyAlignment="1">
      <x:alignment horizontal="center" vertical="center" wrapText="1"/>
    </x:xf>
    <x:xf numFmtId="179" fontId="0" fillId="0" borderId="26" xfId="0" applyNumberFormat="1" applyBorder="1"/>
    <x:xf numFmtId="179" fontId="0" fillId="0" borderId="36" xfId="0" applyNumberFormat="1" applyBorder="1"/>
    <x:xf numFmtId="0" fontId="11" fillId="12" borderId="52" xfId="0" applyFont="1" applyFill="1" applyBorder="1" applyAlignment="1">
      <x:alignment horizontal="center" vertical="center" wrapText="1"/>
    </x:xf>
    <x:xf numFmtId="0" fontId="14" fillId="9" borderId="0" xfId="0" applyNumberFormat="1" applyFont="1" applyFill="1" applyAlignment="1">
      <x:alignment horizontal="center" vertical="center" wrapText="1"/>
    </x:xf>
    <x:xf numFmtId="0" fontId="3" fillId="9" borderId="0" xfId="0" applyNumberFormat="1" applyFont="1" applyFill="1" applyAlignment="1">
      <x:alignment horizontal="center" vertical="center" wrapText="1"/>
    </x:xf>
    <x:xf numFmtId="0" fontId="4" fillId="15" borderId="68" xfId="0" applyFont="1" applyFill="1" applyBorder="1" applyAlignment="1">
      <x:alignment horizontal="center" vertical="center" wrapText="1"/>
    </x:xf>
    <x:xf numFmtId="0" fontId="17" fillId="13" borderId="0" xfId="0" applyNumberFormat="1" applyFont="1" applyFill="1" applyBorder="1" applyAlignment="1">
      <x:alignment horizontal="center" vertical="center"/>
    </x:xf>
    <x:xf numFmtId="0" fontId="5" fillId="4" borderId="52" xfId="0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wrapText="1"/>
    </x:xf>
    <x:xf numFmtId="0" fontId="4" fillId="12" borderId="66" xfId="0" applyFont="1" applyFill="1" applyBorder="1" applyAlignment="1">
      <x:alignment horizontal="center" vertical="center" wrapText="1"/>
    </x:xf>
    <x:xf numFmtId="0" fontId="4" fillId="12" borderId="5" xfId="0" applyFont="1" applyFill="1" applyBorder="1" applyAlignment="1">
      <x:alignment horizontal="center" vertical="center" wrapText="1"/>
    </x:xf>
    <x:xf numFmtId="0" fontId="4" fillId="12" borderId="6" xfId="0" applyFont="1" applyFill="1" applyBorder="1" applyAlignment="1">
      <x:alignment horizontal="center" vertical="center" wrapText="1"/>
    </x:xf>
    <x:xf numFmtId="0" fontId="4" fillId="12" borderId="65" xfId="0" applyFont="1" applyFill="1" applyBorder="1" applyAlignment="1">
      <x:alignment horizontal="center" vertical="center" wrapText="1"/>
    </x:xf>
    <x:xf numFmtId="0" fontId="4" fillId="12" borderId="54" xfId="0" applyFont="1" applyFill="1" applyBorder="1" applyAlignment="1">
      <x:alignment horizontal="center" vertical="center" wrapText="1"/>
    </x:xf>
    <x:xf numFmtId="2" fontId="4" fillId="3" borderId="54" xfId="0" applyNumberFormat="1" applyFont="1" applyFill="1" applyBorder="1" applyAlignment="1">
      <x:alignment horizontal="center" vertical="center" wrapText="1"/>
    </x:xf>
    <x:xf numFmtId="2" fontId="0" fillId="0" borderId="54" xfId="0" applyNumberFormat="1" applyBorder="1"/>
    <x:xf numFmtId="2" fontId="4" fillId="3" borderId="37" xfId="0" applyNumberFormat="1" applyFont="1" applyFill="1" applyBorder="1" applyAlignment="1">
      <x:alignment horizontal="center" vertical="center" wrapText="1"/>
    </x:xf>
    <x:xf numFmtId="2" fontId="0" fillId="0" borderId="37" xfId="0" applyNumberFormat="1" applyBorder="1"/>
    <x:xf numFmtId="0" fontId="4" fillId="17" borderId="25" xfId="0" applyFont="1" applyFill="1" applyBorder="1" applyAlignment="1">
      <x:alignment horizontal="center" vertical="center" wrapText="1"/>
    </x:xf>
    <x:xf numFmtId="0" fontId="0" fillId="17" borderId="26" xfId="0" applyFill="1" applyBorder="1"/>
    <x:xf numFmtId="0" fontId="0" fillId="17" borderId="36" xfId="0" applyFill="1" applyBorder="1"/>
    <x:xf numFmtId="179" fontId="4" fillId="15" borderId="54" xfId="0" applyNumberFormat="1" applyFont="1" applyFill="1" applyBorder="1" applyAlignment="1">
      <x:alignment horizontal="center" vertical="center" wrapText="1"/>
    </x:xf>
    <x:xf numFmtId="179" fontId="0" fillId="15" borderId="54" xfId="0" applyNumberFormat="1" applyFill="1" applyBorder="1"/>
    <x:xf numFmtId="179" fontId="4" fillId="15" borderId="37" xfId="0" applyNumberFormat="1" applyFont="1" applyFill="1" applyBorder="1" applyAlignment="1">
      <x:alignment horizontal="center" vertical="center" wrapText="1"/>
    </x:xf>
    <x:xf numFmtId="179" fontId="0" fillId="15" borderId="37" xfId="0" applyNumberFormat="1" applyFill="1" applyBorder="1"/>
    <x:xf numFmtId="179" fontId="4" fillId="15" borderId="68" xfId="0" applyNumberFormat="1" applyFont="1" applyFill="1" applyBorder="1" applyAlignment="1">
      <x:alignment horizontal="center" vertical="center"/>
    </x:xf>
    <x:xf numFmtId="179" fontId="4" fillId="15" borderId="37" xfId="0" applyNumberFormat="1" applyFont="1" applyFill="1" applyBorder="1" applyAlignment="1">
      <x:alignment horizontal="center" vertical="center"/>
    </x:xf>
    <x:xf numFmtId="0" fontId="3" fillId="9" borderId="54" xfId="0" applyNumberFormat="1" applyFont="1" applyFill="1" applyBorder="1" applyAlignment="1">
      <x:alignment horizontal="center" vertical="center" wrapText="1"/>
    </x:xf>
    <x:xf numFmtId="0" fontId="12" fillId="48" borderId="0" xfId="0" applyNumberFormat="1" applyFont="1" applyFill="1" applyBorder="1" applyAlignment="1">
      <x:alignment horizontal="center" vertical="center"/>
    </x:xf>
    <x:xf numFmtId="0" fontId="12" fillId="48" borderId="0" xfId="0" applyNumberFormat="1" applyFont="1" applyFill="1" applyBorder="1" applyAlignment="1">
      <x:alignment horizontal="center" vertical="center" wrapText="0"/>
    </x:xf>
    <x:xf numFmtId="0" fontId="17" fillId="49" borderId="0" xfId="0" applyNumberFormat="1" applyFont="1" applyFill="1" applyBorder="1" applyAlignment="1">
      <x:alignment horizontal="center" vertical="center"/>
    </x:xf>
    <x:xf numFmtId="0" fontId="17" fillId="49" borderId="0" xfId="0" applyNumberFormat="1" applyFont="1" applyFill="1" applyBorder="1" applyAlignment="1">
      <x:alignment horizontal="center" vertical="center" wrapText="0"/>
    </x:xf>
    <x:xf numFmtId="0" fontId="12" fillId="48" borderId="0" xfId="0" applyNumberFormat="1" applyFont="1" applyFill="1" applyBorder="1" applyAlignment="1">
      <x:alignment horizontal="center" vertical="center" wrapText="1"/>
    </x:xf>
    <x:xf numFmtId="0" fontId="13" fillId="49" borderId="0" xfId="0" applyNumberFormat="1" applyFont="1" applyFill="1" applyBorder="1" applyAlignment="1">
      <x:alignment horizontal="center" vertical="center"/>
    </x:xf>
    <x:xf numFmtId="0" fontId="13" fillId="49" borderId="0" xfId="0" applyNumberFormat="1" applyFont="1" applyFill="1" applyBorder="1" applyAlignment="1">
      <x:alignment horizontal="center" vertical="center" wrapText="0"/>
    </x:xf>
    <x:xf numFmtId="0" fontId="12" fillId="48" borderId="41" xfId="0" applyNumberFormat="1" applyFont="1" applyFill="1" applyBorder="1" applyAlignment="1">
      <x:alignment horizontal="center" vertical="center"/>
    </x:xf>
    <x:xf numFmtId="0" fontId="12" fillId="48" borderId="41" xfId="0" applyNumberFormat="1" applyFont="1" applyFill="1" applyBorder="1" applyAlignment="1">
      <x:alignment horizontal="center" vertical="center" wrapText="0"/>
    </x:xf>
    <x:xf numFmtId="0" fontId="13" fillId="49" borderId="46" xfId="0" applyNumberFormat="1" applyFont="1" applyFill="1" applyBorder="1" applyAlignment="1">
      <x:alignment horizontal="center" vertical="center"/>
    </x:xf>
    <x:xf numFmtId="0" fontId="13" fillId="49" borderId="5" xfId="0" applyNumberFormat="1" applyFont="1" applyFill="1" applyBorder="1" applyAlignment="1">
      <x:alignment horizontal="center" vertical="center"/>
    </x:xf>
    <x:xf numFmtId="0" fontId="13" fillId="49" borderId="50" xfId="0" applyNumberFormat="1" applyFont="1" applyFill="1" applyBorder="1" applyAlignment="1">
      <x:alignment horizontal="center" vertical="center"/>
    </x:xf>
    <x:xf numFmtId="0" fontId="13" fillId="49" borderId="46" xfId="0" applyNumberFormat="1" applyFont="1" applyFill="1" applyBorder="1" applyAlignment="1">
      <x:alignment horizontal="center" vertical="center" wrapText="0"/>
    </x:xf>
    <x:xf numFmtId="0" fontId="13" fillId="49" borderId="5" xfId="0" applyNumberFormat="1" applyFont="1" applyFill="1" applyBorder="1" applyAlignment="1">
      <x:alignment horizontal="center" vertical="center" wrapText="0"/>
    </x:xf>
    <x:xf numFmtId="0" fontId="13" fillId="49" borderId="50" xfId="0" applyNumberFormat="1" applyFont="1" applyFill="1" applyBorder="1" applyAlignment="1">
      <x:alignment horizontal="center" vertical="center" wrapText="0"/>
    </x:xf>
    <x:xf numFmtId="180" fontId="4" fillId="8" borderId="52" xfId="0" applyNumberFormat="1" applyFont="1" applyFill="1" applyBorder="1" applyAlignment="1" applyProtection="1">
      <x:alignment horizontal="center" vertical="center" wrapText="1"/>
      <x:protection locked="0"/>
    </x:xf>
    <x:xf numFmtId="0" fontId="0" fillId="0" borderId="5" xfId="0" applyBorder="1" applyProtection="1">
      <x:protection locked="0"/>
    </x:xf>
    <x:xf numFmtId="0" fontId="0" fillId="0" borderId="6" xfId="0" applyBorder="1" applyProtection="1">
      <x:protection locked="0"/>
    </x:xf>
    <x:xf numFmtId="0" fontId="4" fillId="8" borderId="22" xfId="0" applyFont="1" applyFill="1" applyBorder="1" applyAlignment="1" applyProtection="1">
      <x:alignment horizontal="center" vertical="center" wrapText="1"/>
      <x:protection locked="0"/>
    </x:xf>
    <x:xf numFmtId="0" fontId="0" fillId="0" borderId="0" xfId="0" applyProtection="1">
      <x:protection locked="0"/>
    </x:xf>
    <x:xf numFmtId="0" fontId="0" fillId="0" borderId="54" xfId="0" applyBorder="1" applyProtection="1">
      <x:protection locked="0"/>
    </x:xf>
    <x:xf numFmtId="180" fontId="4" fillId="8" borderId="22" xfId="0" applyNumberFormat="1" applyFont="1" applyFill="1" applyBorder="1" applyAlignment="1" applyProtection="1">
      <x:alignment horizontal="center" vertical="center" wrapText="1"/>
      <x:protection locked="0"/>
    </x:xf>
    <x:xf numFmtId="180" fontId="4" fillId="8" borderId="56" xfId="0" applyNumberFormat="1" applyFont="1" applyFill="1" applyBorder="1" applyAlignment="1" applyProtection="1">
      <x:alignment horizontal="center" vertical="center" wrapText="1"/>
      <x:protection locked="0"/>
    </x:xf>
    <x:xf numFmtId="0" fontId="0" fillId="0" borderId="68" xfId="0" applyBorder="1" applyProtection="1">
      <x:protection locked="0"/>
    </x:xf>
    <x:xf numFmtId="0" fontId="0" fillId="0" borderId="37" xfId="0" applyBorder="1" applyProtection="1">
      <x:protection locked="0"/>
    </x:xf>
    <x:xf numFmtId="180" fontId="4" fillId="8" borderId="74" xfId="0" applyNumberFormat="1" applyFont="1" applyFill="1" applyBorder="1" applyAlignment="1" applyProtection="1">
      <x:alignment horizontal="center" vertical="center" wrapText="1"/>
      <x:protection locked="0"/>
    </x:xf>
    <x:xf numFmtId="2" fontId="4" fillId="8" borderId="59" xfId="0" applyNumberFormat="1" applyFont="1" applyFill="1" applyBorder="1" applyAlignment="1" applyProtection="1">
      <x:alignment horizontal="center" vertical="center" wrapText="1"/>
      <x:protection locked="0"/>
    </x:xf>
    <x:xf numFmtId="2" fontId="4" fillId="8" borderId="75" xfId="0" applyNumberFormat="1" applyFont="1" applyFill="1" applyBorder="1" applyAlignment="1" applyProtection="1">
      <x:alignment horizontal="center" vertical="center" wrapText="1"/>
      <x:protection locked="0"/>
    </x:xf>
    <x:xf numFmtId="2" fontId="4" fillId="8" borderId="0" xfId="0" applyNumberFormat="1" applyFont="1" applyFill="1" applyAlignment="1" applyProtection="1">
      <x:alignment horizontal="center" vertical="center" wrapText="1"/>
      <x:protection locked="0"/>
    </x:xf>
    <x:xf numFmtId="2" fontId="4" fillId="8" borderId="77" xfId="0" applyNumberFormat="1" applyFont="1" applyFill="1" applyBorder="1" applyAlignment="1" applyProtection="1">
      <x:alignment horizontal="center" vertical="center" wrapText="1"/>
      <x:protection locked="0"/>
    </x:xf>
    <x:xf numFmtId="180" fontId="4" fillId="8" borderId="79" xfId="0" applyNumberFormat="1" applyFont="1" applyFill="1" applyBorder="1" applyAlignment="1" applyProtection="1">
      <x:alignment horizontal="center" vertical="center" wrapText="1"/>
      <x:protection locked="0"/>
    </x:xf>
    <x:xf numFmtId="2" fontId="4" fillId="8" borderId="62" xfId="0" applyNumberFormat="1" applyFont="1" applyFill="1" applyBorder="1" applyAlignment="1" applyProtection="1">
      <x:alignment horizontal="center" vertical="center" wrapText="1"/>
      <x:protection locked="0"/>
    </x:xf>
    <x:xf numFmtId="2" fontId="4" fillId="8" borderId="80" xfId="0" applyNumberFormat="1" applyFont="1" applyFill="1" applyBorder="1" applyAlignment="1" applyProtection="1">
      <x:alignment horizontal="center" vertical="center" wrapText="1"/>
      <x:protection locked="0"/>
    </x:xf>
    <x:xf numFmtId="180" fontId="4" fillId="0" borderId="0" xfId="0" applyNumberFormat="1" applyFont="1" applyFill="1" applyBorder="1" applyAlignment="1" applyProtection="1">
      <x:alignment horizontal="center" vertical="center" wrapText="1"/>
      <x:protection locked="0"/>
    </x:xf>
    <x:xf numFmtId="179" fontId="4" fillId="0" borderId="0" xfId="0" applyNumberFormat="1" applyFont="1" applyFill="1" applyBorder="1" applyAlignment="1" applyProtection="1">
      <x:alignment horizontal="center" vertical="center" wrapText="1"/>
      <x:protection locked="0"/>
    </x:xf>
    <x:xf numFmtId="179" fontId="4" fillId="8" borderId="25" xfId="0" applyNumberFormat="1" applyFont="1" applyFill="1" applyBorder="1" applyAlignment="1" applyProtection="1">
      <x:alignment horizontal="center" vertical="center" wrapText="1"/>
      <x:protection locked="0"/>
    </x:xf>
    <x:xf numFmtId="179" fontId="0" fillId="0" borderId="26" xfId="0" applyNumberFormat="1" applyBorder="1" applyProtection="1">
      <x:protection locked="0"/>
    </x:xf>
    <x:xf numFmtId="179" fontId="0" fillId="0" borderId="36" xfId="0" applyNumberFormat="1" applyBorder="1" applyProtection="1">
      <x:protection locked="0"/>
    </x:xf>
    <x:xf numFmtId="0" fontId="8" fillId="7" borderId="53" xfId="0" applyFont="1" applyFill="1" applyBorder="1" applyAlignment="1" applyProtection="1">
      <x:alignment horizontal="center" vertical="center" wrapText="1"/>
      <x:protection locked="0"/>
    </x:xf>
    <x:xf numFmtId="179" fontId="4" fillId="8" borderId="54" xfId="0" applyNumberFormat="1" applyFont="1" applyFill="1" applyBorder="1" applyAlignment="1" applyProtection="1">
      <x:alignment horizontal="center" vertical="center" wrapText="1"/>
      <x:protection locked="0"/>
    </x:xf>
    <x:xf numFmtId="0" fontId="8" fillId="7" borderId="55" xfId="0" applyFont="1" applyFill="1" applyBorder="1" applyAlignment="1" applyProtection="1">
      <x:alignment horizontal="center" vertical="center" wrapText="1"/>
      <x:protection locked="0"/>
    </x:xf>
    <x:xf numFmtId="0" fontId="8" fillId="7" borderId="57" xfId="0" applyFont="1" applyFill="1" applyBorder="1" applyAlignment="1" applyProtection="1">
      <x:alignment horizontal="center" vertical="center" wrapText="1"/>
      <x:protection locked="0"/>
    </x:xf>
    <x:xf numFmtId="179" fontId="4" fillId="8" borderId="66" xfId="0" applyNumberFormat="1" applyFont="1" applyFill="1" applyBorder="1" applyAlignment="1" applyProtection="1">
      <x:alignment horizontal="center" vertical="center" wrapText="1"/>
      <x:protection locked="0"/>
    </x:xf>
    <x:xf numFmtId="179" fontId="4" fillId="8" borderId="5" xfId="0" applyNumberFormat="1" applyFont="1" applyFill="1" applyBorder="1" applyAlignment="1" applyProtection="1">
      <x:alignment horizontal="center" vertical="center" wrapText="1"/>
      <x:protection locked="0"/>
    </x:xf>
    <x:xf numFmtId="179" fontId="4" fillId="8" borderId="6" xfId="0" applyNumberFormat="1" applyFont="1" applyFill="1" applyBorder="1" applyAlignment="1" applyProtection="1">
      <x:alignment horizontal="center" vertical="center" wrapText="1"/>
      <x:protection locked="0"/>
    </x:xf>
    <x:xf numFmtId="179" fontId="4" fillId="8" borderId="67" xfId="0" applyNumberFormat="1" applyFont="1" applyFill="1" applyBorder="1" applyAlignment="1" applyProtection="1">
      <x:alignment horizontal="center" vertical="center" wrapText="1"/>
      <x:protection locked="0"/>
    </x:xf>
    <x:xf numFmtId="179" fontId="4" fillId="8" borderId="68" xfId="0" applyNumberFormat="1" applyFont="1" applyFill="1" applyBorder="1" applyAlignment="1" applyProtection="1">
      <x:alignment horizontal="center" vertical="center" wrapText="1"/>
      <x:protection locked="0"/>
    </x:xf>
    <x:xf numFmtId="179" fontId="4" fillId="8" borderId="37" xfId="0" applyNumberFormat="1" applyFont="1" applyFill="1" applyBorder="1" applyAlignment="1" applyProtection="1">
      <x:alignment horizontal="center" vertical="center" wrapText="1"/>
      <x:protection locked="0"/>
    </x:xf>
    <x:xf numFmtId="1" fontId="8" fillId="7" borderId="11" xfId="0" applyNumberFormat="1" applyFont="1" applyFill="1" applyBorder="1" applyAlignment="1" applyProtection="1">
      <x:alignment horizontal="center" vertical="center"/>
      <x:protection locked="0"/>
    </x:xf>
    <x:xf numFmtId="0" fontId="0" fillId="0" borderId="12" xfId="0" applyBorder="1" applyAlignment="1" applyProtection="1">
      <x:protection locked="0"/>
    </x:xf>
    <x:xf numFmtId="177" fontId="9" fillId="8" borderId="29" xfId="0" applyNumberFormat="1" applyFont="1" applyFill="1" applyBorder="1" applyAlignment="1" applyProtection="1">
      <x:alignment horizontal="center" vertical="center"/>
      <x:protection locked="0"/>
    </x:xf>
    <x:xf numFmtId="0" fontId="0" fillId="0" borderId="37" xfId="0" applyBorder="1" applyAlignment="1" applyProtection="1">
      <x:protection locked="0"/>
    </x:xf>
    <x:xf numFmtId="1" fontId="9" fillId="8" borderId="13" xfId="0" applyNumberFormat="1" applyFont="1" applyFill="1" applyBorder="1" applyAlignment="1" applyProtection="1">
      <x:alignment horizontal="center"/>
      <x:protection locked="0"/>
    </x:xf>
    <x:xf numFmtId="0" fontId="0" fillId="0" borderId="13" xfId="0" applyBorder="1" applyAlignment="1" applyProtection="1">
      <x:protection locked="0"/>
    </x:xf>
    <x:xf numFmtId="176" fontId="11" fillId="0" borderId="17" xfId="0" applyNumberFormat="1" applyFont="1" applyBorder="1" applyAlignment="1" applyProtection="1">
      <x:alignment horizontal="center"/>
      <x:protection locked="0"/>
    </x:xf>
    <x:xf numFmtId="176" fontId="11" fillId="0" borderId="18" xfId="0" applyNumberFormat="1" applyFont="1" applyBorder="1" applyAlignment="1" applyProtection="1">
      <x:alignment horizontal="center" vertical="center"/>
      <x:protection locked="0"/>
    </x:xf>
    <x:xf numFmtId="0" fontId="8" fillId="7" borderId="19" xfId="0" applyFont="1" applyFill="1" applyBorder="1" applyAlignment="1" applyProtection="1">
      <x:alignment horizontal="center"/>
      <x:protection locked="0"/>
    </x:xf>
    <x:xf numFmtId="179" fontId="11" fillId="0" borderId="18" xfId="0" applyNumberFormat="1" applyFont="1" applyBorder="1" applyAlignment="1" applyProtection="1">
      <x:protection locked="0"/>
    </x:xf>
    <x:xf numFmtId="179" fontId="11" fillId="0" borderId="33" xfId="0" applyNumberFormat="1" applyFont="1" applyBorder="1" applyAlignment="1" applyProtection="1">
      <x:protection locked="0"/>
    </x:xf>
    <x:xf numFmtId="179" fontId="11" fillId="0" borderId="34" xfId="0" applyNumberFormat="1" applyFont="1" applyBorder="1" applyAlignment="1" applyProtection="1">
      <x:protection locked="0"/>
    </x:xf>
    <x:xf numFmtId="179" fontId="7" fillId="11" borderId="38" xfId="0" applyNumberFormat="1" applyFont="1" applyFill="1" applyBorder="1" applyAlignment="1" applyProtection="1">
      <x:protection locked="0"/>
    </x:xf>
    <x:xf numFmtId="0" fontId="8" fillId="7" borderId="19" xfId="0" applyFont="1" applyFill="1" applyBorder="1" applyAlignment="1" applyProtection="1">
      <x:protection locked="0"/>
    </x:xf>
    <x:xf numFmtId="0" fontId="7" fillId="0" borderId="43" xfId="0" applyFont="1" applyFill="1" applyBorder="1" applyAlignment="1" applyProtection="1">
      <x:protection locked="0"/>
    </x:xf>
    <x:xf numFmtId="176" fontId="11" fillId="0" borderId="21" xfId="0" applyNumberFormat="1" applyFont="1" applyBorder="1" applyAlignment="1" applyProtection="1">
      <x:alignment horizontal="center"/>
      <x:protection locked="0"/>
    </x:xf>
    <x:xf numFmtId="176" fontId="11" fillId="0" borderId="22" xfId="0" applyNumberFormat="1" applyFont="1" applyBorder="1" applyAlignment="1" applyProtection="1">
      <x:alignment horizontal="center" vertical="center"/>
      <x:protection locked="0"/>
    </x:xf>
    <x:xf numFmtId="0" fontId="8" fillId="7" borderId="23" xfId="0" applyFont="1" applyFill="1" applyBorder="1" applyAlignment="1" applyProtection="1">
      <x:alignment horizontal="center"/>
      <x:protection locked="0"/>
    </x:xf>
    <x:xf numFmtId="179" fontId="11" fillId="0" borderId="22" xfId="0" applyNumberFormat="1" applyFont="1" applyBorder="1" applyAlignment="1" applyProtection="1">
      <x:protection locked="0"/>
    </x:xf>
    <x:xf numFmtId="179" fontId="11" fillId="0" borderId="0" xfId="0" applyNumberFormat="1" applyFont="1" applyAlignment="1" applyProtection="1">
      <x:protection locked="0"/>
    </x:xf>
    <x:xf numFmtId="179" fontId="11" fillId="0" borderId="35" xfId="0" applyNumberFormat="1" applyFont="1" applyBorder="1" applyAlignment="1" applyProtection="1">
      <x:protection locked="0"/>
    </x:xf>
    <x:xf numFmtId="179" fontId="7" fillId="11" borderId="39" xfId="0" applyNumberFormat="1" applyFont="1" applyFill="1" applyBorder="1" applyAlignment="1" applyProtection="1">
      <x:protection locked="0"/>
    </x:xf>
    <x:xf numFmtId="0" fontId="8" fillId="7" borderId="24" xfId="0" applyFont="1" applyFill="1" applyBorder="1" applyAlignment="1" applyProtection="1">
      <x:protection locked="0"/>
    </x:xf>
    <x:xf numFmtId="0" fontId="8" fillId="7" borderId="23" xfId="0" applyFont="1" applyFill="1" applyBorder="1" applyAlignment="1" applyProtection="1">
      <x:protection locked="0"/>
    </x:xf>
    <x:xf numFmtId="0" fontId="7" fillId="0" borderId="44" xfId="0" applyFont="1" applyFill="1" applyBorder="1" applyAlignment="1" applyProtection="1">
      <x:protection locked="0"/>
    </x:xf>
    <x:xf numFmtId="0" fontId="8" fillId="7" borderId="24" xfId="0" applyFont="1" applyFill="1" applyBorder="1" applyAlignment="1" applyProtection="1">
      <x:alignment horizontal="center"/>
      <x:protection locked="0"/>
    </x:xf>
    <x:xf numFmtId="0" fontId="8" fillId="7" borderId="45" xfId="0" applyFont="1" applyFill="1" applyBorder="1" applyAlignment="1" applyProtection="1">
      <x:alignment horizontal="center"/>
      <x:protection locked="0"/>
    </x:xf>
    <x:xf numFmtId="179" fontId="9" fillId="11" borderId="39" xfId="0" applyNumberFormat="1" applyFont="1" applyFill="1" applyBorder="1" applyAlignment="1" applyProtection="1">
      <x:protection locked="0"/>
    </x:xf>
    <x:xf numFmtId="0" fontId="8" fillId="7" borderId="49" xfId="0" applyFont="1" applyFill="1" applyBorder="1" applyAlignment="1" applyProtection="1">
      <x:protection locked="0"/>
    </x:xf>
    <x:xf numFmtId="0" fontId="8" fillId="7" borderId="45" xfId="0" applyFont="1" applyFill="1" applyBorder="1" applyAlignment="1" applyProtection="1">
      <x:protection locked="0"/>
    </x:xf>
    <x:xf numFmtId="177" fontId="8" fillId="3" borderId="30" xfId="0" applyNumberFormat="1" applyFont="1" applyFill="1" applyBorder="1" applyAlignment="1" applyProtection="1">
      <x:alignment horizontal="center"/>
      <x:protection locked="1" hidden="1"/>
    </x:xf>
    <x:xf numFmtId="178" fontId="8" fillId="3" borderId="30" xfId="0" applyNumberFormat="1" applyFont="1" applyFill="1" applyBorder="1" applyAlignment="1" applyProtection="1">
      <x:alignment horizontal="center"/>
      <x:protection locked="1" hidden="1"/>
    </x:xf>
    <x:xf numFmtId="0" fontId="7" fillId="0" borderId="38" xfId="0" applyFont="1" applyFill="1" applyBorder="1" applyAlignment="1" applyProtection="1">
      <x:protection locked="1" hidden="1"/>
    </x:xf>
    <x:xf numFmtId="179" fontId="7" fillId="0" borderId="38" xfId="0" applyNumberFormat="1" applyFont="1" applyBorder="1" applyAlignment="1" applyProtection="1">
      <x:protection locked="1" hidden="1"/>
    </x:xf>
    <x:xf numFmtId="0" fontId="7" fillId="0" borderId="39" xfId="0" applyFont="1" applyFill="1" applyBorder="1" applyAlignment="1" applyProtection="1">
      <x:protection locked="1" hidden="1"/>
    </x:xf>
    <x:xf numFmtId="0" fontId="8" fillId="0" borderId="38" xfId="0" applyFont="1" applyFill="1" applyBorder="1" applyAlignment="1" applyProtection="1">
      <x:protection locked="1" hidden="1"/>
    </x:xf>
    <x:xf numFmtId="0" fontId="8" fillId="0" borderId="39" xfId="0" applyFont="1" applyFill="1" applyBorder="1" applyAlignment="1" applyProtection="1">
      <x:protection locked="1" hidden="1"/>
    </x:xf>
    <x:xf numFmtId="177" fontId="8" fillId="0" borderId="38" xfId="0" applyNumberFormat="1" applyFont="1" applyBorder="1" applyAlignment="1" applyProtection="1">
      <x:protection locked="1" hidden="1"/>
    </x:xf>
    <x:xf numFmtId="177" fontId="8" fillId="0" borderId="17" xfId="0" applyNumberFormat="1" applyFont="1" applyBorder="1" applyAlignment="1" applyProtection="1">
      <x:protection locked="1" hidden="1"/>
    </x:xf>
    <x:xf numFmtId="177" fontId="8" fillId="0" borderId="34" xfId="0" applyNumberFormat="1" applyFont="1" applyBorder="1" applyAlignment="1" applyProtection="1">
      <x:protection locked="1" hidden="1"/>
    </x:xf>
    <x:xf numFmtId="177" fontId="8" fillId="0" borderId="35" xfId="0" applyNumberFormat="1" applyFont="1" applyBorder="1" applyAlignment="1" applyProtection="1">
      <x:protection locked="1" hidden="1"/>
    </x:xf>
    <x:xf numFmtId="179" fontId="4" fillId="3" borderId="0" xfId="0" applyNumberFormat="1" applyFont="1" applyFill="1" applyAlignment="1" applyProtection="1">
      <x:alignment horizontal="center" vertical="center" wrapText="1"/>
      <x:protection locked="1" hidden="1"/>
    </x:xf>
    <x:xf numFmtId="179" fontId="4" fillId="15" borderId="0" xfId="0" applyNumberFormat="1" applyFont="1" applyFill="1" applyAlignment="1" applyProtection="1">
      <x:alignment horizontal="center" vertical="center" wrapText="1"/>
      <x:protection locked="1" hidden="1"/>
    </x:xf>
    <x:xf numFmtId="179" fontId="4" fillId="15" borderId="62" xfId="0" applyNumberFormat="1" applyFont="1" applyFill="1" applyBorder="1" applyAlignment="1" applyProtection="1">
      <x:alignment horizontal="center" vertical="center" wrapText="1"/>
      <x:protection locked="1" hidden="1"/>
    </x:xf>
    <x:xf numFmtId="1" fontId="4" fillId="3" borderId="0" xfId="0" applyNumberFormat="1" applyFont="1" applyFill="1" applyAlignment="1" applyProtection="1">
      <x:alignment horizontal="center" vertical="center" wrapText="1"/>
      <x:protection locked="1" hidden="1"/>
    </x:xf>
    <x:xf numFmtId="1" fontId="4" fillId="3" borderId="68" xfId="0" applyNumberFormat="1" applyFont="1" applyFill="1" applyBorder="1" applyAlignment="1" applyProtection="1">
      <x:alignment horizontal="center" vertical="center" wrapText="1"/>
      <x:protection locked="1" hidden="1"/>
    </x:xf>
    <x:xf numFmtId="1" fontId="4" fillId="3" borderId="52" xfId="0" applyNumberFormat="1" applyFont="1" applyFill="1" applyBorder="1" applyAlignment="1" applyProtection="1">
      <x:alignment horizontal="center" vertical="center" wrapText="1"/>
      <x:protection locked="1" hidden="1"/>
    </x:xf>
    <x:xf numFmtId="1" fontId="4" fillId="3" borderId="22" xfId="0" applyNumberFormat="1" applyFont="1" applyFill="1" applyBorder="1" applyAlignment="1" applyProtection="1">
      <x:alignment horizontal="center" vertical="center" wrapText="1"/>
      <x:protection locked="1" hidden="1"/>
    </x:xf>
    <x:xf numFmtId="1" fontId="4" fillId="3" borderId="56" xfId="0" applyNumberFormat="1" applyFont="1" applyFill="1" applyBorder="1" applyAlignment="1" applyProtection="1">
      <x:alignment horizontal="center" vertical="center" wrapText="1"/>
      <x:protection locked="1" hidden="1"/>
    </x:xf>
    <x:xf numFmtId="179" fontId="4" fillId="3" borderId="70" xfId="0" applyNumberFormat="1" applyFont="1" applyFill="1" applyBorder="1" applyAlignment="1" applyProtection="1">
      <x:alignment horizontal="center" vertical="center" wrapText="1"/>
      <x:protection locked="1" hidden="1"/>
    </x:xf>
    <x:xf numFmtId="179" fontId="4" fillId="15" borderId="70" xfId="0" applyNumberFormat="1" applyFont="1" applyFill="1" applyBorder="1" applyAlignment="1" applyProtection="1">
      <x:alignment horizontal="center" vertical="center" wrapText="1"/>
      <x:protection locked="1" hidden="1"/>
    </x:xf>
    <x:xf numFmtId="179" fontId="4" fillId="15" borderId="71" xfId="0" applyNumberFormat="1" applyFont="1" applyFill="1" applyBorder="1" applyAlignment="1" applyProtection="1">
      <x:alignment horizontal="center" vertical="center" wrapText="1"/>
      <x:protection locked="1" hidden="1"/>
    </x:xf>
    <x:xf numFmtId="0" fontId="4" fillId="3" borderId="54" xfId="0" applyFont="1" applyFill="1" applyBorder="1" applyAlignment="1" applyProtection="1">
      <x:alignment horizontal="center" vertical="center" wrapText="1"/>
      <x:protection locked="1" hidden="1"/>
    </x:xf>
    <x:xf numFmtId="0" fontId="4" fillId="15" borderId="37" xfId="0" applyFont="1" applyFill="1" applyBorder="1" applyAlignment="1" applyProtection="1">
      <x:alignment horizontal="center" vertical="center" wrapText="1"/>
      <x:protection locked="1" hidden="1"/>
    </x:xf>
    <x:xf numFmtId="0" fontId="4" fillId="3" borderId="0" xfId="0" applyFont="1" applyFill="1" applyAlignment="1" applyProtection="1">
      <x:alignment horizontal="center" vertical="center" wrapText="1"/>
      <x:protection locked="1" hidden="1"/>
    </x:xf>
    <x:xf numFmtId="0" fontId="4" fillId="3" borderId="52" xfId="0" applyFont="1" applyFill="1" applyBorder="1" applyAlignment="1" applyProtection="1">
      <x:alignment horizontal="center" vertical="center" wrapText="1"/>
      <x:protection locked="1" hidden="1"/>
    </x:xf>
    <x:xf numFmtId="179" fontId="4" fillId="3" borderId="54" xfId="0" applyNumberFormat="1" applyFont="1" applyFill="1" applyBorder="1" applyAlignment="1" applyProtection="1">
      <x:alignment horizontal="center" vertical="center" wrapText="1"/>
      <x:protection locked="1" hidden="1"/>
    </x:xf>
    <x:xf numFmtId="0" fontId="4" fillId="3" borderId="22" xfId="0" applyFont="1" applyFill="1" applyBorder="1" applyAlignment="1" applyProtection="1">
      <x:alignment horizontal="center" vertical="center" wrapText="1"/>
      <x:protection locked="1" hidden="1"/>
    </x:xf>
    <x:xf numFmtId="179" fontId="4" fillId="3" borderId="0" xfId="0" applyNumberFormat="1" applyFont="1" applyFill="1" applyAlignment="1" applyProtection="1">
      <x:alignment vertical="center" wrapText="1"/>
      <x:protection locked="1" hidden="1"/>
    </x:xf>
    <x:xf numFmtId="0" fontId="4" fillId="3" borderId="68" xfId="0" applyFont="1" applyFill="1" applyBorder="1" applyAlignment="1" applyProtection="1">
      <x:alignment horizontal="center" vertical="center" wrapText="1"/>
      <x:protection locked="1" hidden="1"/>
    </x:xf>
    <x:xf numFmtId="0" fontId="4" fillId="3" borderId="56" xfId="0" applyFont="1" applyFill="1" applyBorder="1" applyAlignment="1" applyProtection="1">
      <x:alignment horizontal="center" vertical="center" wrapText="1"/>
      <x:protection locked="1" hidden="1"/>
    </x:xf>
    <x:xf numFmtId="179" fontId="4" fillId="3" borderId="37" xfId="0" applyNumberFormat="1" applyFont="1" applyFill="1" applyBorder="1" applyAlignment="1" applyProtection="1">
      <x:alignment horizontal="center" vertical="center" wrapText="1"/>
      <x:protection locked="1" hidden="1"/>
    </x:xf>
    <x:xf numFmtId="179" fontId="4" fillId="3" borderId="52" xfId="0" applyNumberFormat="1" applyFont="1" applyFill="1" applyBorder="1" applyAlignment="1" applyProtection="1">
      <x:alignment horizontal="center" vertical="center" wrapText="1"/>
      <x:protection locked="1" hidden="1"/>
    </x:xf>
    <x:xf numFmtId="179" fontId="4" fillId="3" borderId="22" xfId="0" applyNumberFormat="1" applyFont="1" applyFill="1" applyBorder="1" applyAlignment="1" applyProtection="1">
      <x:alignment horizontal="center" vertical="center" wrapText="1"/>
      <x:protection locked="1" hidden="1"/>
    </x:xf>
    <x:xf numFmtId="179" fontId="4" fillId="3" borderId="56" xfId="0" applyNumberFormat="1" applyFont="1" applyFill="1" applyBorder="1" applyAlignment="1" applyProtection="1">
      <x:alignment horizontal="center" vertical="center" wrapText="1"/>
      <x:protection locked="1" hidden="1"/>
    </x:xf>
    <x:xf numFmtId="179" fontId="4" fillId="3" borderId="68" xfId="0" applyNumberFormat="1" applyFont="1" applyFill="1" applyBorder="1" applyAlignment="1" applyProtection="1">
      <x:alignment horizontal="center" vertical="center" wrapText="1"/>
      <x:protection locked="1" hidden="1"/>
    </x:xf>
    <x:xf numFmtId="0" fontId="4" fillId="3" borderId="37" xfId="0" applyFont="1" applyFill="1" applyBorder="1" applyAlignment="1" applyProtection="1">
      <x:alignment horizontal="center" vertical="center" wrapText="1"/>
      <x:protection locked="1" hidden="1"/>
    </x:xf>
    <x:xf numFmtId="180" fontId="4" fillId="3" borderId="54" xfId="0" applyNumberFormat="1" applyFont="1" applyFill="1" applyBorder="1" applyAlignment="1" applyProtection="1">
      <x:alignment horizontal="center" vertical="center" wrapText="1"/>
      <x:protection locked="1" hidden="1"/>
    </x:xf>
    <x:xf numFmtId="180" fontId="4" fillId="3" borderId="0" xfId="0" applyNumberFormat="1" applyFont="1" applyFill="1" applyAlignment="1" applyProtection="1">
      <x:alignment horizontal="center" vertical="center" wrapText="1"/>
      <x:protection locked="1" hidden="1"/>
    </x:xf>
    <x:xf numFmtId="180" fontId="4" fillId="15" borderId="68" xfId="0" applyNumberFormat="1" applyFont="1" applyFill="1" applyBorder="1" applyAlignment="1" applyProtection="1">
      <x:alignment horizontal="center" vertical="center"/>
      <x:protection locked="1" hidden="1"/>
    </x:xf>
    <x:xf numFmtId="0" fontId="4" fillId="15" borderId="68" xfId="0" applyFont="1" applyFill="1" applyBorder="1" applyAlignment="1" applyProtection="1">
      <x:alignment horizontal="center" vertical="center"/>
      <x:protection locked="1" hidden="1"/>
    </x:xf>
    <x:xf numFmtId="0" fontId="4" fillId="15" borderId="68" xfId="0" applyFont="1" applyFill="1" applyBorder="1" applyAlignment="1" applyProtection="1">
      <x:alignment horizontal="center" vertical="center" wrapText="1"/>
      <x:protection locked="1" hidden="1"/>
    </x:xf>
    <x:xf numFmtId="2" fontId="4" fillId="3" borderId="54" xfId="0" applyNumberFormat="1" applyFont="1" applyFill="1" applyBorder="1" applyAlignment="1" applyProtection="1">
      <x:alignment horizontal="center" vertical="center" wrapText="1"/>
      <x:protection locked="1" hidden="1"/>
    </x:xf>
    <x:xf numFmtId="2" fontId="4" fillId="3" borderId="37" xfId="0" applyNumberFormat="1" applyFont="1" applyFill="1" applyBorder="1" applyAlignment="1" applyProtection="1">
      <x:alignment horizontal="center" vertical="center" wrapText="1"/>
      <x:protection locked="1" hidden="1"/>
    </x:xf>
    <x:xf numFmtId="179" fontId="4" fillId="15" borderId="54" xfId="0" applyNumberFormat="1" applyFont="1" applyFill="1" applyBorder="1" applyAlignment="1" applyProtection="1">
      <x:alignment horizontal="center" vertical="center" wrapText="1"/>
      <x:protection locked="1" hidden="1"/>
    </x:xf>
    <x:xf numFmtId="179" fontId="4" fillId="15" borderId="37" xfId="0" applyNumberFormat="1" applyFont="1" applyFill="1" applyBorder="1" applyAlignment="1" applyProtection="1">
      <x:alignment horizontal="center" vertical="center" wrapText="1"/>
      <x:protection locked="1" hidden="1"/>
    </x:xf>
    <x:xf numFmtId="179" fontId="4" fillId="15" borderId="68" xfId="0" applyNumberFormat="1" applyFont="1" applyFill="1" applyBorder="1" applyAlignment="1" applyProtection="1">
      <x:alignment horizontal="center" vertical="center"/>
      <x:protection locked="1" hidden="1"/>
    </x:xf>
    <x:xf numFmtId="179" fontId="4" fillId="15" borderId="37" xfId="0" applyNumberFormat="1" applyFont="1" applyFill="1" applyBorder="1" applyAlignment="1" applyProtection="1">
      <x:alignment horizontal="center" vertical="center"/>
      <x:protection locked="1" hidden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25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CA3AF"/>
      </x:font>
      <x:fill>
        <x:patternFill>
          <x:bgColor rgb="FFF3F4F6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444c5519b4332" /><Relationship Type="http://schemas.openxmlformats.org/officeDocument/2006/relationships/theme" Target="/xl/theme/theme1.xml" Id="R0234bf938aaa4947" /><Relationship Type="http://schemas.openxmlformats.org/officeDocument/2006/relationships/sharedStrings" Target="/xl/sharedStrings.xml" Id="R3ae6657221b44738" /><Relationship Type="http://schemas.openxmlformats.org/officeDocument/2006/relationships/worksheet" Target="/xl/worksheets/sheet1.xml" Id="R469b866f3c7f4d14" /><Relationship Type="http://schemas.openxmlformats.org/officeDocument/2006/relationships/worksheet" Target="/xl/worksheets/sheet2.xml" Id="Rfc127e67f4354a5a" /><Relationship Type="http://schemas.openxmlformats.org/officeDocument/2006/relationships/worksheet" Target="/xl/worksheets/sheet3.xml" Id="R9060ccdfdf9444fe" /><Relationship Type="http://schemas.openxmlformats.org/officeDocument/2006/relationships/worksheet" Target="/xl/worksheets/sheet4.xml" Id="Rf2b0a2151e8f45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f31e6a92758479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a9ba953bcb9a4e8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4b748a797742463d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635</xdr:colOff>
      <xdr:row>0</xdr:row>
      <xdr:rowOff>635</xdr:rowOff>
    </xdr:from>
    <xdr:to>
      <xdr:col>0</xdr:col>
      <xdr:colOff>927735</xdr:colOff>
      <xdr:row>2</xdr:row>
      <xdr:rowOff>112395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31e6a9275847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514350</xdr:colOff>
      <xdr:row>0</xdr:row>
      <xdr:rowOff>19050</xdr:rowOff>
    </xdr:from>
    <xdr:to>
      <xdr:col>8</xdr:col>
      <xdr:colOff>30480</xdr:colOff>
      <xdr:row>2</xdr:row>
      <xdr:rowOff>130810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31e6a9275847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635</xdr:colOff>
      <xdr:row>44</xdr:row>
      <xdr:rowOff>34925</xdr:rowOff>
    </xdr:from>
    <xdr:to>
      <xdr:col>0</xdr:col>
      <xdr:colOff>927735</xdr:colOff>
      <xdr:row>47</xdr:row>
      <xdr:rowOff>9525</xdr:rowOff>
    </xdr:to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31e6a9275847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523240</xdr:colOff>
      <xdr:row>44</xdr:row>
      <xdr:rowOff>34290</xdr:rowOff>
    </xdr:from>
    <xdr:to>
      <xdr:col>8</xdr:col>
      <xdr:colOff>39370</xdr:colOff>
      <xdr:row>47</xdr:row>
      <xdr:rowOff>8890</xdr:rowOff>
    </xdr:to>
    <xdr:pic>
      <xdr:nvPicPr>
        <xdr:cNvPr id="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31e6a9275847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635</xdr:colOff>
      <xdr:row>0</xdr:row>
      <xdr:rowOff>635</xdr:rowOff>
    </xdr:from>
    <xdr:to>
      <xdr:col>0</xdr:col>
      <xdr:colOff>1049020</xdr:colOff>
      <xdr:row>2</xdr:row>
      <xdr:rowOff>179070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ba953bcb9a4e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589915</xdr:colOff>
      <xdr:row>0</xdr:row>
      <xdr:rowOff>1270</xdr:rowOff>
    </xdr:from>
    <xdr:to>
      <xdr:col>8</xdr:col>
      <xdr:colOff>1528445</xdr:colOff>
      <xdr:row>2</xdr:row>
      <xdr:rowOff>208915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ba953bcb9a4e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72390</xdr:colOff>
      <xdr:row>48</xdr:row>
      <xdr:rowOff>19685</xdr:rowOff>
    </xdr:from>
    <xdr:to>
      <xdr:col>0</xdr:col>
      <xdr:colOff>975360</xdr:colOff>
      <xdr:row>50</xdr:row>
      <xdr:rowOff>174625</xdr:rowOff>
    </xdr:to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ba953bcb9a4e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659765</xdr:colOff>
      <xdr:row>48</xdr:row>
      <xdr:rowOff>69850</xdr:rowOff>
    </xdr:from>
    <xdr:to>
      <xdr:col>8</xdr:col>
      <xdr:colOff>1570355</xdr:colOff>
      <xdr:row>51</xdr:row>
      <xdr:rowOff>25400</xdr:rowOff>
    </xdr:to>
    <xdr:pic>
      <xdr:nvPicPr>
        <xdr:cNvPr id="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ba953bcb9a4e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0</xdr:col>
      <xdr:colOff>44450</xdr:colOff>
      <xdr:row>0</xdr:row>
      <xdr:rowOff>635</xdr:rowOff>
    </xdr:from>
    <xdr:to>
      <xdr:col>1</xdr:col>
      <xdr:colOff>559435</xdr:colOff>
      <xdr:row>2</xdr:row>
      <xdr:rowOff>151765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748a79774246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25</xdr:col>
      <xdr:colOff>11430</xdr:colOff>
      <xdr:row>0</xdr:row>
      <xdr:rowOff>635</xdr:rowOff>
    </xdr:from>
    <xdr:to>
      <xdr:col>26</xdr:col>
      <xdr:colOff>32385</xdr:colOff>
      <xdr:row>3</xdr:row>
      <xdr:rowOff>37465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748a79774246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107950</xdr:colOff>
      <xdr:row>211</xdr:row>
      <xdr:rowOff>76835</xdr:rowOff>
    </xdr:from>
    <xdr:to>
      <xdr:col>1</xdr:col>
      <xdr:colOff>530860</xdr:colOff>
      <xdr:row>214</xdr:row>
      <xdr:rowOff>234315</xdr:rowOff>
    </xdr:to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748a79774246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25</xdr:col>
      <xdr:colOff>178435</xdr:colOff>
      <xdr:row>211</xdr:row>
      <xdr:rowOff>116840</xdr:rowOff>
    </xdr:from>
    <xdr:to>
      <xdr:col>26</xdr:col>
      <xdr:colOff>95250</xdr:colOff>
      <xdr:row>214</xdr:row>
      <xdr:rowOff>159385</xdr:rowOff>
    </xdr:to>
    <xdr:pic>
      <xdr:nvPicPr>
        <xdr:cNvPr id="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748a79774246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3" name="TradeTrackingTable_34" displayName="TradeTrackingTable_34" ref="A10:Z212">
  <x:tableColumns count="26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ff8308fb834f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a387468377f47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447484ab93e40b1" /><Relationship Type="http://schemas.openxmlformats.org/officeDocument/2006/relationships/table" Target="/xl/tables/table1.xml" Id="R36d640f642d243b2" /></Relationships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25" customWidth="1"/>
    <x:col min="2" max="2" width="20" customWidth="1"/>
    <x:col min="3" max="3" width="13.826923370361328" customWidth="1"/>
    <x:col min="4" max="4" width="12.875" customWidth="1"/>
    <x:col min="5" max="5" width="16.961538314819336" customWidth="1"/>
    <x:col min="6" max="6" width="24.19230842590332" customWidth="1"/>
    <x:col min="7" max="7" width="23.25" customWidth="1"/>
    <x:col min="8" max="8" width="21.365385055541992" customWidth="1"/>
  </x:cols>
  <x:sheetData>
    <x:row r="1" ht="30" customHeight="1">
      <x:c r="A1" s="92" t="s">
        <x:v>0</x:v>
      </x:c>
    </x:row>
    <x:row r="2" ht="22" customHeight="1">
      <x:c r="A2" s="93" t="s">
        <x:v>1</x:v>
      </x:c>
    </x:row>
    <x:row r="3">
      <x:c r="A3" s="183" t="s">
        <x:v>2</x:v>
      </x:c>
      <x:c r="B3" s="184"/>
      <x:c r="C3" s="184"/>
      <x:c r="D3" s="185"/>
      <x:c r="E3" s="256" t="str">
        <x:v>LICENCE NUMBER: TSA-MURU-2419</x:v>
      </x:c>
      <x:c r="F3" s="256" t="str">
        <x:v>LICENCE NUMBER: TSA-MURU-2419</x:v>
      </x:c>
      <x:c r="G3" s="256" t="str">
        <x:v>LICENCE NUMBER: TSA-MURU-2419</x:v>
      </x:c>
      <x:c r="H3" s="256" t="str">
        <x:v>LICENCE NUMBER: TSA-MURU-2419</x:v>
      </x:c>
    </x:row>
    <x:row r="4" ht="17" customHeight="1">
      <x:c r="A4" s="98" t="s">
        <x:v>3</x:v>
      </x:c>
      <x:c r="B4" s="157" t="s">
        <x:v>4</x:v>
      </x:c>
      <x:c r="D4" s="165"/>
      <x:c r="E4" s="97"/>
    </x:row>
    <x:row r="5" ht="17" customHeight="1">
      <x:c r="A5" s="98" t="s">
        <x:v>5</x:v>
      </x:c>
      <x:c r="B5" s="270">
        <x:v>46258</x:v>
      </x:c>
      <x:c r="C5" s="271"/>
      <x:c r="D5" s="272"/>
      <x:c r="E5" s="97"/>
      <x:c r="F5" s="235" t="s">
        <x:v>6</x:v>
      </x:c>
    </x:row>
    <x:row r="6" ht="17" customHeight="1">
      <x:c r="A6" s="98" t="s">
        <x:v>7</x:v>
      </x:c>
      <x:c r="B6" s="273" t="s">
        <x:v>8</x:v>
      </x:c>
      <x:c r="C6" s="274"/>
      <x:c r="D6" s="275"/>
      <x:c r="E6" s="97"/>
      <x:c r="F6" s="235" t="s">
        <x:v>9</x:v>
      </x:c>
    </x:row>
    <x:row r="7" ht="17" customHeight="1">
      <x:c r="A7" s="98" t="s">
        <x:v>10</x:v>
      </x:c>
      <x:c r="B7" s="276">
        <x:v>46259</x:v>
      </x:c>
      <x:c r="C7" s="274"/>
      <x:c r="D7" s="275"/>
      <x:c r="E7" s="97"/>
    </x:row>
    <x:row r="8" ht="17" customHeight="1">
      <x:c r="A8" s="98" t="s">
        <x:v>11</x:v>
      </x:c>
      <x:c r="B8" s="273" t="s">
        <x:v>12</x:v>
      </x:c>
      <x:c r="C8" s="274"/>
      <x:c r="D8" s="275"/>
      <x:c r="E8" s="97"/>
      <x:c r="F8" s="97"/>
      <x:c r="G8" s="97"/>
      <x:c r="H8" s="97"/>
    </x:row>
    <x:row r="9" ht="17" customHeight="1">
      <x:c r="A9" s="98" t="s">
        <x:v>13</x:v>
      </x:c>
      <x:c r="B9" s="277">
        <x:v>46294</x:v>
      </x:c>
      <x:c r="C9" s="278"/>
      <x:c r="D9" s="279"/>
      <x:c r="E9" s="97"/>
      <x:c r="F9" s="97"/>
      <x:c r="G9" s="97"/>
      <x:c r="H9" s="97"/>
    </x:row>
    <x:row r="10" ht="17" customHeight="1">
      <x:c r="A10" s="98" t="s">
        <x:v>14</x:v>
      </x:c>
      <x:c r="B10" s="370" t="n">
        <x:f>IF(B7="","",WORKDAY(B7,-4))</x:f>
        <x:v>46253</x:v>
      </x:c>
      <x:c r="D10" s="165"/>
      <x:c r="E10" s="97"/>
      <x:c r="F10" s="97"/>
      <x:c r="G10" s="97"/>
      <x:c r="H10" s="97"/>
    </x:row>
    <x:row r="11" ht="17" customHeight="1">
      <x:c r="A11" s="129" t="s">
        <x:v>15</x:v>
      </x:c>
      <x:c r="B11" s="369" t="str">
        <x:f>IF(OR(B5="",B10=""),"",IF(B5&gt;=B10,B8,B6))</x:f>
        <x:v>SEP</x:v>
      </x:c>
      <x:c r="C11" s="149"/>
      <x:c r="D11" s="169"/>
      <x:c r="E11" s="97"/>
      <x:c r="F11" s="135"/>
      <x:c r="G11" s="97"/>
      <x:c r="H11" s="97"/>
    </x:row>
    <x:row r="12">
      <x:c r="A12" s="97"/>
      <x:c r="B12" s="97"/>
      <x:c r="C12" s="97"/>
      <x:c r="D12" s="97"/>
      <x:c r="E12" s="97"/>
      <x:c r="F12" s="97"/>
      <x:c r="G12" s="97"/>
      <x:c r="H12" s="97"/>
    </x:row>
    <x:row r="13">
      <x:c r="A13" s="183" t="s">
        <x:v>16</x:v>
      </x:c>
      <x:c r="B13" s="184"/>
      <x:c r="C13" s="184"/>
      <x:c r="D13" s="185"/>
      <x:c r="E13" s="97"/>
      <x:c r="F13" s="236" t="s">
        <x:v>17</x:v>
      </x:c>
      <x:c r="G13" s="237"/>
      <x:c r="H13" s="238"/>
    </x:row>
    <x:row r="14">
      <x:c r="A14" s="197" t="s">
        <x:v>18</x:v>
      </x:c>
      <x:c r="B14" s="198"/>
      <x:c r="C14" s="198"/>
      <x:c r="D14" s="199"/>
      <x:c r="E14" s="97"/>
      <x:c r="F14" s="239"/>
      <x:c r="G14" s="104"/>
      <x:c r="H14" s="240"/>
    </x:row>
    <x:row r="15" ht="17">
      <x:c r="A15" s="115" t="s">
        <x:v>19</x:v>
      </x:c>
      <x:c r="B15" s="3" t="s">
        <x:v>20</x:v>
      </x:c>
      <x:c r="C15" s="3" t="s">
        <x:v>21</x:v>
      </x:c>
      <x:c r="D15" s="155" t="s">
        <x:v>22</x:v>
      </x:c>
      <x:c r="E15" s="97"/>
      <x:c r="F15" s="98" t="s">
        <x:v>23</x:v>
      </x:c>
      <x:c r="G15" s="375" t="n">
        <x:f>MAX(C16:C18)</x:f>
        <x:v>24450</x:v>
      </x:c>
      <x:c r="H15" s="242"/>
    </x:row>
    <x:row r="16" ht="17" customHeight="1">
      <x:c r="A16" s="200" t="s">
        <x:v>24</x:v>
      </x:c>
      <x:c r="B16" s="280"/>
      <x:c r="C16" s="281">
        <x:v>24350</x:v>
      </x:c>
      <x:c r="D16" s="282">
        <x:v>24212</x:v>
      </x:c>
      <x:c r="E16" s="97"/>
      <x:c r="F16" s="98" t="s">
        <x:v>25</x:v>
      </x:c>
      <x:c r="G16" s="375" t="n">
        <x:f>MIN(D16:D18)</x:f>
        <x:v>24212</x:v>
      </x:c>
      <x:c r="H16" s="242"/>
    </x:row>
    <x:row r="17" ht="17" customHeight="1">
      <x:c r="A17" s="204" t="s">
        <x:v>26</x:v>
      </x:c>
      <x:c r="B17" s="276"/>
      <x:c r="C17" s="283">
        <x:v>24450</x:v>
      </x:c>
      <x:c r="D17" s="284">
        <x:v>24341.7</x:v>
      </x:c>
      <x:c r="E17" s="97"/>
      <x:c r="F17" s="98" t="s">
        <x:v>27</x:v>
      </x:c>
      <x:c r="G17" s="375" t="n">
        <x:f>MAX(C17:C18)</x:f>
        <x:v>24450</x:v>
      </x:c>
      <x:c r="H17" s="242"/>
    </x:row>
    <x:row r="18" ht="17" customHeight="1">
      <x:c r="A18" s="207" t="s">
        <x:v>28</x:v>
      </x:c>
      <x:c r="B18" s="285"/>
      <x:c r="C18" s="286">
        <x:v>24425</x:v>
      </x:c>
      <x:c r="D18" s="287">
        <x:v>24354</x:v>
      </x:c>
      <x:c r="E18" s="97"/>
      <x:c r="F18" s="129" t="s">
        <x:v>29</x:v>
      </x:c>
      <x:c r="G18" s="376" t="n">
        <x:f>MIN(D17:D18)</x:f>
        <x:v>24341.7</x:v>
      </x:c>
      <x:c r="H18" s="244"/>
    </x:row>
    <x:row r="19" ht="17" customHeight="1">
      <x:c r="A19" s="211"/>
      <x:c r="B19" s="288"/>
      <x:c r="C19" s="289"/>
      <x:c r="D19" s="289"/>
      <x:c r="E19" s="97"/>
    </x:row>
    <x:row r="20">
      <x:c r="A20" s="97"/>
      <x:c r="B20" s="97"/>
      <x:c r="C20" s="97"/>
      <x:c r="D20" s="97"/>
      <x:c r="E20" s="97"/>
      <x:c r="F20" s="97"/>
      <x:c r="G20" s="97"/>
      <x:c r="H20" s="97"/>
    </x:row>
    <x:row r="21">
      <x:c r="A21" s="183" t="s">
        <x:v>30</x:v>
      </x:c>
      <x:c r="B21" s="184"/>
      <x:c r="C21" s="184"/>
      <x:c r="D21" s="185"/>
      <x:c r="E21" s="97"/>
      <x:c r="F21" s="245" t="s">
        <x:v>31</x:v>
      </x:c>
      <x:c r="G21" s="246"/>
      <x:c r="H21" s="247"/>
    </x:row>
    <x:row r="22" ht="17" customHeight="1">
      <x:c r="A22" s="95" t="s">
        <x:v>32</x:v>
      </x:c>
      <x:c r="B22" s="359" t="n">
        <x:f>G15*(1+0.125%)</x:f>
        <x:v>24480.5625</x:v>
      </x:c>
      <x:c r="C22" s="214"/>
      <x:c r="D22" s="215"/>
      <x:c r="E22" s="97"/>
      <x:c r="F22" s="95" t="s">
        <x:v>32</x:v>
      </x:c>
      <x:c r="G22" s="377" t="n">
        <x:f>G16*(1-0.125%)</x:f>
        <x:v>24181.735</x:v>
      </x:c>
      <x:c r="H22" s="249"/>
    </x:row>
    <x:row r="23" ht="17" customHeight="1">
      <x:c r="A23" s="98" t="s">
        <x:v>33</x:v>
      </x:c>
      <x:c r="B23" s="359" t="n">
        <x:f>B22*(1+1.25%)</x:f>
        <x:v>24786.56953125</x:v>
      </x:c>
      <x:c r="C23" s="214"/>
      <x:c r="D23" s="215"/>
      <x:c r="E23" s="97"/>
      <x:c r="F23" s="98" t="s">
        <x:v>33</x:v>
      </x:c>
      <x:c r="G23" s="377" t="n">
        <x:f>G22*(1-1.25%)</x:f>
        <x:v>23879.4633125</x:v>
      </x:c>
      <x:c r="H23" s="249"/>
    </x:row>
    <x:row r="24" ht="17" customHeight="1">
      <x:c r="A24" s="98" t="s">
        <x:v>34</x:v>
      </x:c>
      <x:c r="B24" s="359" t="n">
        <x:f>MAX(B22*(1-1.25%),G18*(1-0.125%))</x:f>
        <x:v>24311.272875000002</x:v>
      </x:c>
      <x:c r="C24" s="214"/>
      <x:c r="D24" s="215"/>
      <x:c r="E24" s="97"/>
      <x:c r="F24" s="98" t="s">
        <x:v>34</x:v>
      </x:c>
      <x:c r="G24" s="377" t="n">
        <x:f>MIN(G22*(1+1.25%),G17*(1+0.125%))</x:f>
        <x:v>24480.5625</x:v>
      </x:c>
      <x:c r="H24" s="249"/>
    </x:row>
    <x:row r="25" ht="17" customHeight="1">
      <x:c r="A25" s="129" t="s">
        <x:v>35</x:v>
      </x:c>
      <x:c r="B25" s="364" t="n">
        <x:f>MAX(B22*(1-1.25%),G16*(1-0.125%))</x:f>
        <x:v>24181.735</x:v>
      </x:c>
      <x:c r="C25" s="216"/>
      <x:c r="D25" s="217"/>
      <x:c r="E25" s="97"/>
      <x:c r="F25" s="129" t="s">
        <x:v>35</x:v>
      </x:c>
      <x:c r="G25" s="378" t="n">
        <x:f>MIN(G22*(1+1.25%),G15*(1+0.125%))</x:f>
        <x:v>24480.5625</x:v>
      </x:c>
      <x:c r="H25" s="251"/>
    </x:row>
    <x:row r="26">
      <x:c r="A26" s="97"/>
      <x:c r="B26" s="135"/>
      <x:c r="C26" s="97"/>
      <x:c r="D26" s="97"/>
      <x:c r="E26" s="97"/>
      <x:c r="F26" s="97"/>
      <x:c r="G26" s="135"/>
      <x:c r="H26" s="97"/>
    </x:row>
    <x:row r="27">
      <x:c r="A27" s="123" t="s">
        <x:v>36</x:v>
      </x:c>
      <x:c r="B27" s="124"/>
      <x:c r="C27" s="124"/>
      <x:c r="D27" s="124"/>
      <x:c r="E27" s="124"/>
      <x:c r="F27" s="124"/>
      <x:c r="G27" s="124"/>
      <x:c r="H27" s="162"/>
    </x:row>
    <x:row r="28">
      <x:c r="A28" s="218"/>
      <x:c r="B28" s="3" t="s">
        <x:v>37</x:v>
      </x:c>
      <x:c r="C28" s="3" t="s">
        <x:v>38</x:v>
      </x:c>
      <x:c r="D28" s="3" t="s">
        <x:v>39</x:v>
      </x:c>
      <x:c r="E28" s="3" t="s">
        <x:v>32</x:v>
      </x:c>
      <x:c r="F28" s="3" t="s">
        <x:v>33</x:v>
      </x:c>
      <x:c r="G28" s="3" t="s">
        <x:v>34</x:v>
      </x:c>
      <x:c r="H28" s="155" t="s">
        <x:v>35</x:v>
      </x:c>
    </x:row>
    <x:row r="29" ht="17" customHeight="1">
      <x:c r="A29" s="219" t="s">
        <x:v>40</x:v>
      </x:c>
      <x:c r="B29" s="371" t="n">
        <x:f>B5</x:f>
        <x:v>46258</x:v>
      </x:c>
      <x:c r="C29" s="357" t="str">
        <x:f>B11</x:f>
        <x:v>SEP</x:v>
      </x:c>
      <x:c r="D29" s="160" t="s">
        <x:v>41</x:v>
      </x:c>
      <x:c r="E29" s="344" t="n">
        <x:f>B22</x:f>
        <x:v>24480.5625</x:v>
      </x:c>
      <x:c r="F29" s="344" t="n">
        <x:f>B23</x:f>
        <x:v>24786.56953125</x:v>
      </x:c>
      <x:c r="G29" s="344" t="n">
        <x:f>B24</x:f>
        <x:v>24311.272875000002</x:v>
      </x:c>
      <x:c r="H29" s="359" t="n">
        <x:f>B25</x:f>
        <x:v>24181.735</x:v>
      </x:c>
    </x:row>
    <x:row r="30">
      <x:c r="A30" s="221" t="s">
        <x:v>42</x:v>
      </x:c>
      <x:c r="B30" s="372" t="n">
        <x:f>B5</x:f>
        <x:v>46258</x:v>
      </x:c>
      <x:c r="C30" s="373" t="str">
        <x:f>B11</x:f>
        <x:v>SEP</x:v>
      </x:c>
      <x:c r="D30" s="223" t="s">
        <x:v>43</x:v>
      </x:c>
      <x:c r="E30" s="379" t="n">
        <x:f>G22</x:f>
        <x:v>24181.735</x:v>
      </x:c>
      <x:c r="F30" s="379" t="n">
        <x:f>G23</x:f>
        <x:v>23879.4633125</x:v>
      </x:c>
      <x:c r="G30" s="379" t="n">
        <x:f>G24</x:f>
        <x:v>24480.5625</x:v>
      </x:c>
      <x:c r="H30" s="380" t="n">
        <x:f>G25</x:f>
        <x:v>24480.5625</x:v>
      </x:c>
    </x:row>
    <x:row r="31">
      <x:c r="A31" s="224"/>
    </x:row>
    <x:row r="32">
      <x:c r="A32" s="225" t="s">
        <x:v>44</x:v>
      </x:c>
    </x:row>
    <x:row r="33">
      <x:c r="A33" s="183" t="s">
        <x:v>45</x:v>
      </x:c>
      <x:c r="B33" s="184"/>
      <x:c r="C33" s="184"/>
      <x:c r="D33" s="185"/>
      <x:c r="E33" s="97"/>
      <x:c r="F33" s="245" t="s">
        <x:v>46</x:v>
      </x:c>
      <x:c r="G33" s="184"/>
      <x:c r="H33" s="185"/>
    </x:row>
    <x:row r="34" ht="17" customHeight="1">
      <x:c r="A34" s="95" t="s">
        <x:v>47</x:v>
      </x:c>
      <x:c r="B34" s="290"/>
      <x:c r="C34" s="291"/>
      <x:c r="D34" s="292"/>
      <x:c r="E34" s="97"/>
      <x:c r="F34" s="95" t="s">
        <x:v>48</x:v>
      </x:c>
      <x:c r="G34" s="290">
        <x:v>24555.1</x:v>
      </x:c>
      <x:c r="H34" s="292"/>
    </x:row>
    <x:row r="35" ht="17" customHeight="1">
      <x:c r="A35" s="98" t="s">
        <x:v>32</x:v>
      </x:c>
      <x:c r="B35" s="359" t="n">
        <x:f>B34*(1+0.125%)</x:f>
        <x:v>0</x:v>
      </x:c>
      <x:c r="C35" s="214"/>
      <x:c r="D35" s="215"/>
      <x:c r="E35" s="97"/>
      <x:c r="F35" s="98" t="s">
        <x:v>32</x:v>
      </x:c>
      <x:c r="G35" s="377" t="n">
        <x:f>G34*(1+0.125%)</x:f>
        <x:v>24585.793875</x:v>
      </x:c>
      <x:c r="H35" s="215"/>
    </x:row>
    <x:row r="36" ht="17" customHeight="1">
      <x:c r="A36" s="98" t="s">
        <x:v>33</x:v>
      </x:c>
      <x:c r="B36" s="359" t="n">
        <x:f>B35*(1+1.25%)</x:f>
        <x:v>0</x:v>
      </x:c>
      <x:c r="C36" s="214"/>
      <x:c r="D36" s="215"/>
      <x:c r="E36" s="97"/>
      <x:c r="F36" s="98" t="s">
        <x:v>33</x:v>
      </x:c>
      <x:c r="G36" s="377" t="n">
        <x:f>G35*(1-1.25%)</x:f>
        <x:v>24278.471451562502</x:v>
      </x:c>
      <x:c r="H36" s="215"/>
    </x:row>
    <x:row r="37" ht="17" customHeight="1">
      <x:c r="A37" s="98" t="s">
        <x:v>34</x:v>
      </x:c>
      <x:c r="B37" s="359" t="n">
        <x:f>MAX(B35*(1-1.25%),G18*(1-0.125%))</x:f>
        <x:v>24311.272875000002</x:v>
      </x:c>
      <x:c r="C37" s="214"/>
      <x:c r="D37" s="215"/>
      <x:c r="E37" s="97"/>
      <x:c r="F37" s="98" t="s">
        <x:v>34</x:v>
      </x:c>
      <x:c r="G37" s="377" t="n">
        <x:f>MIN(G35*(1+1.25%),G17*(1+0.125%))</x:f>
        <x:v>24480.5625</x:v>
      </x:c>
      <x:c r="H37" s="215"/>
    </x:row>
    <x:row r="38" ht="17" customHeight="1">
      <x:c r="A38" s="129" t="s">
        <x:v>35</x:v>
      </x:c>
      <x:c r="B38" s="364" t="n">
        <x:f>MAX(B35*(1-1.25%),G16*(1-0.125%))</x:f>
        <x:v>24181.735</x:v>
      </x:c>
      <x:c r="C38" s="216"/>
      <x:c r="D38" s="217"/>
      <x:c r="E38" s="97"/>
      <x:c r="F38" s="129" t="s">
        <x:v>35</x:v>
      </x:c>
      <x:c r="G38" s="378" t="n">
        <x:f>MIN(G35*(1+1.25%),G15*(1+0.125%))</x:f>
        <x:v>24480.5625</x:v>
      </x:c>
      <x:c r="H38" s="217"/>
    </x:row>
    <x:row r="39" ht="18" customHeight="1"/>
    <x:row r="40" ht="19" customHeight="1">
      <x:c r="A40" s="229" t="s">
        <x:v>49</x:v>
      </x:c>
      <x:c r="B40" s="124"/>
      <x:c r="C40" s="124"/>
      <x:c r="D40" s="124"/>
      <x:c r="E40" s="124"/>
      <x:c r="F40" s="124"/>
      <x:c r="G40" s="124"/>
      <x:c r="H40" s="162"/>
    </x:row>
    <x:row r="41" ht="17" customHeight="1">
      <x:c r="A41" s="218"/>
      <x:c r="B41" s="230" t="s">
        <x:v>50</x:v>
      </x:c>
      <x:c r="C41" s="231"/>
      <x:c r="D41" s="231"/>
      <x:c r="E41" s="231"/>
      <x:c r="F41" s="231"/>
      <x:c r="G41" s="231"/>
      <x:c r="H41" s="254"/>
    </x:row>
    <x:row r="42" ht="17" customHeight="1">
      <x:c r="A42" s="218"/>
      <x:c r="B42" s="3" t="s">
        <x:v>37</x:v>
      </x:c>
      <x:c r="C42" s="3" t="s">
        <x:v>38</x:v>
      </x:c>
      <x:c r="D42" s="3" t="s">
        <x:v>39</x:v>
      </x:c>
      <x:c r="E42" s="3" t="s">
        <x:v>32</x:v>
      </x:c>
      <x:c r="F42" s="3" t="s">
        <x:v>33</x:v>
      </x:c>
      <x:c r="G42" s="3" t="s">
        <x:v>34</x:v>
      </x:c>
      <x:c r="H42" s="155" t="s">
        <x:v>35</x:v>
      </x:c>
    </x:row>
    <x:row r="43" ht="16" customHeight="1">
      <x:c r="A43" s="219" t="s">
        <x:v>51</x:v>
      </x:c>
      <x:c r="B43" s="371" t="n">
        <x:f>B5</x:f>
        <x:v>46258</x:v>
      </x:c>
      <x:c r="C43" s="357" t="str">
        <x:f>$B$11</x:f>
        <x:v>SEP</x:v>
      </x:c>
      <x:c r="D43" s="160" t="s">
        <x:v>41</x:v>
      </x:c>
      <x:c r="E43" s="344" t="n">
        <x:f>B35</x:f>
        <x:v>0</x:v>
      </x:c>
      <x:c r="F43" s="344" t="n">
        <x:f>B36</x:f>
        <x:v>0</x:v>
      </x:c>
      <x:c r="G43" s="344" t="n">
        <x:f>B37</x:f>
        <x:v>24311.272875000002</x:v>
      </x:c>
      <x:c r="H43" s="359" t="n">
        <x:f>B38</x:f>
        <x:v>24181.735</x:v>
      </x:c>
    </x:row>
    <x:row r="44" ht="14" customHeight="1">
      <x:c r="A44" s="221" t="s">
        <x:v>52</x:v>
      </x:c>
      <x:c r="B44" s="372" t="n">
        <x:f>B5</x:f>
        <x:v>46258</x:v>
      </x:c>
      <x:c r="C44" s="374" t="str">
        <x:f>$B$11</x:f>
        <x:v>SEP</x:v>
      </x:c>
      <x:c r="D44" s="223" t="s">
        <x:v>43</x:v>
      </x:c>
      <x:c r="E44" s="379" t="n">
        <x:f>G35</x:f>
        <x:v>24585.793875</x:v>
      </x:c>
      <x:c r="F44" s="379" t="n">
        <x:f>G36</x:f>
        <x:v>24278.471451562502</x:v>
      </x:c>
      <x:c r="G44" s="379" t="n">
        <x:f>G37</x:f>
        <x:v>24480.5625</x:v>
      </x:c>
      <x:c r="H44" s="380" t="n">
        <x:f>G38</x:f>
        <x:v>24480.5625</x:v>
      </x:c>
    </x:row>
    <x:row r="45" ht="20" customHeight="1">
      <x:c r="A45" s="258" t="str">
        <x:v>STUDENT NAME: MURUGAN M  |  EMAIL ID: muruganm56789@gmail.com  |  CONTACT NUMBER: +918610022419  |  LICENCE NUMBER: TSA-MURU-2419</x:v>
      </x:c>
      <x:c r="B45" s="258" t="str">
        <x:v>STUDENT NAME: MURUGAN M  |  EMAIL ID: muruganm56789@gmail.com  |  CONTACT NUMBER: +918610022419  |  LICENCE NUMBER: TSA-MURU-2419</x:v>
      </x:c>
      <x:c r="C45" s="258" t="str">
        <x:v>STUDENT NAME: MURUGAN M  |  EMAIL ID: muruganm56789@gmail.com  |  CONTACT NUMBER: +918610022419  |  LICENCE NUMBER: TSA-MURU-2419</x:v>
      </x:c>
      <x:c r="D45" s="258" t="str">
        <x:v>STUDENT NAME: MURUGAN M  |  EMAIL ID: muruganm56789@gmail.com  |  CONTACT NUMBER: +918610022419  |  LICENCE NUMBER: TSA-MURU-2419</x:v>
      </x:c>
      <x:c r="E45" s="258" t="str">
        <x:v>STUDENT NAME: MURUGAN M  |  EMAIL ID: muruganm56789@gmail.com  |  CONTACT NUMBER: +918610022419  |  LICENCE NUMBER: TSA-MURU-2419</x:v>
      </x:c>
      <x:c r="F45" s="258" t="str">
        <x:v>STUDENT NAME: MURUGAN M  |  EMAIL ID: muruganm56789@gmail.com  |  CONTACT NUMBER: +918610022419  |  LICENCE NUMBER: TSA-MURU-2419</x:v>
      </x:c>
      <x:c r="G45" s="258" t="str">
        <x:v>STUDENT NAME: MURUGAN M  |  EMAIL ID: muruganm56789@gmail.com  |  CONTACT NUMBER: +918610022419  |  LICENCE NUMBER: TSA-MURU-2419</x:v>
      </x:c>
      <x:c r="H45" s="258" t="str">
        <x:v>STUDENT NAME: MURUGAN M  |  EMAIL ID: muruganm56789@gmail.com  |  CONTACT NUMBER: +918610022419  |  LICENCE NUMBER: TSA-MURU-2419</x:v>
      </x:c>
    </x:row>
    <x:row r="46" ht="26" customHeight="1">
      <x:c r="A46" s="1" t="s">
        <x:v>0</x:v>
      </x:c>
    </x:row>
    <x:row r="47">
      <x:c r="A47" s="2" t="s">
        <x:v>1</x:v>
      </x:c>
    </x:row>
    <x:row r="48">
      <x:c r="A48" s="234" t="s">
        <x:v>53</x:v>
      </x:c>
      <x:c r="B48" s="124"/>
      <x:c r="C48" s="124"/>
      <x:c r="D48" s="124"/>
      <x:c r="E48" s="124"/>
      <x:c r="F48" s="124"/>
      <x:c r="G48" s="124"/>
      <x:c r="H48" s="162"/>
    </x:row>
    <x:row r="49">
      <x:c r="A49" s="147" t="s">
        <x:v>54</x:v>
      </x:c>
      <x:c r="H49" s="165"/>
    </x:row>
    <x:row r="50">
      <x:c r="A50" s="147" t="s">
        <x:v>55</x:v>
      </x:c>
      <x:c r="H50" s="165"/>
    </x:row>
    <x:row r="51">
      <x:c r="A51" s="148" t="s">
        <x:v>56</x:v>
      </x:c>
      <x:c r="B51" s="149"/>
      <x:c r="C51" s="149"/>
      <x:c r="D51" s="149"/>
      <x:c r="E51" s="149"/>
      <x:c r="F51" s="149"/>
      <x:c r="G51" s="149"/>
      <x:c r="H51" s="169"/>
    </x:row>
    <x:row r="55" ht="24" customHeight="1"/>
    <x:row r="56" ht="24" customHeight="1"/>
    <x:row r="57" ht="24" customHeight="1"/>
    <x:row r="58" ht="24" customHeight="1"/>
  </x:sheetData>
  <x:sheetProtection algorithmName="SHA-512" hashValue="nzgVe6ugK+0lDrBMiC1v8i+PvhtAwIP/icU3PI1SH/LtL3vRfXQsUeJb1A1LkSRrecAMuXiDlmBZ+YXnKmXf/A==" saltValue="V/fHO+wQKYsdJPzqKLfZwg==" spinCount="100000" sheet="1" objects="1"/>
  <x:mergeCells>
    <x:mergeCell ref="A1:H1"/>
    <x:mergeCell ref="A2:H2"/>
    <x:mergeCell ref="A3:D3"/>
    <x:mergeCell ref="E3:H3"/>
    <x:mergeCell ref="B4:D4"/>
    <x:mergeCell ref="B5:D5"/>
    <x:mergeCell ref="B6:D6"/>
    <x:mergeCell ref="B7:D7"/>
    <x:mergeCell ref="B8:D8"/>
    <x:mergeCell ref="B9:D9"/>
    <x:mergeCell ref="B10:D10"/>
    <x:mergeCell ref="B11:D11"/>
    <x:mergeCell ref="A13:D13"/>
    <x:mergeCell ref="A14:D14"/>
    <x:mergeCell ref="G15:H15"/>
    <x:mergeCell ref="G16:H16"/>
    <x:mergeCell ref="G17:H17"/>
    <x:mergeCell ref="G18:H18"/>
    <x:mergeCell ref="A21:D21"/>
    <x:mergeCell ref="F21:H21"/>
    <x:mergeCell ref="B22:D22"/>
    <x:mergeCell ref="G22:H22"/>
    <x:mergeCell ref="B23:D23"/>
    <x:mergeCell ref="G23:H23"/>
    <x:mergeCell ref="B24:D24"/>
    <x:mergeCell ref="G24:H24"/>
    <x:mergeCell ref="B25:D25"/>
    <x:mergeCell ref="G25:H25"/>
    <x:mergeCell ref="A27:H27"/>
    <x:mergeCell ref="A31:H31"/>
    <x:mergeCell ref="A32:H32"/>
    <x:mergeCell ref="A33:D33"/>
    <x:mergeCell ref="F33:H33"/>
    <x:mergeCell ref="B34:D34"/>
    <x:mergeCell ref="G34:H34"/>
    <x:mergeCell ref="B35:D35"/>
    <x:mergeCell ref="G35:H35"/>
    <x:mergeCell ref="B36:D36"/>
    <x:mergeCell ref="G36:H36"/>
    <x:mergeCell ref="B37:D37"/>
    <x:mergeCell ref="G37:H37"/>
    <x:mergeCell ref="B38:D38"/>
    <x:mergeCell ref="G38:H38"/>
    <x:mergeCell ref="A40:H40"/>
    <x:mergeCell ref="B41:H41"/>
    <x:mergeCell ref="A45:H45"/>
    <x:mergeCell ref="A46:H46"/>
    <x:mergeCell ref="A47:H47"/>
    <x:mergeCell ref="A48:H48"/>
    <x:mergeCell ref="A49:H49"/>
    <x:mergeCell ref="A50:H50"/>
    <x:mergeCell ref="A51:H51"/>
    <x:mergeCell ref="F13:H14"/>
  </x:mergeCells>
  <x:pageMargins left="0.7" right="0.7" top="0.75" bottom="0.75" header="0.3" footer="0.3"/>
  <x:drawing xmlns:r="http://schemas.openxmlformats.org/officeDocument/2006/relationships" r:id="Rb7ff8308fb834fc1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23.394229888916016" customWidth="1"/>
    <x:col min="2" max="2" width="18" customWidth="1"/>
    <x:col min="3" max="3" width="24.68269157409668" customWidth="1"/>
    <x:col min="4" max="4" width="26.105770111083984" customWidth="1"/>
    <x:col min="5" max="5" width="15.711538314819336" customWidth="1"/>
    <x:col min="6" max="6" width="19.894229888916016" customWidth="1"/>
    <x:col min="7" max="7" width="22.836538314819336" customWidth="1"/>
    <x:col min="8" max="8" width="17.94230842590332" customWidth="1"/>
    <x:col min="9" max="9" width="24.038461685180664" customWidth="1"/>
    <x:col min="10" max="10" width="18.903846740722656" customWidth="1"/>
    <x:col min="11" max="11" width="21.471153259277344" customWidth="1"/>
    <x:col min="12" max="12" width="14" customWidth="1"/>
    <x:col min="13" max="13" width="34" customWidth="1"/>
    <x:col min="14" max="14" width="14" customWidth="1"/>
  </x:cols>
  <x:sheetData>
    <x:row r="1" ht="27" customHeight="1">
      <x:c r="A1" s="92" t="s">
        <x:v>0</x:v>
      </x:c>
      <x:c r="J1" s="175"/>
      <x:c r="K1" s="175"/>
      <x:c r="L1" s="175"/>
      <x:c r="M1" s="175"/>
      <x:c r="N1" s="175"/>
    </x:row>
    <x:row r="2" ht="15" customHeight="1">
      <x:c r="A2" s="93" t="s">
        <x:v>1</x:v>
      </x:c>
      <x:c r="J2" s="176"/>
      <x:c r="K2" s="176"/>
      <x:c r="L2" s="176"/>
      <x:c r="M2" s="176"/>
      <x:c r="N2" s="176"/>
    </x:row>
    <x:row r="3" ht="17.549999237060547" customHeight="1">
      <x:c r="A3" s="259" t="str">
        <x:v>Order Inputs</x:v>
      </x:c>
      <x:c r="B3" s="255" t="str">
        <x:v>Order Inputs</x:v>
      </x:c>
      <x:c r="C3" s="255" t="str">
        <x:v>Order Inputs</x:v>
      </x:c>
      <x:c r="D3" s="255" t="str">
        <x:v>Order Inputs</x:v>
      </x:c>
      <x:c r="E3" s="255" t="str">
        <x:v>Order Inputs</x:v>
      </x:c>
      <x:c r="F3" s="255" t="str">
        <x:v>Order Inputs</x:v>
      </x:c>
      <x:c r="G3" s="256" t="str">
        <x:v>LICENCE NUMBER: TSA-MURU-2419</x:v>
      </x:c>
      <x:c r="H3" s="256" t="str">
        <x:v>LICENCE NUMBER: TSA-MURU-2419</x:v>
      </x:c>
      <x:c r="I3" s="256" t="str">
        <x:v>LICENCE NUMBER: TSA-MURU-2419</x:v>
      </x:c>
    </x:row>
    <x:row r="4" ht="35.5" customHeight="1">
      <x:c r="A4" s="95" t="s">
        <x:v>57</x:v>
      </x:c>
      <x:c r="B4" s="293">
        <x:v>2</x:v>
      </x:c>
      <x:c r="C4" s="97"/>
      <x:c r="D4" s="97"/>
      <x:c r="E4" s="97"/>
      <x:c r="F4" s="97"/>
      <x:c r="G4" s="97"/>
      <x:c r="M4" s="97"/>
      <x:c r="N4" s="97"/>
    </x:row>
    <x:row r="5" ht="19" customHeight="1">
      <x:c r="A5" s="98" t="s">
        <x:v>58</x:v>
      </x:c>
      <x:c r="B5" s="294">
        <x:v>24620</x:v>
      </x:c>
      <x:c r="C5" s="97"/>
      <x:c r="D5" s="97"/>
      <x:c r="E5" s="97"/>
      <x:c r="F5" s="97"/>
      <x:c r="G5" s="97"/>
      <x:c r="M5" s="97"/>
      <x:c r="N5" s="97"/>
    </x:row>
    <x:row r="6" ht="17" customHeight="1">
      <x:c r="A6" s="98" t="s">
        <x:v>59</x:v>
      </x:c>
      <x:c r="B6" s="294">
        <x:v>24621</x:v>
      </x:c>
      <x:c r="C6" s="97"/>
      <x:c r="D6" s="97"/>
      <x:c r="E6" s="97"/>
      <x:c r="F6" s="97"/>
      <x:c r="G6" s="97"/>
      <x:c r="M6" s="97"/>
      <x:c r="N6" s="97"/>
    </x:row>
    <x:row r="7" ht="15" customHeight="1">
      <x:c r="A7" s="98" t="s">
        <x:v>60</x:v>
      </x:c>
      <x:c r="B7" s="294">
        <x:v>24555.1</x:v>
      </x:c>
      <x:c r="C7" s="97"/>
      <x:c r="D7" s="97"/>
      <x:c r="E7" s="97"/>
      <x:c r="F7" s="97"/>
      <x:c r="G7" s="97"/>
      <x:c r="M7" s="97"/>
      <x:c r="N7" s="97"/>
    </x:row>
    <x:row r="8" ht="34" customHeight="1">
      <x:c r="A8" s="100" t="s">
        <x:v>61</x:v>
      </x:c>
      <x:c r="B8" s="295" t="s">
        <x:v>62</x:v>
      </x:c>
      <x:c r="C8" s="97"/>
      <x:c r="D8" s="97"/>
      <x:c r="E8" s="97"/>
      <x:c r="F8" s="97"/>
      <x:c r="G8" s="97"/>
      <x:c r="M8" s="97"/>
      <x:c r="N8" s="97"/>
    </x:row>
    <x:row r="9" ht="34.75" customHeight="1">
      <x:c r="A9" s="102" t="s">
        <x:v>63</x:v>
      </x:c>
      <x:c r="B9" s="296" t="s">
        <x:v>62</x:v>
      </x:c>
      <x:c r="C9" s="97"/>
      <x:c r="D9" s="97"/>
      <x:c r="E9" s="97"/>
      <x:c r="F9" s="97"/>
      <x:c r="G9" s="97"/>
      <x:c r="H9" s="97"/>
      <x:c r="I9" s="97"/>
      <x:c r="J9" s="97"/>
      <x:c r="K9" s="97"/>
      <x:c r="L9" s="97"/>
      <x:c r="M9" s="97"/>
      <x:c r="N9" s="97"/>
    </x:row>
    <x:row r="10" ht="17.549999237060547" customHeight="1">
      <x:c r="A10" s="97"/>
      <x:c r="B10" s="97"/>
      <x:c r="C10" s="97"/>
      <x:c r="D10" s="97"/>
      <x:c r="E10" s="97"/>
      <x:c r="F10" s="97"/>
      <x:c r="G10" s="97"/>
      <x:c r="H10" s="97"/>
      <x:c r="I10" s="97"/>
      <x:c r="J10" s="97"/>
      <x:c r="K10" s="97"/>
      <x:c r="L10" s="97"/>
      <x:c r="M10" s="97"/>
      <x:c r="N10" s="97"/>
    </x:row>
    <x:row r="11" s="91" customFormat="1">
      <x:c r="A11" s="104" t="s">
        <x:v>64</x:v>
      </x:c>
    </x:row>
    <x:row r="12" s="91" customFormat="1">
      <x:c r="A12" s="105" t="s">
        <x:v>39</x:v>
      </x:c>
      <x:c r="B12" s="106" t="s">
        <x:v>32</x:v>
      </x:c>
      <x:c r="C12" s="106" t="s">
        <x:v>33</x:v>
      </x:c>
      <x:c r="D12" s="106" t="s">
        <x:v>65</x:v>
      </x:c>
      <x:c r="E12" s="150" t="s">
        <x:v>66</x:v>
      </x:c>
      <x:c r="F12" s="112"/>
    </x:row>
    <x:row r="13" s="91" customFormat="1" ht="17" customHeight="1">
      <x:c r="A13" s="107" t="s">
        <x:v>30</x:v>
      </x:c>
      <x:c r="B13" s="344" t="n">
        <x:f>'NIFTYFUT CALCULATION'!E29</x:f>
        <x:v>24480.5625</x:v>
      </x:c>
      <x:c r="C13" s="344" t="n">
        <x:f>'NIFTYFUT CALCULATION'!F29</x:f>
        <x:v>24786.56953125</x:v>
      </x:c>
      <x:c r="D13" s="344" t="n">
        <x:f>'NIFTYFUT CALCULATION'!G29</x:f>
        <x:v>24311.272875000002</x:v>
      </x:c>
      <x:c r="E13" s="352" t="n">
        <x:f>'NIFTYFUT CALCULATION'!H29</x:f>
        <x:v>24181.735</x:v>
      </x:c>
      <x:c r="F13" s="112"/>
    </x:row>
    <x:row r="14" s="91" customFormat="1" ht="17" customHeight="1">
      <x:c r="A14" s="107" t="s">
        <x:v>31</x:v>
      </x:c>
      <x:c r="B14" s="345" t="n">
        <x:f>'NIFTYFUT CALCULATION'!E30</x:f>
        <x:v>24181.735</x:v>
      </x:c>
      <x:c r="C14" s="345" t="n">
        <x:f>'NIFTYFUT CALCULATION'!F30</x:f>
        <x:v>23879.4633125</x:v>
      </x:c>
      <x:c r="D14" s="345" t="n">
        <x:f>'NIFTYFUT CALCULATION'!G30</x:f>
        <x:v>24480.5625</x:v>
      </x:c>
      <x:c r="E14" s="353" t="n">
        <x:f>'NIFTYFUT CALCULATION'!H30</x:f>
        <x:v>24480.5625</x:v>
      </x:c>
      <x:c r="F14" s="112"/>
    </x:row>
    <x:row r="15" s="91" customFormat="1" ht="17" customHeight="1">
      <x:c r="A15" s="107" t="s">
        <x:v>45</x:v>
      </x:c>
      <x:c r="B15" s="344" t="n">
        <x:f>'NIFTYFUT CALCULATION'!E43</x:f>
        <x:v>0</x:v>
      </x:c>
      <x:c r="C15" s="344" t="n">
        <x:f>'NIFTYFUT CALCULATION'!F43</x:f>
        <x:v>0</x:v>
      </x:c>
      <x:c r="D15" s="344" t="n">
        <x:f>'NIFTYFUT CALCULATION'!G43</x:f>
        <x:v>24311.272875000002</x:v>
      </x:c>
      <x:c r="E15" s="352" t="n">
        <x:f>'NIFTYFUT CALCULATION'!H43</x:f>
        <x:v>24181.735</x:v>
      </x:c>
      <x:c r="F15" s="112"/>
    </x:row>
    <x:row r="16" s="91" customFormat="1" ht="17" customHeight="1">
      <x:c r="A16" s="110" t="s">
        <x:v>46</x:v>
      </x:c>
      <x:c r="B16" s="346" t="n">
        <x:f>'NIFTYFUT CALCULATION'!E44</x:f>
        <x:v>24585.793875</x:v>
      </x:c>
      <x:c r="C16" s="346" t="n">
        <x:f>'NIFTYFUT CALCULATION'!F44</x:f>
        <x:v>24278.471451562502</x:v>
      </x:c>
      <x:c r="D16" s="346" t="n">
        <x:f>'NIFTYFUT CALCULATION'!G44</x:f>
        <x:v>24480.5625</x:v>
      </x:c>
      <x:c r="E16" s="354" t="n">
        <x:f>'NIFTYFUT CALCULATION'!H44</x:f>
        <x:v>24480.5625</x:v>
      </x:c>
      <x:c r="F16" s="112"/>
    </x:row>
    <x:row r="17" s="91" customFormat="1">
      <x:c r="A17" s="112"/>
      <x:c r="B17" s="112"/>
      <x:c r="C17" s="112"/>
      <x:c r="D17" s="112"/>
      <x:c r="E17" s="112"/>
      <x:c r="F17" s="112"/>
    </x:row>
    <x:row r="18" s="91" customFormat="1">
      <x:c r="A18" s="113" t="s">
        <x:v>18</x:v>
      </x:c>
      <x:c r="B18" s="114"/>
      <x:c r="C18" s="114"/>
      <x:c r="D18" s="114"/>
      <x:c r="E18" s="114"/>
      <x:c r="F18" s="154"/>
    </x:row>
    <x:row r="19" s="91" customFormat="1">
      <x:c r="A19" s="115" t="s">
        <x:v>39</x:v>
      </x:c>
      <x:c r="B19" s="116" t="s">
        <x:v>32</x:v>
      </x:c>
      <x:c r="C19" s="116" t="s">
        <x:v>33</x:v>
      </x:c>
      <x:c r="D19" s="116" t="s">
        <x:v>34</x:v>
      </x:c>
      <x:c r="E19" s="116" t="s">
        <x:v>35</x:v>
      </x:c>
      <x:c r="F19" s="155" t="s">
        <x:v>67</x:v>
      </x:c>
    </x:row>
    <x:row r="20" s="91" customFormat="1" ht="17" customHeight="1">
      <x:c r="A20" s="117" t="s">
        <x:v>41</x:v>
      </x:c>
      <x:c r="B20" s="297">
        <x:v>24789.247875</x:v>
      </x:c>
      <x:c r="C20" s="298">
        <x:v>25099.1134734375</x:v>
      </x:c>
      <x:c r="D20" s="298">
        <x:v>24569.25</x:v>
      </x:c>
      <x:c r="E20" s="299">
        <x:v>24569.25</x:v>
      </x:c>
      <x:c r="F20" s="355" t="str">
        <x:f>IF($B$8="","",$B$8)</x:f>
        <x:v>No Holdings</x:v>
      </x:c>
    </x:row>
    <x:row r="21" s="91" customFormat="1" ht="17" customHeight="1">
      <x:c r="A21" s="120" t="s">
        <x:v>43</x:v>
      </x:c>
      <x:c r="B21" s="300">
        <x:v>24585.793875</x:v>
      </x:c>
      <x:c r="C21" s="301">
        <x:v>24278.4714515625</x:v>
      </x:c>
      <x:c r="D21" s="301">
        <x:v>24737.88375</x:v>
      </x:c>
      <x:c r="E21" s="302">
        <x:v>24789.247875</x:v>
      </x:c>
      <x:c r="F21" s="356" t="str">
        <x:f>IF($B$9="","",$B$9)</x:f>
        <x:v>No Holdings</x:v>
      </x:c>
    </x:row>
    <x:row r="22" s="91" customFormat="1"/>
    <x:row r="23">
      <x:c r="A23" s="123" t="s">
        <x:v>68</x:v>
      </x:c>
      <x:c r="B23" s="124"/>
      <x:c r="C23" s="124"/>
      <x:c r="D23" s="124"/>
      <x:c r="E23" s="124"/>
      <x:c r="F23" s="124"/>
      <x:c r="G23" s="124"/>
      <x:c r="H23" s="124"/>
      <x:c r="I23" s="162"/>
      <x:c r="J23" s="91"/>
      <x:c r="K23" s="91"/>
      <x:c r="L23" s="91"/>
      <x:c r="M23" s="91"/>
      <x:c r="N23" s="91"/>
    </x:row>
    <x:row r="24">
      <x:c r="A24" s="115" t="s">
        <x:v>69</x:v>
      </x:c>
      <x:c r="B24" s="3" t="s">
        <x:v>70</x:v>
      </x:c>
      <x:c r="C24" s="3" t="s">
        <x:v>71</x:v>
      </x:c>
      <x:c r="D24" s="3" t="s">
        <x:v>72</x:v>
      </x:c>
      <x:c r="E24" s="3" t="s">
        <x:v>73</x:v>
      </x:c>
      <x:c r="F24" s="3" t="s">
        <x:v>74</x:v>
      </x:c>
      <x:c r="H24" s="155" t="s">
        <x:v>75</x:v>
      </x:c>
      <x:c r="I24" s="165"/>
    </x:row>
    <x:row r="25" ht="15" customHeight="1">
      <x:c r="A25" s="125" t="s">
        <x:v>76</x:v>
      </x:c>
      <x:c r="B25" s="126" t="s">
        <x:v>41</x:v>
      </x:c>
      <x:c r="C25" s="125" t="s">
        <x:v>77</x:v>
      </x:c>
      <x:c r="D25" s="125" t="s">
        <x:v>78</x:v>
      </x:c>
      <x:c r="E25" s="357" t="str">
        <x:f>IF($B$8&lt;&gt;"No Holdings","",IF($B$6="","",IF($B$6&gt;=B13,"MISSED","NOT MISSED")))</x:f>
        <x:v>MISSED</x:v>
      </x:c>
      <x:c r="F25" s="358" t="str">
        <x:f>IF(E25="","",IF(E25="MISSED","WAIT TILL 9:30 AM — USE GAP UP","PLACE ORDER AFTER 9:25 AM"))</x:f>
        <x:v>WAIT TILL 9:30 AM — USE GAP UP</x:v>
      </x:c>
      <x:c r="G25" s="162"/>
      <x:c r="H25" s="359" t="n">
        <x:f>IF($B$8="No Holdings",B20,"")</x:f>
        <x:v>24789.247875</x:v>
      </x:c>
      <x:c r="I25" s="165"/>
    </x:row>
    <x:row r="26" ht="18" customHeight="1">
      <x:c r="A26" s="127" t="s">
        <x:v>79</x:v>
      </x:c>
      <x:c r="B26" s="126" t="s">
        <x:v>43</x:v>
      </x:c>
      <x:c r="C26" s="127" t="s">
        <x:v>80</x:v>
      </x:c>
      <x:c r="D26" s="127" t="s">
        <x:v>81</x:v>
      </x:c>
      <x:c r="E26" s="357" t="str">
        <x:f>IF($B$9&lt;&gt;"No Holdings","",IF($B$7="","",IF($B$7&lt;=B14,"MISSED","NOT MISSED")))</x:f>
        <x:v>NOT MISSED</x:v>
      </x:c>
      <x:c r="F26" s="360" t="str">
        <x:f>IF(E26="","",IF(E26="MISSED","WAIT TILL 9:30 AM — USE GAP DOWN","PLACE ORDER AFTER 9:25 AM"))</x:f>
        <x:v>PLACE ORDER AFTER 9:25 AM</x:v>
      </x:c>
      <x:c r="G26" s="165"/>
      <x:c r="H26" s="359" t="n">
        <x:f>IF($B$9="No Holdings",B21,"")</x:f>
        <x:v>24585.793875</x:v>
      </x:c>
      <x:c r="I26" s="165"/>
    </x:row>
    <x:row r="27" ht="16" customHeight="1">
      <x:c r="A27" s="98" t="s">
        <x:v>82</x:v>
      </x:c>
      <x:c r="B27" s="128" t="s">
        <x:v>43</x:v>
      </x:c>
      <x:c r="C27" s="98" t="s">
        <x:v>83</x:v>
      </x:c>
      <x:c r="D27" s="98" t="s">
        <x:v>84</x:v>
      </x:c>
      <x:c r="E27" s="357" t="str">
        <x:f>IF($B$8&lt;&gt;"Entry Triggered","",IF($B$5="","",IF($B$5&gt;=C20,"MISSED","NOT MISSED")))</x:f>
      </x:c>
      <x:c r="F27" s="360" t="str">
        <x:f>IF(E27="","",IF(E27="MISSED","EXIT AT CURRENT MARKET PRICE","PLACE LIMIT ORDER AT 9:15 AM"))</x:f>
      </x:c>
      <x:c r="G27" s="165"/>
      <x:c r="H27" s="359" t="str">
        <x:f>IF($B$8="Entry Triggered",C20,"")</x:f>
      </x:c>
      <x:c r="I27" s="165"/>
    </x:row>
    <x:row r="28" ht="17" customHeight="1">
      <x:c r="A28" s="98" t="s">
        <x:v>85</x:v>
      </x:c>
      <x:c r="B28" s="128" t="s">
        <x:v>41</x:v>
      </x:c>
      <x:c r="C28" s="98" t="s">
        <x:v>83</x:v>
      </x:c>
      <x:c r="D28" s="98" t="s">
        <x:v>86</x:v>
      </x:c>
      <x:c r="E28" s="357" t="str">
        <x:f>IF($B$9&lt;&gt;"Entry Triggered","",IF($B$5="","",IF($B$5&lt;=C21,"MISSED","NOT MISSED")))</x:f>
      </x:c>
      <x:c r="F28" s="360" t="str">
        <x:f>IF(E28="","",IF(E28="MISSED","EXIT AT CURRENT MARKET PRICE","PLACE LIMIT ORDER AT 9:15 AM"))</x:f>
      </x:c>
      <x:c r="G28" s="165"/>
      <x:c r="H28" s="359" t="str">
        <x:f>IF($B$9="Entry Triggered",C21,"")</x:f>
      </x:c>
      <x:c r="I28" s="165"/>
    </x:row>
    <x:row r="29" ht="17" customHeight="1">
      <x:c r="A29" s="127" t="s">
        <x:v>87</x:v>
      </x:c>
      <x:c r="B29" s="126" t="s">
        <x:v>43</x:v>
      </x:c>
      <x:c r="C29" s="127" t="s">
        <x:v>80</x:v>
      </x:c>
      <x:c r="D29" s="127" t="s">
        <x:v>88</x:v>
      </x:c>
      <x:c r="E29" s="357" t="str">
        <x:f>IF($B$8&lt;&gt;"Entry Triggered","",IF($B$7="","",IF($B$7&lt;=D20,"MISSED","NOT MISSED")))</x:f>
      </x:c>
      <x:c r="F29" s="360" t="str">
        <x:f>IF(E29="","",IF(E29="MISSED","WAIT TILL 9:30 AM — USE GAP DOWN SL1","PLACE ORDER AT 9:25 AM"))</x:f>
      </x:c>
      <x:c r="G29" s="165"/>
      <x:c r="H29" s="359" t="str">
        <x:f>IF($B$8&lt;&gt;"Entry Triggered","",IF(E29="MISSED",D16,D20))</x:f>
      </x:c>
      <x:c r="I29" s="165"/>
    </x:row>
    <x:row r="30" ht="14" customHeight="1">
      <x:c r="A30" s="127" t="s">
        <x:v>89</x:v>
      </x:c>
      <x:c r="B30" s="126" t="s">
        <x:v>43</x:v>
      </x:c>
      <x:c r="C30" s="127" t="s">
        <x:v>80</x:v>
      </x:c>
      <x:c r="D30" s="127" t="s">
        <x:v>90</x:v>
      </x:c>
      <x:c r="E30" s="357" t="str">
        <x:f>IF($B$8&lt;&gt;"Target Triggered","",IF($B$7="","",IF($B$7&lt;=E20,"MISSED","NOT MISSED")))</x:f>
      </x:c>
      <x:c r="F30" s="360" t="str">
        <x:f>IF(E30="","",IF(E30="MISSED","WAIT TILL 9:30 AM — USE GAP DOWN SL2","PLACE ORDER AT 9:25 AM"))</x:f>
      </x:c>
      <x:c r="G30" s="165"/>
      <x:c r="H30" s="359" t="str">
        <x:f>IF($B$8&lt;&gt;"Target Triggered","",IF(E30="MISSED",E16,E20))</x:f>
      </x:c>
      <x:c r="I30" s="165"/>
    </x:row>
    <x:row r="31" ht="14" customHeight="1">
      <x:c r="A31" s="98" t="s">
        <x:v>91</x:v>
      </x:c>
      <x:c r="B31" s="128" t="s">
        <x:v>41</x:v>
      </x:c>
      <x:c r="C31" s="98" t="s">
        <x:v>77</x:v>
      </x:c>
      <x:c r="D31" s="98" t="s">
        <x:v>92</x:v>
      </x:c>
      <x:c r="E31" s="357" t="str">
        <x:f>IF($B$9&lt;&gt;"Entry Triggered","",IF($B$6="","",IF($B$6&gt;=D21,"MISSED","NOT MISSED")))</x:f>
      </x:c>
      <x:c r="F31" s="360" t="str">
        <x:f>IF(E31="","",IF(E31="MISSED","WAIT TILL 9:30 AM — USE GAP UP SL1","PLACE ORDER AT 9:25 AM"))</x:f>
      </x:c>
      <x:c r="G31" s="165"/>
      <x:c r="H31" s="361" t="str">
        <x:f>IF($B$9&lt;&gt;"Entry Triggered","",IF(E31="MISSED",D15,D21))</x:f>
      </x:c>
      <x:c r="I31" s="177"/>
    </x:row>
    <x:row r="32" ht="14" customHeight="1">
      <x:c r="A32" s="129" t="s">
        <x:v>93</x:v>
      </x:c>
      <x:c r="B32" s="130" t="s">
        <x:v>41</x:v>
      </x:c>
      <x:c r="C32" s="129" t="s">
        <x:v>77</x:v>
      </x:c>
      <x:c r="D32" s="129" t="s">
        <x:v>94</x:v>
      </x:c>
      <x:c r="E32" s="362" t="str">
        <x:f>IF($B$9&lt;&gt;"Target Triggered","",IF($B$6="","",IF($B$6&gt;=E21,"MISSED","NOT MISSED")))</x:f>
      </x:c>
      <x:c r="F32" s="363" t="str">
        <x:f>IF(E32="","",IF(E32="MISSED","WAIT TILL 9:30 AM — USE GAP UP SL2","PLACE ORDER AT 9:25 AM"))</x:f>
      </x:c>
      <x:c r="G32" s="169"/>
      <x:c r="H32" s="364" t="str">
        <x:f>IF($B$9&lt;&gt;"Target Triggered","",IF(E32="MISSED",E15,E21))</x:f>
      </x:c>
      <x:c r="I32" s="169"/>
    </x:row>
    <x:row r="33">
      <x:c r="A33" s="131"/>
      <x:c r="G33" s="97"/>
      <x:c r="H33" s="97"/>
      <x:c r="I33" s="97"/>
      <x:c r="J33" s="97"/>
      <x:c r="K33" s="97"/>
      <x:c r="L33" s="97"/>
      <x:c r="M33" s="97"/>
      <x:c r="N33" s="97"/>
    </x:row>
    <x:row r="34">
      <x:c r="A34" s="97"/>
      <x:c r="B34" s="97"/>
      <x:c r="C34" s="97"/>
      <x:c r="D34" s="97"/>
      <x:c r="E34" s="97"/>
      <x:c r="F34" s="97"/>
      <x:c r="G34" s="97"/>
      <x:c r="H34" s="97"/>
      <x:c r="I34" s="97"/>
      <x:c r="J34" s="97"/>
      <x:c r="K34" s="97"/>
      <x:c r="L34" s="97"/>
      <x:c r="M34" s="97"/>
      <x:c r="N34" s="97"/>
    </x:row>
    <x:row r="35">
      <x:c r="A35" s="123" t="s">
        <x:v>95</x:v>
      </x:c>
      <x:c r="B35" s="124"/>
      <x:c r="C35" s="124"/>
      <x:c r="D35" s="124"/>
      <x:c r="E35" s="124"/>
      <x:c r="F35" s="124"/>
      <x:c r="G35" s="124"/>
      <x:c r="H35" s="124"/>
      <x:c r="I35" s="162"/>
      <x:c r="J35" s="91"/>
      <x:c r="K35" s="91"/>
      <x:c r="L35" s="91"/>
      <x:c r="M35" s="91"/>
      <x:c r="N35" s="91"/>
    </x:row>
    <x:row r="36">
      <x:c r="A36" s="115" t="s">
        <x:v>72</x:v>
      </x:c>
      <x:c r="B36" s="3" t="s">
        <x:v>96</x:v>
      </x:c>
      <x:c r="C36" s="132" t="s">
        <x:v>97</x:v>
      </x:c>
      <x:c r="D36" s="3" t="s">
        <x:v>98</x:v>
      </x:c>
      <x:c r="E36" s="3" t="s">
        <x:v>99</x:v>
      </x:c>
      <x:c r="F36" s="3" t="s">
        <x:v>100</x:v>
      </x:c>
      <x:c r="G36" s="3" t="s">
        <x:v>101</x:v>
      </x:c>
      <x:c r="H36" s="3" t="s">
        <x:v>102</x:v>
      </x:c>
      <x:c r="I36" s="155" t="s">
        <x:v>74</x:v>
      </x:c>
      <x:c r="J36" s="97"/>
      <x:c r="K36" s="97"/>
      <x:c r="L36" s="97"/>
      <x:c r="M36" s="97"/>
      <x:c r="N36" s="97"/>
    </x:row>
    <x:row r="37" ht="39" customHeight="1">
      <x:c r="A37" s="95" t="s">
        <x:v>32</x:v>
      </x:c>
      <x:c r="B37" s="128" t="s">
        <x:v>41</x:v>
      </x:c>
      <x:c r="C37" s="98" t="s">
        <x:v>103</x:v>
      </x:c>
      <x:c r="D37" s="347" t="n">
        <x:f>IF($B$8="No Holdings",$B$4,"")</x:f>
        <x:v>2</x:v>
      </x:c>
      <x:c r="E37" s="365" t="n">
        <x:f>IF($B$8="No Holdings",$B$20,"")</x:f>
        <x:v>24789.247875</x:v>
      </x:c>
      <x:c r="F37" s="344" t="n">
        <x:f>IF(E37="","",E37*1.001)</x:f>
        <x:v>24814.037122874997</x:v>
      </x:c>
      <x:c r="G37" s="365" t="str">
        <x:f t="shared" ref="G37:G40" si="0">""</x:f>
      </x:c>
      <x:c r="H37" s="358" t="str">
        <x:f>IF($B$8="No Holdings","After 9:25 AM","")</x:f>
        <x:v>After 9:25 AM</x:v>
      </x:c>
      <x:c r="I37" s="355" t="str">
        <x:f>IF($B$8="No Holdings",$F$25,"")</x:f>
        <x:v>WAIT TILL 9:30 AM — USE GAP UP</x:v>
      </x:c>
      <x:c r="J37" s="97"/>
      <x:c r="K37" s="97"/>
      <x:c r="L37" s="97"/>
      <x:c r="M37" s="97"/>
      <x:c r="N37" s="97"/>
    </x:row>
    <x:row r="38" ht="43" customHeight="1">
      <x:c r="A38" s="98" t="s">
        <x:v>33</x:v>
      </x:c>
      <x:c r="B38" s="128" t="s">
        <x:v>43</x:v>
      </x:c>
      <x:c r="C38" s="98" t="s">
        <x:v>104</x:v>
      </x:c>
      <x:c r="D38" s="347" t="str">
        <x:f>IF($B$8="Entry Triggered",$B$4/2,"")</x:f>
      </x:c>
      <x:c r="E38" s="366" t="str">
        <x:f>""</x:f>
      </x:c>
      <x:c r="F38" s="344" t="str">
        <x:f>""</x:f>
      </x:c>
      <x:c r="G38" s="366" t="str">
        <x:f>IF($B$8="Entry Triggered",$C$20,"")</x:f>
      </x:c>
      <x:c r="H38" s="360" t="str">
        <x:f>IF($B$8="Entry Triggered","9:15 AM","")</x:f>
      </x:c>
      <x:c r="I38" s="355" t="str">
        <x:f>IF($B$8="Entry Triggered",$F$27,"")</x:f>
      </x:c>
      <x:c r="J38" s="97"/>
      <x:c r="K38" s="97"/>
      <x:c r="L38" s="97"/>
      <x:c r="M38" s="97"/>
      <x:c r="N38" s="97"/>
    </x:row>
    <x:row r="39" ht="37" customHeight="1">
      <x:c r="A39" s="98" t="s">
        <x:v>34</x:v>
      </x:c>
      <x:c r="B39" s="128" t="s">
        <x:v>43</x:v>
      </x:c>
      <x:c r="C39" s="98" t="s">
        <x:v>103</x:v>
      </x:c>
      <x:c r="D39" s="347" t="str">
        <x:f>IF($B$8="Entry Triggered",$B$4,"")</x:f>
      </x:c>
      <x:c r="E39" s="366" t="str">
        <x:f>IF($B$8="Entry Triggered",$H$29,"")</x:f>
      </x:c>
      <x:c r="F39" s="344" t="str">
        <x:f>IF(E39="","",E39*0.999)</x:f>
      </x:c>
      <x:c r="G39" s="366" t="str">
        <x:f t="shared" si="0"/>
      </x:c>
      <x:c r="H39" s="360" t="str">
        <x:f>IF($B$8="Entry Triggered","9:25 AM","")</x:f>
      </x:c>
      <x:c r="I39" s="355" t="str">
        <x:f>IF($B$8="Entry Triggered",$F$29,"")</x:f>
      </x:c>
      <x:c r="J39" s="97"/>
      <x:c r="K39" s="97"/>
      <x:c r="L39" s="97"/>
      <x:c r="M39" s="97"/>
      <x:c r="N39" s="97"/>
    </x:row>
    <x:row r="40" ht="39" customHeight="1">
      <x:c r="A40" s="129" t="s">
        <x:v>35</x:v>
      </x:c>
      <x:c r="B40" s="130" t="s">
        <x:v>43</x:v>
      </x:c>
      <x:c r="C40" s="129" t="s">
        <x:v>103</x:v>
      </x:c>
      <x:c r="D40" s="348" t="str">
        <x:f>IF($B$8="Target Triggered",$B$4/2,"")</x:f>
      </x:c>
      <x:c r="E40" s="367" t="str">
        <x:f>IF($B$8="Target Triggered",$H$30,"")</x:f>
      </x:c>
      <x:c r="F40" s="368" t="str">
        <x:f>IF(E40="","",E40*0.999)</x:f>
      </x:c>
      <x:c r="G40" s="367" t="str">
        <x:f t="shared" si="0"/>
      </x:c>
      <x:c r="H40" s="363" t="str">
        <x:f>IF($B$8="Target Triggered","9:25 AM","")</x:f>
      </x:c>
      <x:c r="I40" s="369" t="str">
        <x:f>IF($B$8="Target Triggered",$F$30,"")</x:f>
      </x:c>
      <x:c r="J40" s="97"/>
      <x:c r="K40" s="97"/>
      <x:c r="L40" s="97"/>
      <x:c r="M40" s="97"/>
      <x:c r="N40" s="97"/>
    </x:row>
    <x:row r="41">
      <x:c r="A41" s="97"/>
      <x:c r="B41" s="97"/>
      <x:c r="C41" s="97"/>
      <x:c r="D41" s="135"/>
      <x:c r="E41" s="135"/>
      <x:c r="F41" s="135"/>
      <x:c r="G41" s="135"/>
      <x:c r="H41" s="97"/>
      <x:c r="I41" s="97"/>
      <x:c r="J41" s="97"/>
      <x:c r="K41" s="97"/>
      <x:c r="L41" s="97"/>
      <x:c r="M41" s="97"/>
      <x:c r="N41" s="97"/>
    </x:row>
    <x:row r="42">
      <x:c r="A42" s="97"/>
      <x:c r="B42" s="97"/>
      <x:c r="C42" s="97"/>
      <x:c r="D42" s="135"/>
      <x:c r="E42" s="135"/>
      <x:c r="F42" s="135"/>
      <x:c r="G42" s="135"/>
      <x:c r="H42" s="97"/>
      <x:c r="I42" s="97"/>
      <x:c r="J42" s="97"/>
      <x:c r="K42" s="97"/>
      <x:c r="L42" s="97"/>
      <x:c r="M42" s="97"/>
      <x:c r="N42" s="97"/>
    </x:row>
    <x:row r="43">
      <x:c r="A43" s="136" t="s">
        <x:v>105</x:v>
      </x:c>
      <x:c r="B43" s="137"/>
      <x:c r="C43" s="137"/>
      <x:c r="D43" s="137"/>
      <x:c r="E43" s="137"/>
      <x:c r="F43" s="137"/>
      <x:c r="G43" s="137"/>
      <x:c r="H43" s="137"/>
      <x:c r="I43" s="179"/>
      <x:c r="J43" s="91"/>
      <x:c r="K43" s="91"/>
      <x:c r="L43" s="91"/>
      <x:c r="M43" s="91"/>
      <x:c r="N43" s="91"/>
    </x:row>
    <x:row r="44">
      <x:c r="A44" s="115" t="s">
        <x:v>72</x:v>
      </x:c>
      <x:c r="B44" s="3" t="s">
        <x:v>96</x:v>
      </x:c>
      <x:c r="C44" s="3" t="s">
        <x:v>97</x:v>
      </x:c>
      <x:c r="D44" s="138" t="s">
        <x:v>98</x:v>
      </x:c>
      <x:c r="E44" s="138" t="s">
        <x:v>99</x:v>
      </x:c>
      <x:c r="F44" s="138" t="s">
        <x:v>100</x:v>
      </x:c>
      <x:c r="G44" s="138" t="s">
        <x:v>101</x:v>
      </x:c>
      <x:c r="H44" s="3" t="s">
        <x:v>102</x:v>
      </x:c>
      <x:c r="I44" s="155" t="s">
        <x:v>74</x:v>
      </x:c>
      <x:c r="J44" s="97"/>
      <x:c r="K44" s="97"/>
      <x:c r="L44" s="97"/>
      <x:c r="M44" s="97"/>
      <x:c r="N44" s="97"/>
    </x:row>
    <x:row r="45" ht="38" customHeight="1">
      <x:c r="A45" s="139" t="s">
        <x:v>32</x:v>
      </x:c>
      <x:c r="B45" s="95" t="s">
        <x:v>43</x:v>
      </x:c>
      <x:c r="C45" s="128" t="s">
        <x:v>103</x:v>
      </x:c>
      <x:c r="D45" s="349" t="n">
        <x:f>IF($B$9="No Holdings",$B$4,"")</x:f>
        <x:v>2</x:v>
      </x:c>
      <x:c r="E45" s="344" t="n">
        <x:f>IF($B$9="No Holdings",$B$21,"")</x:f>
        <x:v>24585.793875</x:v>
      </x:c>
      <x:c r="F45" s="365" t="n">
        <x:f>IF(E45="","",E45*0.999)</x:f>
        <x:v>24561.208081124998</x:v>
      </x:c>
      <x:c r="G45" s="344" t="str">
        <x:f t="shared" ref="G45:G48" si="1">""</x:f>
      </x:c>
      <x:c r="H45" s="358" t="str">
        <x:f>IF($B$9="No Holdings","After 9:25 AM","")</x:f>
        <x:v>After 9:25 AM</x:v>
      </x:c>
      <x:c r="I45" s="355" t="str">
        <x:f>IF($B$9="No Holdings",$F$26,"")</x:f>
        <x:v>PLACE ORDER AFTER 9:25 AM</x:v>
      </x:c>
      <x:c r="J45" s="97"/>
      <x:c r="K45" s="97"/>
      <x:c r="L45" s="97"/>
      <x:c r="M45" s="97"/>
      <x:c r="N45" s="97"/>
    </x:row>
    <x:row r="46" ht="38" customHeight="1">
      <x:c r="A46" s="139" t="s">
        <x:v>33</x:v>
      </x:c>
      <x:c r="B46" s="98" t="s">
        <x:v>41</x:v>
      </x:c>
      <x:c r="C46" s="128" t="s">
        <x:v>104</x:v>
      </x:c>
      <x:c r="D46" s="350" t="str">
        <x:f>IF($B$9="Entry Triggered",$B$4/2,"")</x:f>
      </x:c>
      <x:c r="E46" s="344" t="str">
        <x:f>""</x:f>
      </x:c>
      <x:c r="F46" s="366" t="str">
        <x:f>""</x:f>
      </x:c>
      <x:c r="G46" s="344" t="str">
        <x:f>IF($B$9="Entry Triggered",$C$21,"")</x:f>
      </x:c>
      <x:c r="H46" s="360" t="str">
        <x:f>IF($B$9="Entry Triggered","9:15 AM","")</x:f>
      </x:c>
      <x:c r="I46" s="355" t="str">
        <x:f>IF($B$9="Entry Triggered",$F$28,"")</x:f>
      </x:c>
      <x:c r="J46" s="97"/>
      <x:c r="K46" s="97"/>
      <x:c r="L46" s="97"/>
      <x:c r="M46" s="97"/>
      <x:c r="N46" s="97"/>
    </x:row>
    <x:row r="47" ht="36" customHeight="1">
      <x:c r="A47" s="139" t="s">
        <x:v>34</x:v>
      </x:c>
      <x:c r="B47" s="98" t="s">
        <x:v>41</x:v>
      </x:c>
      <x:c r="C47" s="128" t="s">
        <x:v>103</x:v>
      </x:c>
      <x:c r="D47" s="350" t="str">
        <x:f>IF($B$9="Entry Triggered",$B$4,"")</x:f>
      </x:c>
      <x:c r="E47" s="344" t="str">
        <x:f>IF($B$9="Entry Triggered",$H$31,"")</x:f>
      </x:c>
      <x:c r="F47" s="366" t="str">
        <x:f>IF(E47="","",E47*1.001)</x:f>
      </x:c>
      <x:c r="G47" s="344" t="str">
        <x:f t="shared" si="1"/>
      </x:c>
      <x:c r="H47" s="360" t="str">
        <x:f>IF($B$9="Entry Triggered","9:25 AM","")</x:f>
      </x:c>
      <x:c r="I47" s="355" t="str">
        <x:f>IF($B$9="Entry Triggered",$F$31,"")</x:f>
      </x:c>
      <x:c r="J47" s="97"/>
      <x:c r="K47" s="97"/>
      <x:c r="L47" s="97"/>
      <x:c r="M47" s="97"/>
      <x:c r="N47" s="97"/>
    </x:row>
    <x:row r="48" ht="38" customHeight="1">
      <x:c r="A48" s="142" t="s">
        <x:v>35</x:v>
      </x:c>
      <x:c r="B48" s="129" t="s">
        <x:v>41</x:v>
      </x:c>
      <x:c r="C48" s="130" t="s">
        <x:v>103</x:v>
      </x:c>
      <x:c r="D48" s="351" t="str">
        <x:f>IF($B$9="Target Triggered",$B$4/2,"")</x:f>
      </x:c>
      <x:c r="E48" s="368" t="str">
        <x:f>IF($B$9="Target Triggered",$H$32,"")</x:f>
      </x:c>
      <x:c r="F48" s="367" t="str">
        <x:f>IF(E48="","",E48*1.001)</x:f>
      </x:c>
      <x:c r="G48" s="368" t="str">
        <x:f t="shared" si="1"/>
      </x:c>
      <x:c r="H48" s="363" t="str">
        <x:f>IF($B$9="Target Triggered","9:25 AM","")</x:f>
      </x:c>
      <x:c r="I48" s="369" t="str">
        <x:f>IF($B$9="Target Triggered",$F$32,"")</x:f>
      </x:c>
      <x:c r="J48" s="97"/>
      <x:c r="K48" s="97"/>
      <x:c r="L48" s="97"/>
      <x:c r="M48" s="97"/>
      <x:c r="N48" s="97"/>
    </x:row>
    <x:row r="49" ht="20" customHeight="1">
      <x:c r="A49" s="261" t="str">
        <x:v>STUDENT NAME: MURUGAN M  |  EMAIL ID: muruganm56789@gmail.com  |  CONTACT NUMBER: +918610022419  |  LICENCE NUMBER: TSA-MURU-2419</x:v>
      </x:c>
      <x:c r="B49" s="261" t="str">
        <x:v>STUDENT NAME: MURUGAN M  |  EMAIL ID: muruganm56789@gmail.com  |  CONTACT NUMBER: +918610022419  |  LICENCE NUMBER: TSA-MURU-2419</x:v>
      </x:c>
      <x:c r="C49" s="261" t="str">
        <x:v>STUDENT NAME: MURUGAN M  |  EMAIL ID: muruganm56789@gmail.com  |  CONTACT NUMBER: +918610022419  |  LICENCE NUMBER: TSA-MURU-2419</x:v>
      </x:c>
      <x:c r="D49" s="261" t="str">
        <x:v>STUDENT NAME: MURUGAN M  |  EMAIL ID: muruganm56789@gmail.com  |  CONTACT NUMBER: +918610022419  |  LICENCE NUMBER: TSA-MURU-2419</x:v>
      </x:c>
      <x:c r="E49" s="261" t="str">
        <x:v>STUDENT NAME: MURUGAN M  |  EMAIL ID: muruganm56789@gmail.com  |  CONTACT NUMBER: +918610022419  |  LICENCE NUMBER: TSA-MURU-2419</x:v>
      </x:c>
      <x:c r="F49" s="261" t="str">
        <x:v>STUDENT NAME: MURUGAN M  |  EMAIL ID: muruganm56789@gmail.com  |  CONTACT NUMBER: +918610022419  |  LICENCE NUMBER: TSA-MURU-2419</x:v>
      </x:c>
      <x:c r="G49" s="261" t="str">
        <x:v>STUDENT NAME: MURUGAN M  |  EMAIL ID: muruganm56789@gmail.com  |  CONTACT NUMBER: +918610022419  |  LICENCE NUMBER: TSA-MURU-2419</x:v>
      </x:c>
      <x:c r="H49" s="261" t="str">
        <x:v>STUDENT NAME: MURUGAN M  |  EMAIL ID: muruganm56789@gmail.com  |  CONTACT NUMBER: +918610022419  |  LICENCE NUMBER: TSA-MURU-2419</x:v>
      </x:c>
      <x:c r="I49" s="261" t="str">
        <x:v>STUDENT NAME: MURUGAN M  |  EMAIL ID: muruganm56789@gmail.com  |  CONTACT NUMBER: +918610022419  |  LICENCE NUMBER: TSA-MURU-2419</x:v>
      </x:c>
      <x:c r="J49" s="97"/>
      <x:c r="K49" s="97"/>
      <x:c r="L49" s="97"/>
      <x:c r="M49" s="97"/>
      <x:c r="N49" s="97"/>
    </x:row>
    <x:row r="50" ht="26" customHeight="1">
      <x:c r="A50" s="145" t="s">
        <x:v>0</x:v>
      </x:c>
      <x:c r="B50" s="124"/>
      <x:c r="C50" s="124"/>
      <x:c r="D50" s="124"/>
      <x:c r="E50" s="124"/>
      <x:c r="F50" s="124"/>
      <x:c r="G50" s="124"/>
      <x:c r="H50" s="124"/>
      <x:c r="I50" s="162"/>
      <x:c r="J50" s="91"/>
      <x:c r="K50" s="91"/>
      <x:c r="L50" s="91"/>
      <x:c r="M50" s="91"/>
      <x:c r="N50" s="91"/>
    </x:row>
    <x:row r="51">
      <x:c r="A51" s="146" t="s">
        <x:v>1</x:v>
      </x:c>
      <x:c r="I51" s="165"/>
      <x:c r="J51" s="91"/>
      <x:c r="K51" s="91"/>
      <x:c r="L51" s="91"/>
      <x:c r="M51" s="91"/>
      <x:c r="N51" s="91"/>
    </x:row>
    <x:row r="52">
      <x:c r="A52" s="147" t="s">
        <x:v>53</x:v>
      </x:c>
      <x:c r="I52" s="165"/>
      <x:c r="J52" s="91"/>
      <x:c r="K52" s="91"/>
      <x:c r="L52" s="91"/>
      <x:c r="M52" s="91"/>
      <x:c r="N52" s="91"/>
    </x:row>
    <x:row r="53">
      <x:c r="A53" s="147" t="s">
        <x:v>54</x:v>
      </x:c>
      <x:c r="I53" s="165"/>
      <x:c r="J53" s="91"/>
      <x:c r="K53" s="91"/>
      <x:c r="L53" s="91"/>
      <x:c r="M53" s="91"/>
      <x:c r="N53" s="91"/>
    </x:row>
    <x:row r="54">
      <x:c r="A54" s="147" t="s">
        <x:v>55</x:v>
      </x:c>
      <x:c r="I54" s="165"/>
    </x:row>
    <x:row r="55">
      <x:c r="A55" s="148" t="s">
        <x:v>56</x:v>
      </x:c>
      <x:c r="B55" s="149"/>
      <x:c r="C55" s="149"/>
      <x:c r="D55" s="149"/>
      <x:c r="E55" s="149"/>
      <x:c r="F55" s="149"/>
      <x:c r="G55" s="149"/>
      <x:c r="H55" s="149"/>
      <x:c r="I55" s="169"/>
    </x:row>
    <x:row r="56" ht="26" customHeight="1">
      <x:c r="J56" s="180"/>
      <x:c r="K56" s="180"/>
      <x:c r="L56" s="180"/>
      <x:c r="M56" s="180"/>
      <x:c r="N56" s="180"/>
    </x:row>
    <x:row r="57">
      <x:c r="J57" s="181"/>
      <x:c r="K57" s="181"/>
      <x:c r="L57" s="181"/>
      <x:c r="M57" s="181"/>
      <x:c r="N57" s="181"/>
    </x:row>
    <x:row r="58" ht="24" customHeight="1">
      <x:c r="J58" s="182"/>
      <x:c r="K58" s="182"/>
      <x:c r="L58" s="182"/>
      <x:c r="M58" s="182"/>
      <x:c r="N58" s="182"/>
    </x:row>
    <x:row r="59" ht="24" customHeight="1">
      <x:c r="J59" s="182"/>
      <x:c r="K59" s="182"/>
      <x:c r="L59" s="182"/>
      <x:c r="M59" s="182"/>
      <x:c r="N59" s="182"/>
    </x:row>
    <x:row r="60" ht="24" customHeight="1">
      <x:c r="J60" s="182"/>
      <x:c r="K60" s="182"/>
      <x:c r="L60" s="182"/>
      <x:c r="M60" s="182"/>
      <x:c r="N60" s="182"/>
    </x:row>
    <x:row r="61" ht="24" customHeight="1">
      <x:c r="J61" s="182"/>
      <x:c r="K61" s="182"/>
      <x:c r="L61" s="182"/>
      <x:c r="M61" s="182"/>
      <x:c r="N61" s="182"/>
    </x:row>
  </x:sheetData>
  <x:sheetProtection algorithmName="SHA-512" hashValue="SjgUUfOO/Ac04gwE+yVouwUtLQKwtFDugty5L4lp0Uz8ihptaKxny5jyABtahaj9uBujab74jm35orkoTA2gAA==" saltValue="/j5thekxSjaA5xNsxitjfw==" spinCount="100000" sheet="1" objects="1"/>
  <x:mergeCells>
    <x:mergeCell ref="A1:I1"/>
    <x:mergeCell ref="A2:I2"/>
    <x:mergeCell ref="A11:I11"/>
    <x:mergeCell ref="A18:F18"/>
    <x:mergeCell ref="A23:I23"/>
    <x:mergeCell ref="F24:G24"/>
    <x:mergeCell ref="H24:I24"/>
    <x:mergeCell ref="F25:G25"/>
    <x:mergeCell ref="H25:I25"/>
    <x:mergeCell ref="F26:G26"/>
    <x:mergeCell ref="H26:I26"/>
    <x:mergeCell ref="F27:G27"/>
    <x:mergeCell ref="H27:I27"/>
    <x:mergeCell ref="F28:G28"/>
    <x:mergeCell ref="H28:I28"/>
    <x:mergeCell ref="F29:G29"/>
    <x:mergeCell ref="H29:I29"/>
    <x:mergeCell ref="F30:G30"/>
    <x:mergeCell ref="H30:I30"/>
    <x:mergeCell ref="F31:G31"/>
    <x:mergeCell ref="F32:G32"/>
    <x:mergeCell ref="H32:I32"/>
    <x:mergeCell ref="A33:F33"/>
    <x:mergeCell ref="A35:I35"/>
    <x:mergeCell ref="A43:I43"/>
    <x:mergeCell ref="A49:I49"/>
    <x:mergeCell ref="A50:I50"/>
    <x:mergeCell ref="A51:I51"/>
    <x:mergeCell ref="A52:I52"/>
    <x:mergeCell ref="A53:I53"/>
    <x:mergeCell ref="A54:I54"/>
    <x:mergeCell ref="A55:I55"/>
    <x:mergeCell ref="A3:F3"/>
    <x:mergeCell ref="G3:I3"/>
  </x:mergeCells>
  <x:conditionalFormatting sqref="E25:E32">
    <x:cfRule type="expression" dxfId="0" priority="1">
      <x:formula>E25="MISSED"</x:formula>
    </x:cfRule>
    <x:cfRule type="expression" dxfId="1" priority="2">
      <x:formula>E25="NOT MISSED"</x:formula>
    </x:cfRule>
  </x:conditionalFormatting>
  <x:conditionalFormatting sqref="A37:I40">
    <x:cfRule type="expression" dxfId="2" priority="3">
      <x:formula>$D37=""</x:formula>
    </x:cfRule>
  </x:conditionalFormatting>
  <x:conditionalFormatting sqref="A45:I48">
    <x:cfRule type="expression" dxfId="2" priority="4">
      <x:formula>$D45=""</x:formula>
    </x:cfRule>
  </x:conditionalFormatting>
  <x:dataValidations count="2">
    <x:dataValidation type="list" sqref="B4">
      <x:formula1>Lists!$A$4:$A$13</x:formula1>
    </x:dataValidation>
    <x:dataValidation type="list" sqref="B8:B9">
      <x:formula1>Lists!$B$4:$B$8</x:formula1>
    </x:dataValidation>
  </x:dataValidations>
  <x:pageMargins left="0.7" right="0.7" top="0.75" bottom="0.75" header="0.3" footer="0.3"/>
  <x:drawing xmlns:r="http://schemas.openxmlformats.org/officeDocument/2006/relationships" r:id="R8a387468377f47e8"/>
</x:worksheet>
</file>

<file path=xl/worksheets/sheet3.xml><?xml version="1.0" encoding="utf-8"?>
<x:worksheet xmlns:x="http://schemas.openxmlformats.org/spreadsheetml/2006/main">
  <x:sheetFormatPr defaultColWidth="9" defaultRowHeight="16.799999237060547"/>
  <x:cols>
    <x:col min="1" max="1" width="7" customWidth="1"/>
    <x:col min="2" max="2" width="32.96154022216797" customWidth="1"/>
    <x:col min="3" max="3" width="18.009614944458008" customWidth="1"/>
    <x:col min="4" max="4" width="15" customWidth="1"/>
    <x:col min="5" max="5" width="12.230769157409668" customWidth="1"/>
    <x:col min="6" max="6" width="12.884614944458008" customWidth="1"/>
    <x:col min="7" max="7" width="13.384614944458008" customWidth="1"/>
    <x:col min="8" max="8" width="12" customWidth="1"/>
    <x:col min="9" max="9" width="19.980770111083984" customWidth="1"/>
    <x:col min="10" max="11" width="18" customWidth="1"/>
    <x:col min="12" max="12" width="19.980770111083984" customWidth="1"/>
    <x:col min="13" max="14" width="18" customWidth="1"/>
    <x:col min="15" max="15" width="27.25" customWidth="1"/>
    <x:col min="16" max="16" width="16" customWidth="1"/>
    <x:col min="17" max="17" width="18" customWidth="1"/>
    <x:col min="18" max="18" width="26.259614944458008" customWidth="1"/>
    <x:col min="19" max="19" width="16" customWidth="1"/>
    <x:col min="20" max="20" width="18" customWidth="1"/>
    <x:col min="21" max="21" width="28.048076629638672" customWidth="1"/>
    <x:col min="22" max="22" width="16" customWidth="1"/>
    <x:col min="23" max="23" width="27.80769157409668" customWidth="1"/>
    <x:col min="24" max="24" width="16" customWidth="1"/>
    <x:col min="25" max="25" width="16.68269157409668" customWidth="1"/>
    <x:col min="26" max="26" width="16.519229888916016" customWidth="1"/>
  </x:cols>
  <x:sheetData>
    <x:row r="1" ht="30" customHeight="1">
      <x:c r="A1" s="6" t="s">
        <x:v>0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2"/>
    </x:row>
    <x:row r="2" ht="22" customHeight="1">
      <x:c r="A2" s="8" t="s">
        <x:v>1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73"/>
    </x:row>
    <x:row r="3">
      <x:c r="A3" s="10"/>
      <x:c r="B3" s="11"/>
      <x:c r="C3" s="12"/>
      <x:c r="D3" s="13"/>
      <x:c r="E3" s="9"/>
      <x:c r="F3" s="9"/>
      <x:c r="G3" s="24"/>
      <x:c r="H3" s="24"/>
      <x:c r="I3" s="24"/>
      <x:c r="J3" s="24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256" t="str">
        <x:v>LICENCE NUMBER: TSA-MURU-2419</x:v>
      </x:c>
      <x:c r="X3" s="256" t="str">
        <x:v>LICENCE NUMBER: TSA-MURU-2419</x:v>
      </x:c>
      <x:c r="Y3" s="256" t="str">
        <x:v>LICENCE NUMBER: TSA-MURU-2419</x:v>
      </x:c>
      <x:c r="Z3" s="263" t="str">
        <x:v>LICENCE NUMBER: TSA-MURU-2419</x:v>
      </x:c>
    </x:row>
    <x:row r="4" ht="16" customHeight="1">
      <x:c r="A4" s="14"/>
      <x:c r="B4" s="15" t="s">
        <x:v>106</x:v>
      </x:c>
      <x:c r="C4" s="7"/>
      <x:c r="D4" s="16"/>
      <x:c r="E4" s="9"/>
      <x:c r="F4" s="40" t="s">
        <x:v>107</x:v>
      </x:c>
      <x:c r="G4" s="41"/>
      <x:c r="H4" s="41"/>
      <x:c r="I4" s="56"/>
      <x:c r="J4" s="57"/>
      <x:c r="K4" s="57"/>
      <x:c r="L4" s="57"/>
      <x:c r="M4" s="57"/>
      <x:c r="N4" s="57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73"/>
    </x:row>
    <x:row r="5" ht="33" customHeight="1">
      <x:c r="A5" s="17"/>
      <x:c r="B5" s="18" t="s">
        <x:v>57</x:v>
      </x:c>
      <x:c r="C5" s="303">
        <x:v>2</x:v>
      </x:c>
      <x:c r="D5" s="304"/>
      <x:c r="E5" s="9"/>
      <x:c r="F5" s="42" t="s">
        <x:v>108</x:v>
      </x:c>
      <x:c r="G5" s="43"/>
      <x:c r="H5" s="305">
        <x:v>1000000</x:v>
      </x:c>
      <x:c r="I5" s="306"/>
      <x:c r="J5" s="24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73"/>
    </x:row>
    <x:row r="6">
      <x:c r="A6" s="17"/>
      <x:c r="B6" s="21" t="s">
        <x:v>109</x:v>
      </x:c>
      <x:c r="C6" s="307">
        <x:v>65</x:v>
      </x:c>
      <x:c r="D6" s="308"/>
      <x:c r="E6" s="9"/>
      <x:c r="F6" s="45" t="s">
        <x:v>110</x:v>
      </x:c>
      <x:c r="G6" s="43"/>
      <x:c r="H6" s="333" t="n">
        <x:f>IF(Y13="",0,Y13)+IF(Y14="",0,Y14)+IF(Y15="",0,Y15)+IF(Y16="",0,Y16)+IF(Y17="",0,Y17)+IF(Y18="",0,Y18)+IF(Y19="",0,Y19)+IF(Y20="",0,Y20)+IF(Y21="",0,Y21)+IF(Y22="",0,Y22)+IF(Y23="",0,Y23)+IF(Y24="",0,Y24)+IF(Y25="",0,Y25)+IF(Y26="",0,Y26)+IF(Y27="",0,Y27)+IF(Y28="",0,Y28)+IF(Y29="",0,Y29)+IF(Y30="",0,Y30)+IF(Y31="",0,Y31)+IF(Y32="",0,Y32)+IF(Y33="",0,Y33)+IF(Y34="",0,Y34)+IF(Y35="",0,Y35)+IF(Y36="",0,Y36)+IF(Y37="",0,Y37)+IF(Y38="",0,Y38)+IF(Y39="",0,Y39)+IF(Y40="",0,Y40)+IF(Y41="",0,Y41)+IF(Y42="",0,Y42)+IF(Y43="",0,Y43)+IF(Y44="",0,Y44)+IF(Y45="",0,Y45)+IF(Y46="",0,Y46)+IF(Y47="",0,Y47)+IF(Y48="",0,Y48)+IF(Y49="",0,Y49)+IF(Y50="",0,Y50)+IF(Y51="",0,Y51)+IF(Y52="",0,Y52)+IF(Y53="",0,Y53)+IF(Y54="",0,Y54)+IF(Y55="",0,Y55)+IF(Y56="",0,Y56)+IF(Y57="",0,Y57)+IF(Y58="",0,Y58)+IF(Y59="",0,Y59)+IF(Y60="",0,Y60)+IF(Y61="",0,Y61)+IF(Y62="",0,Y62)+IF(Y63="",0,Y63)+IF(Y64="",0,Y64)+IF(Y65="",0,Y65)+IF(Y66="",0,Y66)+IF(Y67="",0,Y67)+IF(Y68="",0,Y68)+IF(Y69="",0,Y69)+IF(Y70="",0,Y70)+IF(Y71="",0,Y71)+IF(Y72="",0,Y72)+IF(Y73="",0,Y73)+IF(Y74="",0,Y74)+IF(Y75="",0,Y75)+IF(Y76="",0,Y76)+IF(Y77="",0,Y77)+IF(Y78="",0,Y78)+IF(Y79="",0,Y79)+IF(Y80="",0,Y80)+IF(Y81="",0,Y81)+IF(Y82="",0,Y82)+IF(Y83="",0,Y83)+IF(Y84="",0,Y84)+IF(Y85="",0,Y85)+IF(Y86="",0,Y86)+IF(Y87="",0,Y87)+IF(Y88="",0,Y88)+IF(Y89="",0,Y89)+IF(Y90="",0,Y90)+IF(Y91="",0,Y91)+IF(Y92="",0,Y92)+IF(Y93="",0,Y93)+IF(Y94="",0,Y94)+IF(Y95="",0,Y95)+IF(Y96="",0,Y96)+IF(Y97="",0,Y97)+IF(Y98="",0,Y98)+IF(Y99="",0,Y99)+IF(Y100="",0,Y100)+IF(Y101="",0,Y101)+IF(Y102="",0,Y102)+IF(Y103="",0,Y103)+IF(Y104="",0,Y104)+IF(Y105="",0,Y105)+IF(Y106="",0,Y106)+IF(Y107="",0,Y107)+IF(Y108="",0,Y108)+IF(Y109="",0,Y109)+IF(Y110="",0,Y110)+IF(Y111="",0,Y111)+IF(Y112="",0,Y112)+IF(Y113="",0,Y113)+IF(Y114="",0,Y114)+IF(Y115="",0,Y115)+IF(Y116="",0,Y116)+IF(Y117="",0,Y117)+IF(Y118="",0,Y118)+IF(Y119="",0,Y119)+IF(Y120="",0,Y120)+IF(Y121="",0,Y121)+IF(Y122="",0,Y122)+IF(Y123="",0,Y123)+IF(Y124="",0,Y124)+IF(Y125="",0,Y125)+IF(Y126="",0,Y126)+IF(Y127="",0,Y127)+IF(Y128="",0,Y128)+IF(Y129="",0,Y129)+IF(Y130="",0,Y130)+IF(Y131="",0,Y131)+IF(Y132="",0,Y132)+IF(Y133="",0,Y133)+IF(Y134="",0,Y134)+IF(Y135="",0,Y135)+IF(Y136="",0,Y136)+IF(Y137="",0,Y137)+IF(Y138="",0,Y138)+IF(Y139="",0,Y139)+IF(Y140="",0,Y140)+IF(Y141="",0,Y141)+IF(Y142="",0,Y142)+IF(Y143="",0,Y143)+IF(Y144="",0,Y144)+IF(Y145="",0,Y145)+IF(Y146="",0,Y146)+IF(Y147="",0,Y147)+IF(Y148="",0,Y148)+IF(Y149="",0,Y149)+IF(Y150="",0,Y150)+IF(Y151="",0,Y151)+IF(Y152="",0,Y152)+IF(Y153="",0,Y153)+IF(Y154="",0,Y154)+IF(Y155="",0,Y155)+IF(Y156="",0,Y156)+IF(Y157="",0,Y157)+IF(Y158="",0,Y158)+IF(Y159="",0,Y159)+IF(Y160="",0,Y160)+IF(Y161="",0,Y161)+IF(Y162="",0,Y162)+IF(Y163="",0,Y163)+IF(Y164="",0,Y164)+IF(Y165="",0,Y165)+IF(Y166="",0,Y166)+IF(Y167="",0,Y167)+IF(Y168="",0,Y168)+IF(Y169="",0,Y169)+IF(Y170="",0,Y170)+IF(Y171="",0,Y171)+IF(Y172="",0,Y172)+IF(Y173="",0,Y173)+IF(Y174="",0,Y174)+IF(Y175="",0,Y175)+IF(Y176="",0,Y176)+IF(Y177="",0,Y177)+IF(Y178="",0,Y178)+IF(Y179="",0,Y179)+IF(Y180="",0,Y180)+IF(Y181="",0,Y181)+IF(Y182="",0,Y182)+IF(Y183="",0,Y183)+IF(Y184="",0,Y184)+IF(Y185="",0,Y185)+IF(Y186="",0,Y186)+IF(Y187="",0,Y187)+IF(Y188="",0,Y188)+IF(Y189="",0,Y189)+IF(Y190="",0,Y190)+IF(Y191="",0,Y191)+IF(Y192="",0,Y192)+IF(Y193="",0,Y193)+IF(Y194="",0,Y194)+IF(Y195="",0,Y195)+IF(Y196="",0,Y196)+IF(Y197="",0,Y197)+IF(Y198="",0,Y198)+IF(Y199="",0,Y199)+IF(Y200="",0,Y200)+IF(Y201="",0,Y201)+IF(Y202="",0,Y202)+IF(Y203="",0,Y203)+IF(Y204="",0,Y204)+IF(Y205="",0,Y205)+IF(Y206="",0,Y206)+IF(Y207="",0,Y207)+IF(Y208="",0,Y208)+IF(Y209="",0,Y209)+IF(Y210="",0,Y210)+IF(Y211="",0,Y211)+IF(Y212="",0,Y212)</x:f>
        <x:v>0</x:v>
      </x:c>
      <x:c r="I6" s="56"/>
      <x:c r="J6" s="24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73"/>
    </x:row>
    <x:row r="7">
      <x:c r="A7" s="14"/>
      <x:c r="B7" s="24"/>
      <x:c r="C7" s="25"/>
      <x:c r="D7" s="9"/>
      <x:c r="E7" s="9"/>
      <x:c r="F7" s="47" t="s">
        <x:v>111</x:v>
      </x:c>
      <x:c r="G7" s="48"/>
      <x:c r="H7" s="334" t="n">
        <x:f>IF(H5&gt;0,H6/H5,0)</x:f>
        <x:v>0</x:v>
      </x:c>
      <x:c r="I7" s="56"/>
      <x:c r="J7" s="24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73"/>
    </x:row>
    <x:row r="8">
      <x:c r="A8" s="26"/>
      <x:c r="B8" s="27"/>
      <x:c r="C8" s="27"/>
      <x:c r="D8" s="27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73"/>
    </x:row>
    <x:row r="9">
      <x:c r="A9" s="26"/>
      <x:c r="B9" s="28" t="s">
        <x:v>18</x:v>
      </x:c>
      <x:c r="C9" s="28"/>
      <x:c r="D9" s="28"/>
      <x:c r="E9" s="28"/>
      <x:c r="F9" s="28"/>
      <x:c r="G9" s="28"/>
      <x:c r="H9" s="28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73"/>
    </x:row>
    <x:row r="10" hidden="1">
      <x:c r="A10" s="26" t="s">
        <x:v>112</x:v>
      </x:c>
      <x:c r="B10" s="27" t="s">
        <x:v>113</x:v>
      </x:c>
      <x:c r="C10" s="27" t="s">
        <x:v>114</x:v>
      </x:c>
      <x:c r="D10" s="27" t="s">
        <x:v>115</x:v>
      </x:c>
      <x:c r="E10" s="9" t="s">
        <x:v>116</x:v>
      </x:c>
      <x:c r="F10" s="9" t="s">
        <x:v>117</x:v>
      </x:c>
      <x:c r="G10" s="9" t="s">
        <x:v>118</x:v>
      </x:c>
      <x:c r="H10" s="9" t="s">
        <x:v>119</x:v>
      </x:c>
      <x:c r="I10" s="9" t="s">
        <x:v>120</x:v>
      </x:c>
      <x:c r="J10" s="9" t="s">
        <x:v>121</x:v>
      </x:c>
      <x:c r="K10" s="9" t="s">
        <x:v>122</x:v>
      </x:c>
      <x:c r="L10" s="9" t="s">
        <x:v>123</x:v>
      </x:c>
      <x:c r="M10" s="9" t="s">
        <x:v>124</x:v>
      </x:c>
      <x:c r="N10" s="9" t="s">
        <x:v>125</x:v>
      </x:c>
      <x:c r="O10" s="9" t="s">
        <x:v>126</x:v>
      </x:c>
      <x:c r="P10" s="9" t="s">
        <x:v>127</x:v>
      </x:c>
      <x:c r="Q10" s="9" t="s">
        <x:v>128</x:v>
      </x:c>
      <x:c r="R10" s="9" t="s">
        <x:v>129</x:v>
      </x:c>
      <x:c r="S10" s="9" t="s">
        <x:v>130</x:v>
      </x:c>
      <x:c r="T10" s="9" t="s">
        <x:v>131</x:v>
      </x:c>
      <x:c r="U10" s="9" t="s">
        <x:v>132</x:v>
      </x:c>
      <x:c r="V10" s="9" t="s">
        <x:v>133</x:v>
      </x:c>
      <x:c r="W10" s="9" t="s">
        <x:v>134</x:v>
      </x:c>
      <x:c r="X10" s="9" t="s">
        <x:v>135</x:v>
      </x:c>
      <x:c r="Y10" s="9" t="s">
        <x:v>136</x:v>
      </x:c>
      <x:c r="Z10" s="73" t="s">
        <x:v>137</x:v>
      </x:c>
    </x:row>
    <x:row r="11" hidden="1">
      <x:c r="A11" s="26"/>
      <x:c r="B11" s="27"/>
      <x:c r="C11" s="27"/>
      <x:c r="D11" s="27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73"/>
    </x:row>
    <x:row r="12" ht="68" customHeight="1">
      <x:c r="A12" s="29" t="s">
        <x:v>138</x:v>
      </x:c>
      <x:c r="B12" s="30" t="s">
        <x:v>20</x:v>
      </x:c>
      <x:c r="C12" s="30" t="s">
        <x:v>38</x:v>
      </x:c>
      <x:c r="D12" s="30" t="s">
        <x:v>139</x:v>
      </x:c>
      <x:c r="E12" s="30" t="s">
        <x:v>32</x:v>
      </x:c>
      <x:c r="F12" s="30" t="s">
        <x:v>33</x:v>
      </x:c>
      <x:c r="G12" s="30" t="s">
        <x:v>34</x:v>
      </x:c>
      <x:c r="H12" s="30" t="s">
        <x:v>35</x:v>
      </x:c>
      <x:c r="I12" s="30" t="s">
        <x:v>140</x:v>
      </x:c>
      <x:c r="J12" s="30" t="s">
        <x:v>141</x:v>
      </x:c>
      <x:c r="K12" s="30" t="s">
        <x:v>142</x:v>
      </x:c>
      <x:c r="L12" s="30" t="s">
        <x:v>143</x:v>
      </x:c>
      <x:c r="M12" s="30" t="s">
        <x:v>144</x:v>
      </x:c>
      <x:c r="N12" s="30" t="s">
        <x:v>145</x:v>
      </x:c>
      <x:c r="O12" s="30" t="s">
        <x:v>146</x:v>
      </x:c>
      <x:c r="P12" s="30" t="s">
        <x:v>147</x:v>
      </x:c>
      <x:c r="Q12" s="30" t="s">
        <x:v>148</x:v>
      </x:c>
      <x:c r="R12" s="30" t="s">
        <x:v>149</x:v>
      </x:c>
      <x:c r="S12" s="30" t="s">
        <x:v>150</x:v>
      </x:c>
      <x:c r="T12" s="30" t="s">
        <x:v>151</x:v>
      </x:c>
      <x:c r="U12" s="30" t="s">
        <x:v>152</x:v>
      </x:c>
      <x:c r="V12" s="30" t="s">
        <x:v>153</x:v>
      </x:c>
      <x:c r="W12" s="30" t="s">
        <x:v>154</x:v>
      </x:c>
      <x:c r="X12" s="30" t="s">
        <x:v>155</x:v>
      </x:c>
      <x:c r="Y12" s="30" t="s">
        <x:v>156</x:v>
      </x:c>
      <x:c r="Z12" s="75" t="s">
        <x:v>157</x:v>
      </x:c>
    </x:row>
    <x:row r="13">
      <x:c r="A13" s="31">
        <x:v>1</x:v>
      </x:c>
      <x:c r="B13" s="309">
        <x:v>46244</x:v>
      </x:c>
      <x:c r="C13" s="310" t="s">
        <x:v>158</x:v>
      </x:c>
      <x:c r="D13" s="311" t="s">
        <x:v>43</x:v>
      </x:c>
      <x:c r="E13" s="312">
        <x:v>24585.793875</x:v>
      </x:c>
      <x:c r="F13" s="313">
        <x:v>24278.4714515625</x:v>
      </x:c>
      <x:c r="G13" s="312">
        <x:v>24737.88375</x:v>
      </x:c>
      <x:c r="H13" s="314">
        <x:v>24789.247875</x:v>
      </x:c>
      <x:c r="I13" s="335" t="str">
        <x:f t="shared" ref="I13:I76" si="0">IF(D13="Buy","Enter New 2DLL",IF(D13="Sell","Enter New 2DHH",""))</x:f>
        <x:v>Enter New 2DHH</x:v>
      </x:c>
      <x:c r="J13" s="315">
        <x:v>24698</x:v>
      </x:c>
      <x:c r="K13" s="336" t="n">
        <x:f>IF(OR(D13="",E13="",J13=""),"",IF(D13="Buy",MROUND(MAX(E13*(1-1.25%),J13*(1-0.125%)),1),MROUND(MIN(E13*(1+1.25%),J13*(1+0.125%)),1)))</x:f>
        <x:v>24729</x:v>
      </x:c>
      <x:c r="L13" s="335" t="str">
        <x:f>IF(D13="Buy","Enter New 3DLL",IF(D13="Sell","Enter New 3DHH",""))</x:f>
        <x:v>Enter New 3DHH</x:v>
      </x:c>
      <x:c r="M13" s="315"/>
      <x:c r="N13" s="336" t="str">
        <x:f>IF(OR(D13="",E13="",M13=""),"",IF(D13="Buy",MROUND(MAX(E13*(1-1.25%),M13*(1-0.125%)),1),MROUND(MIN(E13*(1+1.25%),M13*(1+0.125%)),1)))</x:f>
      </x:c>
      <x:c r="O13" s="335" t="str">
        <x:f t="shared" ref="O13:O76" si="1">IF(D13="Buy","Enter First 15-Minute Low",IF(D13="Sell","Enter First 15-Minute High",""))</x:f>
        <x:v>Enter First 15-Minute High</x:v>
      </x:c>
      <x:c r="P13" s="315"/>
      <x:c r="Q13" s="336" t="str">
        <x:f>IF(OR(D13="",P13=""),"",IF(D13="Buy",MROUND(P13*(1-0.125%),1),MROUND(P13*(1+0.125%),1)))</x:f>
      </x:c>
      <x:c r="R13" s="338" t="str">
        <x:f t="shared" ref="R13:R76" si="2">IF(D13="Buy","Enter First 15-Minute Low",IF(D13="Sell","Enter First 15-Minute High",""))</x:f>
        <x:v>Enter First 15-Minute High</x:v>
      </x:c>
      <x:c r="S13" s="315"/>
      <x:c r="T13" s="336" t="str">
        <x:f>IF(OR(D13="",S13=""),"",IF(D13="Buy",MROUND(S13*(1-0.125%),1),MROUND(S13*(1+0.125%),1)))</x:f>
      </x:c>
      <x:c r="U13" s="316"/>
      <x:c r="V13" s="340" t="str">
        <x:f>IF(OR(D13="",U13="",$C$5="",$C$6=""),"",IF(U13="Target Hit",IF(D13="Buy",(F13-E13)*($C$5/2)*$C$6,(E13-F13)*($C$5/2)*$C$6),IF(U13="Target Hit",IF(D13="Buy",(F13-E13)*($C$5/2)*$C$6,(E13-F13)*($C$5/2)*$C$6),IF(U13="Rollover",IF(D13="Buy",(Z13-E13)*($C$5/2)*$C$6,(E13-Z13)*($C$5/2)*$C$6),IF(U13="Stoploss 1 Hit",IF(K13="","",IF(D13="Buy",(K13-E13)*$C$5*$C$6,(E13-K13)*$C$5*$C$6)),IF(OR(U13="Gap Down Stoploss 1 Hit",U13="Gap Up Stoploss 1 Hit"),IF(Q13="","",IF(D13="Buy",(Q13-E13)*$C$5*$C$6,(E13-Q13)*$C$5*$C$6)),0))))))</x:f>
      </x:c>
      <x:c r="W13" s="316"/>
      <x:c r="X13" s="341" t="n">
        <x:f>IF(D13="","",IF(U13="Target Hit",IF(W13="Stoploss 2 Hit",IF(N13="","",IF(D13="Buy",(N13-E13)*($C$5/2)*$C$6,(E13-N13)*($C$5/2)*$C$6)),IF(U13="Target Hit",IF(W13="Rollover",IF(Z13="","",IF(D13="Buy",(Z13-E13)*($C$5/2)*$C$6,(E13-Z13)*($C$5/2)*$C$6)),IF(W13="Gap Down Stoploss 2 Hit",IF(T13="","",IF(D13="Buy",(T13-E13)*($C$5/2)*$C$6,(E13-T13)*($C$5/2)*$C$6)),IF(W13="Gap Up Stoploss 2 Hit",IF(T13="","",IF(D13="Buy",(T13-E13)*($C$5/2)*$C$6,(E13-T13)*($C$5/2)*$C$6)),0))),0))))</x:f>
        <x:v>0</x:v>
      </x:c>
      <x:c r="Y13" s="342" t="str">
        <x:f t="shared" ref="Y13:Y76" si="3">IF(AND(V13="",X13=""),"",IF(V13="",0,V13)+IF(X13="",0,X13))</x:f>
      </x:c>
      <x:c r="Z13" s="317"/>
    </x:row>
    <x:row r="14">
      <x:c r="A14" s="35">
        <x:v>2</x:v>
      </x:c>
      <x:c r="B14" s="318"/>
      <x:c r="C14" s="319"/>
      <x:c r="D14" s="320"/>
      <x:c r="E14" s="321"/>
      <x:c r="F14" s="322"/>
      <x:c r="G14" s="321"/>
      <x:c r="H14" s="323"/>
      <x:c r="I14" s="337" t="str">
        <x:f t="shared" si="0"/>
      </x:c>
      <x:c r="J14" s="324"/>
      <x:c r="K14" s="336" t="str">
        <x:f t="shared" ref="K14:K45" si="4">IF(OR(D14="",E14="",J14=""),"",IF(D14="Buy",MROUND(MAX(E14*(1-1.25%),J14*(1-0.125%)),1),MROUND(MIN(E14*(1+1.25%),J14*(1+0.125%)),1)))</x:f>
      </x:c>
      <x:c r="L14" s="335" t="str">
        <x:f t="shared" ref="L14:L45" si="5">IF(D14="Buy","Enter New 3DLL",IF(D14="Sell","Enter New 3DHH",""))</x:f>
      </x:c>
      <x:c r="M14" s="324"/>
      <x:c r="N14" s="336" t="str">
        <x:f t="shared" ref="N14:N45" si="6">IF(OR(D14="",E14="",M14=""),"",IF(D14="Buy",MROUND(MAX(E14*(1-1.25%),M14*(1-0.125%)),1),MROUND(MIN(E14*(1+1.25%),M14*(1+0.125%)),1)))</x:f>
      </x:c>
      <x:c r="O14" s="337" t="str">
        <x:f t="shared" si="1"/>
      </x:c>
      <x:c r="P14" s="324"/>
      <x:c r="Q14" s="336" t="str">
        <x:f t="shared" ref="Q14:Q45" si="7">IF(OR(D14="",P14=""),"",IF(D14="Buy",MROUND(P14*(1-0.125%),1),MROUND(P14*(1+0.125%),1)))</x:f>
      </x:c>
      <x:c r="R14" s="339" t="str">
        <x:f t="shared" si="2"/>
      </x:c>
      <x:c r="S14" s="324"/>
      <x:c r="T14" s="336" t="str">
        <x:f t="shared" ref="T14:T45" si="8">IF(OR(D14="",S14=""),"",IF(D14="Buy",MROUND(S14*(1-0.125%),1),MROUND(S14*(1+0.125%),1)))</x:f>
      </x:c>
      <x:c r="U14" s="325"/>
      <x:c r="V14" s="340" t="str">
        <x:f>IF(OR(D14="",U14="",$C$5="",$C$6=""),"",IF(U14="Target Hit",IF(D14="Buy",(F14-E14)*($C$5/2)*$C$6,(E14-F14)*($C$5/2)*$C$6),IF(U14="Target Hit",IF(D14="Buy",(F14-E14)*($C$5/2)*$C$6,(E14-F14)*($C$5/2)*$C$6),IF(U14="Rollover",IF(D14="Buy",(Z14-E14)*($C$5/2)*$C$6,(E14-Z14)*($C$5/2)*$C$6),IF(U14="Stoploss 1 Hit",IF(K14="","",IF(D14="Buy",(K14-E14)*$C$5*$C$6,(E14-K14)*$C$5*$C$6)),IF(OR(U14="Gap Down Stoploss 1 Hit",U14="Gap Up Stoploss 1 Hit"),IF(Q14="","",IF(D14="Buy",(Q14-E14)*$C$5*$C$6,(E14-Q14)*$C$5*$C$6)),0))))))</x:f>
      </x:c>
      <x:c r="W14" s="326"/>
      <x:c r="X14" s="341" t="str">
        <x:f>IF(D14="","",IF(U14="Target Hit",IF(W14="Stoploss 2 Hit",IF(N14="","",IF(D14="Buy",(N14-E14)*($C$5/2)*$C$6,(E14-N14)*($C$5/2)*$C$6)),IF(U14="Target Hit",IF(W14="Rollover",IF(Z14="","",IF(D14="Buy",(Z14-E14)*($C$5/2)*$C$6,(E14-Z14)*($C$5/2)*$C$6)),IF(W14="Gap Down Stoploss 2 Hit",IF(T14="","",IF(D14="Buy",(T14-E14)*($C$5/2)*$C$6,(E14-T14)*($C$5/2)*$C$6)),IF(W14="Gap Up Stoploss 2 Hit",IF(T14="","",IF(D14="Buy",(T14-E14)*($C$5/2)*$C$6,(E14-T14)*($C$5/2)*$C$6)),0))),0))))</x:f>
      </x:c>
      <x:c r="Y14" s="343" t="str">
        <x:f t="shared" si="3"/>
      </x:c>
      <x:c r="Z14" s="327"/>
    </x:row>
    <x:row r="15">
      <x:c r="A15" s="35">
        <x:v>3</x:v>
      </x:c>
      <x:c r="B15" s="318"/>
      <x:c r="C15" s="319"/>
      <x:c r="D15" s="320"/>
      <x:c r="E15" s="321"/>
      <x:c r="F15" s="322"/>
      <x:c r="G15" s="321"/>
      <x:c r="H15" s="323"/>
      <x:c r="I15" s="337" t="str">
        <x:f t="shared" si="0"/>
      </x:c>
      <x:c r="J15" s="324"/>
      <x:c r="K15" s="336" t="str">
        <x:f t="shared" si="4"/>
      </x:c>
      <x:c r="L15" s="335" t="str">
        <x:f t="shared" si="5"/>
      </x:c>
      <x:c r="M15" s="324"/>
      <x:c r="N15" s="336" t="str">
        <x:f t="shared" si="6"/>
      </x:c>
      <x:c r="O15" s="337" t="str">
        <x:f t="shared" si="1"/>
      </x:c>
      <x:c r="P15" s="324"/>
      <x:c r="Q15" s="336" t="str">
        <x:f t="shared" si="7"/>
      </x:c>
      <x:c r="R15" s="339" t="str">
        <x:f t="shared" si="2"/>
      </x:c>
      <x:c r="S15" s="324"/>
      <x:c r="T15" s="336" t="str">
        <x:f t="shared" si="8"/>
      </x:c>
      <x:c r="U15" s="325"/>
      <x:c r="V15" s="340" t="str">
        <x:f>IF(OR(D15="",U15="",$C$5="",$C$6=""),"",IF(U15="Target Hit",IF(D15="Buy",(F15-E15)*($C$5/2)*$C$6,(E15-F15)*($C$5/2)*$C$6),IF(U15="Target Hit",IF(D15="Buy",(F15-E15)*($C$5/2)*$C$6,(E15-F15)*($C$5/2)*$C$6),IF(U15="Rollover",IF(D15="Buy",(Z15-E15)*($C$5/2)*$C$6,(E15-Z15)*($C$5/2)*$C$6),IF(U15="Stoploss 1 Hit",IF(K15="","",IF(D15="Buy",(K15-E15)*$C$5*$C$6,(E15-K15)*$C$5*$C$6)),IF(OR(U15="Gap Down Stoploss 1 Hit",U15="Gap Up Stoploss 1 Hit"),IF(Q15="","",IF(D15="Buy",(Q15-E15)*$C$5*$C$6,(E15-Q15)*$C$5*$C$6)),0))))))</x:f>
      </x:c>
      <x:c r="W15" s="326"/>
      <x:c r="X15" s="341" t="str">
        <x:f>IF(D15="","",IF(U15="Target Hit",IF(W15="Stoploss 2 Hit",IF(N15="","",IF(D15="Buy",(N15-E15)*($C$5/2)*$C$6,(E15-N15)*($C$5/2)*$C$6)),IF(U15="Target Hit",IF(W15="Rollover",IF(Z15="","",IF(D15="Buy",(Z15-E15)*($C$5/2)*$C$6,(E15-Z15)*($C$5/2)*$C$6)),IF(W15="Gap Down Stoploss 2 Hit",IF(T15="","",IF(D15="Buy",(T15-E15)*($C$5/2)*$C$6,(E15-T15)*($C$5/2)*$C$6)),IF(W15="Gap Up Stoploss 2 Hit",IF(T15="","",IF(D15="Buy",(T15-E15)*($C$5/2)*$C$6,(E15-T15)*($C$5/2)*$C$6)),0))),0))))</x:f>
      </x:c>
      <x:c r="Y15" s="343" t="str">
        <x:f t="shared" si="3"/>
      </x:c>
      <x:c r="Z15" s="327"/>
    </x:row>
    <x:row r="16">
      <x:c r="A16" s="35">
        <x:v>4</x:v>
      </x:c>
      <x:c r="B16" s="318"/>
      <x:c r="C16" s="319"/>
      <x:c r="D16" s="320"/>
      <x:c r="E16" s="321"/>
      <x:c r="F16" s="322"/>
      <x:c r="G16" s="321"/>
      <x:c r="H16" s="323"/>
      <x:c r="I16" s="337" t="str">
        <x:f t="shared" si="0"/>
      </x:c>
      <x:c r="J16" s="324"/>
      <x:c r="K16" s="336" t="str">
        <x:f t="shared" si="4"/>
      </x:c>
      <x:c r="L16" s="335" t="str">
        <x:f t="shared" si="5"/>
      </x:c>
      <x:c r="M16" s="324"/>
      <x:c r="N16" s="336" t="str">
        <x:f t="shared" si="6"/>
      </x:c>
      <x:c r="O16" s="337" t="str">
        <x:f t="shared" si="1"/>
      </x:c>
      <x:c r="P16" s="324"/>
      <x:c r="Q16" s="336" t="str">
        <x:f t="shared" si="7"/>
      </x:c>
      <x:c r="R16" s="339" t="str">
        <x:f t="shared" si="2"/>
      </x:c>
      <x:c r="S16" s="324"/>
      <x:c r="T16" s="336" t="str">
        <x:f t="shared" si="8"/>
      </x:c>
      <x:c r="U16" s="325"/>
      <x:c r="V16" s="340" t="str">
        <x:f>IF(OR(D16="",U16="",$C$5="",$C$6=""),"",IF(U16="Target Hit",IF(D16="Buy",(F16-E16)*($C$5/2)*$C$6,(E16-F16)*($C$5/2)*$C$6),IF(U16="Target Hit",IF(D16="Buy",(F16-E16)*($C$5/2)*$C$6,(E16-F16)*($C$5/2)*$C$6),IF(U16="Rollover",IF(D16="Buy",(Z16-E16)*($C$5/2)*$C$6,(E16-Z16)*($C$5/2)*$C$6),IF(U16="Stoploss 1 Hit",IF(K16="","",IF(D16="Buy",(K16-E16)*$C$5*$C$6,(E16-K16)*$C$5*$C$6)),IF(OR(U16="Gap Down Stoploss 1 Hit",U16="Gap Up Stoploss 1 Hit"),IF(Q16="","",IF(D16="Buy",(Q16-E16)*$C$5*$C$6,(E16-Q16)*$C$5*$C$6)),0))))))</x:f>
      </x:c>
      <x:c r="W16" s="326"/>
      <x:c r="X16" s="341" t="str">
        <x:f>IF(D16="","",IF(U16="Target Hit",IF(W16="Stoploss 2 Hit",IF(N16="","",IF(D16="Buy",(N16-E16)*($C$5/2)*$C$6,(E16-N16)*($C$5/2)*$C$6)),IF(U16="Target Hit",IF(W16="Rollover",IF(Z16="","",IF(D16="Buy",(Z16-E16)*($C$5/2)*$C$6,(E16-Z16)*($C$5/2)*$C$6)),IF(W16="Gap Down Stoploss 2 Hit",IF(T16="","",IF(D16="Buy",(T16-E16)*($C$5/2)*$C$6,(E16-T16)*($C$5/2)*$C$6)),IF(W16="Gap Up Stoploss 2 Hit",IF(T16="","",IF(D16="Buy",(T16-E16)*($C$5/2)*$C$6,(E16-T16)*($C$5/2)*$C$6)),0))),0))))</x:f>
      </x:c>
      <x:c r="Y16" s="343" t="str">
        <x:f t="shared" si="3"/>
      </x:c>
      <x:c r="Z16" s="327"/>
    </x:row>
    <x:row r="17">
      <x:c r="A17" s="35">
        <x:v>5</x:v>
      </x:c>
      <x:c r="B17" s="318"/>
      <x:c r="C17" s="319"/>
      <x:c r="D17" s="320"/>
      <x:c r="E17" s="321"/>
      <x:c r="F17" s="322"/>
      <x:c r="G17" s="321"/>
      <x:c r="H17" s="323"/>
      <x:c r="I17" s="337" t="str">
        <x:f t="shared" si="0"/>
      </x:c>
      <x:c r="J17" s="324"/>
      <x:c r="K17" s="336" t="str">
        <x:f t="shared" si="4"/>
      </x:c>
      <x:c r="L17" s="335" t="str">
        <x:f t="shared" si="5"/>
      </x:c>
      <x:c r="M17" s="324"/>
      <x:c r="N17" s="336" t="str">
        <x:f t="shared" si="6"/>
      </x:c>
      <x:c r="O17" s="337" t="str">
        <x:f t="shared" si="1"/>
      </x:c>
      <x:c r="P17" s="324"/>
      <x:c r="Q17" s="336" t="str">
        <x:f t="shared" si="7"/>
      </x:c>
      <x:c r="R17" s="339" t="str">
        <x:f t="shared" si="2"/>
      </x:c>
      <x:c r="S17" s="324"/>
      <x:c r="T17" s="336" t="str">
        <x:f t="shared" si="8"/>
      </x:c>
      <x:c r="U17" s="325"/>
      <x:c r="V17" s="340" t="str">
        <x:f>IF(OR(D17="",U17="",$C$5="",$C$6=""),"",IF(U17="Target Hit",IF(D17="Buy",(F17-E17)*($C$5/2)*$C$6,(E17-F17)*($C$5/2)*$C$6),IF(U17="Target Hit",IF(D17="Buy",(F17-E17)*($C$5/2)*$C$6,(E17-F17)*($C$5/2)*$C$6),IF(U17="Rollover",IF(D17="Buy",(Z17-E17)*($C$5/2)*$C$6,(E17-Z17)*($C$5/2)*$C$6),IF(U17="Stoploss 1 Hit",IF(K17="","",IF(D17="Buy",(K17-E17)*$C$5*$C$6,(E17-K17)*$C$5*$C$6)),IF(OR(U17="Gap Down Stoploss 1 Hit",U17="Gap Up Stoploss 1 Hit"),IF(Q17="","",IF(D17="Buy",(Q17-E17)*$C$5*$C$6,(E17-Q17)*$C$5*$C$6)),0))))))</x:f>
      </x:c>
      <x:c r="W17" s="326"/>
      <x:c r="X17" s="341" t="str">
        <x:f>IF(D17="","",IF(U17="Target Hit",IF(W17="Stoploss 2 Hit",IF(N17="","",IF(D17="Buy",(N17-E17)*($C$5/2)*$C$6,(E17-N17)*($C$5/2)*$C$6)),IF(U17="Target Hit",IF(W17="Rollover",IF(Z17="","",IF(D17="Buy",(Z17-E17)*($C$5/2)*$C$6,(E17-Z17)*($C$5/2)*$C$6)),IF(W17="Gap Down Stoploss 2 Hit",IF(T17="","",IF(D17="Buy",(T17-E17)*($C$5/2)*$C$6,(E17-T17)*($C$5/2)*$C$6)),IF(W17="Gap Up Stoploss 2 Hit",IF(T17="","",IF(D17="Buy",(T17-E17)*($C$5/2)*$C$6,(E17-T17)*($C$5/2)*$C$6)),0))),0))))</x:f>
      </x:c>
      <x:c r="Y17" s="343" t="str">
        <x:f t="shared" si="3"/>
      </x:c>
      <x:c r="Z17" s="327"/>
    </x:row>
    <x:row r="18">
      <x:c r="A18" s="35">
        <x:v>6</x:v>
      </x:c>
      <x:c r="B18" s="318"/>
      <x:c r="C18" s="319"/>
      <x:c r="D18" s="320"/>
      <x:c r="E18" s="321"/>
      <x:c r="F18" s="322"/>
      <x:c r="G18" s="321"/>
      <x:c r="H18" s="323"/>
      <x:c r="I18" s="337" t="str">
        <x:f t="shared" si="0"/>
      </x:c>
      <x:c r="J18" s="324"/>
      <x:c r="K18" s="336" t="str">
        <x:f t="shared" si="4"/>
      </x:c>
      <x:c r="L18" s="335" t="str">
        <x:f t="shared" si="5"/>
      </x:c>
      <x:c r="M18" s="324"/>
      <x:c r="N18" s="336" t="str">
        <x:f t="shared" si="6"/>
      </x:c>
      <x:c r="O18" s="337" t="str">
        <x:f t="shared" si="1"/>
      </x:c>
      <x:c r="P18" s="324"/>
      <x:c r="Q18" s="336" t="str">
        <x:f t="shared" si="7"/>
      </x:c>
      <x:c r="R18" s="339" t="str">
        <x:f t="shared" si="2"/>
      </x:c>
      <x:c r="S18" s="324"/>
      <x:c r="T18" s="336" t="str">
        <x:f t="shared" si="8"/>
      </x:c>
      <x:c r="U18" s="325"/>
      <x:c r="V18" s="340" t="str">
        <x:f>IF(OR(D18="",U18="",$C$5="",$C$6=""),"",IF(U18="Target Hit",IF(D18="Buy",(F18-E18)*($C$5/2)*$C$6,(E18-F18)*($C$5/2)*$C$6),IF(U18="Target Hit",IF(D18="Buy",(F18-E18)*($C$5/2)*$C$6,(E18-F18)*($C$5/2)*$C$6),IF(U18="Rollover",IF(D18="Buy",(Z18-E18)*($C$5/2)*$C$6,(E18-Z18)*($C$5/2)*$C$6),IF(U18="Stoploss 1 Hit",IF(K18="","",IF(D18="Buy",(K18-E18)*$C$5*$C$6,(E18-K18)*$C$5*$C$6)),IF(OR(U18="Gap Down Stoploss 1 Hit",U18="Gap Up Stoploss 1 Hit"),IF(Q18="","",IF(D18="Buy",(Q18-E18)*$C$5*$C$6,(E18-Q18)*$C$5*$C$6)),0))))))</x:f>
      </x:c>
      <x:c r="W18" s="326"/>
      <x:c r="X18" s="341" t="str">
        <x:f>IF(D18="","",IF(U18="Target Hit",IF(W18="Stoploss 2 Hit",IF(N18="","",IF(D18="Buy",(N18-E18)*($C$5/2)*$C$6,(E18-N18)*($C$5/2)*$C$6)),IF(U18="Target Hit",IF(W18="Rollover",IF(Z18="","",IF(D18="Buy",(Z18-E18)*($C$5/2)*$C$6,(E18-Z18)*($C$5/2)*$C$6)),IF(W18="Gap Down Stoploss 2 Hit",IF(T18="","",IF(D18="Buy",(T18-E18)*($C$5/2)*$C$6,(E18-T18)*($C$5/2)*$C$6)),IF(W18="Gap Up Stoploss 2 Hit",IF(T18="","",IF(D18="Buy",(T18-E18)*($C$5/2)*$C$6,(E18-T18)*($C$5/2)*$C$6)),0))),0))))</x:f>
      </x:c>
      <x:c r="Y18" s="343" t="str">
        <x:f t="shared" si="3"/>
      </x:c>
      <x:c r="Z18" s="327"/>
    </x:row>
    <x:row r="19">
      <x:c r="A19" s="35">
        <x:v>7</x:v>
      </x:c>
      <x:c r="B19" s="318"/>
      <x:c r="C19" s="319"/>
      <x:c r="D19" s="320"/>
      <x:c r="E19" s="321"/>
      <x:c r="F19" s="322"/>
      <x:c r="G19" s="321"/>
      <x:c r="H19" s="323"/>
      <x:c r="I19" s="337" t="str">
        <x:f t="shared" si="0"/>
      </x:c>
      <x:c r="J19" s="324"/>
      <x:c r="K19" s="336" t="str">
        <x:f t="shared" si="4"/>
      </x:c>
      <x:c r="L19" s="335" t="str">
        <x:f t="shared" si="5"/>
      </x:c>
      <x:c r="M19" s="324"/>
      <x:c r="N19" s="336" t="str">
        <x:f t="shared" si="6"/>
      </x:c>
      <x:c r="O19" s="337" t="str">
        <x:f t="shared" si="1"/>
      </x:c>
      <x:c r="P19" s="324"/>
      <x:c r="Q19" s="336" t="str">
        <x:f t="shared" si="7"/>
      </x:c>
      <x:c r="R19" s="339" t="str">
        <x:f t="shared" si="2"/>
      </x:c>
      <x:c r="S19" s="324"/>
      <x:c r="T19" s="336" t="str">
        <x:f t="shared" si="8"/>
      </x:c>
      <x:c r="U19" s="325"/>
      <x:c r="V19" s="340" t="str">
        <x:f>IF(OR(D19="",U19="",$C$5="",$C$6=""),"",IF(U19="Target Hit",IF(D19="Buy",(F19-E19)*($C$5/2)*$C$6,(E19-F19)*($C$5/2)*$C$6),IF(U19="Target Hit",IF(D19="Buy",(F19-E19)*($C$5/2)*$C$6,(E19-F19)*($C$5/2)*$C$6),IF(U19="Rollover",IF(D19="Buy",(Z19-E19)*($C$5/2)*$C$6,(E19-Z19)*($C$5/2)*$C$6),IF(U19="Stoploss 1 Hit",IF(K19="","",IF(D19="Buy",(K19-E19)*$C$5*$C$6,(E19-K19)*$C$5*$C$6)),IF(OR(U19="Gap Down Stoploss 1 Hit",U19="Gap Up Stoploss 1 Hit"),IF(Q19="","",IF(D19="Buy",(Q19-E19)*$C$5*$C$6,(E19-Q19)*$C$5*$C$6)),0))))))</x:f>
      </x:c>
      <x:c r="W19" s="326"/>
      <x:c r="X19" s="341" t="str">
        <x:f>IF(D19="","",IF(U19="Target Hit",IF(W19="Stoploss 2 Hit",IF(N19="","",IF(D19="Buy",(N19-E19)*($C$5/2)*$C$6,(E19-N19)*($C$5/2)*$C$6)),IF(U19="Target Hit",IF(W19="Rollover",IF(Z19="","",IF(D19="Buy",(Z19-E19)*($C$5/2)*$C$6,(E19-Z19)*($C$5/2)*$C$6)),IF(W19="Gap Down Stoploss 2 Hit",IF(T19="","",IF(D19="Buy",(T19-E19)*($C$5/2)*$C$6,(E19-T19)*($C$5/2)*$C$6)),IF(W19="Gap Up Stoploss 2 Hit",IF(T19="","",IF(D19="Buy",(T19-E19)*($C$5/2)*$C$6,(E19-T19)*($C$5/2)*$C$6)),0))),0))))</x:f>
      </x:c>
      <x:c r="Y19" s="343" t="str">
        <x:f t="shared" si="3"/>
      </x:c>
      <x:c r="Z19" s="327"/>
    </x:row>
    <x:row r="20">
      <x:c r="A20" s="35">
        <x:v>8</x:v>
      </x:c>
      <x:c r="B20" s="318"/>
      <x:c r="C20" s="319"/>
      <x:c r="D20" s="320"/>
      <x:c r="E20" s="321"/>
      <x:c r="F20" s="322"/>
      <x:c r="G20" s="321"/>
      <x:c r="H20" s="323"/>
      <x:c r="I20" s="337" t="str">
        <x:f t="shared" si="0"/>
      </x:c>
      <x:c r="J20" s="324"/>
      <x:c r="K20" s="336" t="str">
        <x:f t="shared" si="4"/>
      </x:c>
      <x:c r="L20" s="335" t="str">
        <x:f t="shared" si="5"/>
      </x:c>
      <x:c r="M20" s="324"/>
      <x:c r="N20" s="336" t="str">
        <x:f t="shared" si="6"/>
      </x:c>
      <x:c r="O20" s="337" t="str">
        <x:f t="shared" si="1"/>
      </x:c>
      <x:c r="P20" s="324"/>
      <x:c r="Q20" s="336" t="str">
        <x:f t="shared" si="7"/>
      </x:c>
      <x:c r="R20" s="339" t="str">
        <x:f t="shared" si="2"/>
      </x:c>
      <x:c r="S20" s="324"/>
      <x:c r="T20" s="336" t="str">
        <x:f t="shared" si="8"/>
      </x:c>
      <x:c r="U20" s="325"/>
      <x:c r="V20" s="340" t="str">
        <x:f>IF(OR(D20="",U20="",$C$5="",$C$6=""),"",IF(U20="Target Hit",IF(D20="Buy",(F20-E20)*($C$5/2)*$C$6,(E20-F20)*($C$5/2)*$C$6),IF(U20="Target Hit",IF(D20="Buy",(F20-E20)*($C$5/2)*$C$6,(E20-F20)*($C$5/2)*$C$6),IF(U20="Rollover",IF(D20="Buy",(Z20-E20)*($C$5/2)*$C$6,(E20-Z20)*($C$5/2)*$C$6),IF(U20="Stoploss 1 Hit",IF(K20="","",IF(D20="Buy",(K20-E20)*$C$5*$C$6,(E20-K20)*$C$5*$C$6)),IF(OR(U20="Gap Down Stoploss 1 Hit",U20="Gap Up Stoploss 1 Hit"),IF(Q20="","",IF(D20="Buy",(Q20-E20)*$C$5*$C$6,(E20-Q20)*$C$5*$C$6)),0))))))</x:f>
      </x:c>
      <x:c r="W20" s="326"/>
      <x:c r="X20" s="341" t="str">
        <x:f>IF(D20="","",IF(U20="Target Hit",IF(W20="Stoploss 2 Hit",IF(N20="","",IF(D20="Buy",(N20-E20)*($C$5/2)*$C$6,(E20-N20)*($C$5/2)*$C$6)),IF(U20="Target Hit",IF(W20="Rollover",IF(Z20="","",IF(D20="Buy",(Z20-E20)*($C$5/2)*$C$6,(E20-Z20)*($C$5/2)*$C$6)),IF(W20="Gap Down Stoploss 2 Hit",IF(T20="","",IF(D20="Buy",(T20-E20)*($C$5/2)*$C$6,(E20-T20)*($C$5/2)*$C$6)),IF(W20="Gap Up Stoploss 2 Hit",IF(T20="","",IF(D20="Buy",(T20-E20)*($C$5/2)*$C$6,(E20-T20)*($C$5/2)*$C$6)),0))),0))))</x:f>
      </x:c>
      <x:c r="Y20" s="343" t="str">
        <x:f t="shared" si="3"/>
      </x:c>
      <x:c r="Z20" s="327"/>
    </x:row>
    <x:row r="21">
      <x:c r="A21" s="35">
        <x:v>9</x:v>
      </x:c>
      <x:c r="B21" s="318"/>
      <x:c r="C21" s="319"/>
      <x:c r="D21" s="320"/>
      <x:c r="E21" s="321"/>
      <x:c r="F21" s="322"/>
      <x:c r="G21" s="321"/>
      <x:c r="H21" s="323"/>
      <x:c r="I21" s="337" t="str">
        <x:f t="shared" si="0"/>
      </x:c>
      <x:c r="J21" s="324"/>
      <x:c r="K21" s="336" t="str">
        <x:f t="shared" si="4"/>
      </x:c>
      <x:c r="L21" s="335" t="str">
        <x:f t="shared" si="5"/>
      </x:c>
      <x:c r="M21" s="324"/>
      <x:c r="N21" s="336" t="str">
        <x:f t="shared" si="6"/>
      </x:c>
      <x:c r="O21" s="337" t="str">
        <x:f t="shared" si="1"/>
      </x:c>
      <x:c r="P21" s="324"/>
      <x:c r="Q21" s="336" t="str">
        <x:f t="shared" si="7"/>
      </x:c>
      <x:c r="R21" s="339" t="str">
        <x:f t="shared" si="2"/>
      </x:c>
      <x:c r="S21" s="324"/>
      <x:c r="T21" s="336" t="str">
        <x:f t="shared" si="8"/>
      </x:c>
      <x:c r="U21" s="325"/>
      <x:c r="V21" s="340" t="str">
        <x:f>IF(OR(D21="",U21="",$C$5="",$C$6=""),"",IF(U21="Target Hit",IF(D21="Buy",(F21-E21)*($C$5/2)*$C$6,(E21-F21)*($C$5/2)*$C$6),IF(U21="Target Hit",IF(D21="Buy",(F21-E21)*($C$5/2)*$C$6,(E21-F21)*($C$5/2)*$C$6),IF(U21="Rollover",IF(D21="Buy",(Z21-E21)*($C$5/2)*$C$6,(E21-Z21)*($C$5/2)*$C$6),IF(U21="Stoploss 1 Hit",IF(K21="","",IF(D21="Buy",(K21-E21)*$C$5*$C$6,(E21-K21)*$C$5*$C$6)),IF(OR(U21="Gap Down Stoploss 1 Hit",U21="Gap Up Stoploss 1 Hit"),IF(Q21="","",IF(D21="Buy",(Q21-E21)*$C$5*$C$6,(E21-Q21)*$C$5*$C$6)),0))))))</x:f>
      </x:c>
      <x:c r="W21" s="326"/>
      <x:c r="X21" s="341" t="str">
        <x:f>IF(D21="","",IF(U21="Target Hit",IF(W21="Stoploss 2 Hit",IF(N21="","",IF(D21="Buy",(N21-E21)*($C$5/2)*$C$6,(E21-N21)*($C$5/2)*$C$6)),IF(U21="Target Hit",IF(W21="Rollover",IF(Z21="","",IF(D21="Buy",(Z21-E21)*($C$5/2)*$C$6,(E21-Z21)*($C$5/2)*$C$6)),IF(W21="Gap Down Stoploss 2 Hit",IF(T21="","",IF(D21="Buy",(T21-E21)*($C$5/2)*$C$6,(E21-T21)*($C$5/2)*$C$6)),IF(W21="Gap Up Stoploss 2 Hit",IF(T21="","",IF(D21="Buy",(T21-E21)*($C$5/2)*$C$6,(E21-T21)*($C$5/2)*$C$6)),0))),0))))</x:f>
      </x:c>
      <x:c r="Y21" s="343" t="str">
        <x:f t="shared" si="3"/>
      </x:c>
      <x:c r="Z21" s="327"/>
    </x:row>
    <x:row r="22">
      <x:c r="A22" s="35">
        <x:v>10</x:v>
      </x:c>
      <x:c r="B22" s="318"/>
      <x:c r="C22" s="319"/>
      <x:c r="D22" s="320"/>
      <x:c r="E22" s="321"/>
      <x:c r="F22" s="322"/>
      <x:c r="G22" s="321"/>
      <x:c r="H22" s="323"/>
      <x:c r="I22" s="337" t="str">
        <x:f t="shared" si="0"/>
      </x:c>
      <x:c r="J22" s="324"/>
      <x:c r="K22" s="336" t="str">
        <x:f t="shared" si="4"/>
      </x:c>
      <x:c r="L22" s="335" t="str">
        <x:f t="shared" si="5"/>
      </x:c>
      <x:c r="M22" s="324"/>
      <x:c r="N22" s="336" t="str">
        <x:f t="shared" si="6"/>
      </x:c>
      <x:c r="O22" s="337" t="str">
        <x:f t="shared" si="1"/>
      </x:c>
      <x:c r="P22" s="324"/>
      <x:c r="Q22" s="336" t="str">
        <x:f t="shared" si="7"/>
      </x:c>
      <x:c r="R22" s="339" t="str">
        <x:f t="shared" si="2"/>
      </x:c>
      <x:c r="S22" s="324"/>
      <x:c r="T22" s="336" t="str">
        <x:f t="shared" si="8"/>
      </x:c>
      <x:c r="U22" s="325"/>
      <x:c r="V22" s="340" t="str">
        <x:f>IF(OR(D22="",U22="",$C$5="",$C$6=""),"",IF(U22="Target Hit",IF(D22="Buy",(F22-E22)*($C$5/2)*$C$6,(E22-F22)*($C$5/2)*$C$6),IF(U22="Target Hit",IF(D22="Buy",(F22-E22)*($C$5/2)*$C$6,(E22-F22)*($C$5/2)*$C$6),IF(U22="Rollover",IF(D22="Buy",(Z22-E22)*($C$5/2)*$C$6,(E22-Z22)*($C$5/2)*$C$6),IF(U22="Stoploss 1 Hit",IF(K22="","",IF(D22="Buy",(K22-E22)*$C$5*$C$6,(E22-K22)*$C$5*$C$6)),IF(OR(U22="Gap Down Stoploss 1 Hit",U22="Gap Up Stoploss 1 Hit"),IF(Q22="","",IF(D22="Buy",(Q22-E22)*$C$5*$C$6,(E22-Q22)*$C$5*$C$6)),0))))))</x:f>
      </x:c>
      <x:c r="W22" s="326"/>
      <x:c r="X22" s="341" t="str">
        <x:f>IF(D22="","",IF(U22="Target Hit",IF(W22="Stoploss 2 Hit",IF(N22="","",IF(D22="Buy",(N22-E22)*($C$5/2)*$C$6,(E22-N22)*($C$5/2)*$C$6)),IF(U22="Target Hit",IF(W22="Rollover",IF(Z22="","",IF(D22="Buy",(Z22-E22)*($C$5/2)*$C$6,(E22-Z22)*($C$5/2)*$C$6)),IF(W22="Gap Down Stoploss 2 Hit",IF(T22="","",IF(D22="Buy",(T22-E22)*($C$5/2)*$C$6,(E22-T22)*($C$5/2)*$C$6)),IF(W22="Gap Up Stoploss 2 Hit",IF(T22="","",IF(D22="Buy",(T22-E22)*($C$5/2)*$C$6,(E22-T22)*($C$5/2)*$C$6)),0))),0))))</x:f>
      </x:c>
      <x:c r="Y22" s="343" t="str">
        <x:f t="shared" si="3"/>
      </x:c>
      <x:c r="Z22" s="327"/>
    </x:row>
    <x:row r="23">
      <x:c r="A23" s="35">
        <x:v>11</x:v>
      </x:c>
      <x:c r="B23" s="309"/>
      <x:c r="C23" s="310"/>
      <x:c r="D23" s="328"/>
      <x:c r="E23" s="312"/>
      <x:c r="F23" s="313"/>
      <x:c r="G23" s="312"/>
      <x:c r="H23" s="314"/>
      <x:c r="I23" s="337" t="str">
        <x:f t="shared" si="0"/>
      </x:c>
      <x:c r="J23" s="324"/>
      <x:c r="K23" s="336" t="str">
        <x:f t="shared" si="4"/>
      </x:c>
      <x:c r="L23" s="335" t="str">
        <x:f t="shared" si="5"/>
      </x:c>
      <x:c r="M23" s="324"/>
      <x:c r="N23" s="336" t="str">
        <x:f t="shared" si="6"/>
      </x:c>
      <x:c r="O23" s="337" t="str">
        <x:f t="shared" si="1"/>
      </x:c>
      <x:c r="P23" s="324"/>
      <x:c r="Q23" s="336" t="str">
        <x:f t="shared" si="7"/>
      </x:c>
      <x:c r="R23" s="339" t="str">
        <x:f t="shared" si="2"/>
      </x:c>
      <x:c r="S23" s="324"/>
      <x:c r="T23" s="336" t="str">
        <x:f t="shared" si="8"/>
      </x:c>
      <x:c r="U23" s="325"/>
      <x:c r="V23" s="340" t="str">
        <x:f>IF(OR(D23="",U23="",$C$5="",$C$6=""),"",IF(U23="Target Hit",IF(D23="Buy",(F23-E23)*($C$5/2)*$C$6,(E23-F23)*($C$5/2)*$C$6),IF(U23="Target Hit",IF(D23="Buy",(F23-E23)*($C$5/2)*$C$6,(E23-F23)*($C$5/2)*$C$6),IF(U23="Rollover",IF(D23="Buy",(Z23-E23)*($C$5/2)*$C$6,(E23-Z23)*($C$5/2)*$C$6),IF(U23="Stoploss 1 Hit",IF(K23="","",IF(D23="Buy",(K23-E23)*$C$5*$C$6,(E23-K23)*$C$5*$C$6)),IF(OR(U23="Gap Down Stoploss 1 Hit",U23="Gap Up Stoploss 1 Hit"),IF(Q23="","",IF(D23="Buy",(Q23-E23)*$C$5*$C$6,(E23-Q23)*$C$5*$C$6)),0))))))</x:f>
      </x:c>
      <x:c r="W23" s="326"/>
      <x:c r="X23" s="341" t="str">
        <x:f>IF(D23="","",IF(U23="Target Hit",IF(W23="Stoploss 2 Hit",IF(N23="","",IF(D23="Buy",(N23-E23)*($C$5/2)*$C$6,(E23-N23)*($C$5/2)*$C$6)),IF(U23="Target Hit",IF(W23="Rollover",IF(Z23="","",IF(D23="Buy",(Z23-E23)*($C$5/2)*$C$6,(E23-Z23)*($C$5/2)*$C$6)),IF(W23="Gap Down Stoploss 2 Hit",IF(T23="","",IF(D23="Buy",(T23-E23)*($C$5/2)*$C$6,(E23-T23)*($C$5/2)*$C$6)),IF(W23="Gap Up Stoploss 2 Hit",IF(T23="","",IF(D23="Buy",(T23-E23)*($C$5/2)*$C$6,(E23-T23)*($C$5/2)*$C$6)),0))),0))))</x:f>
      </x:c>
      <x:c r="Y23" s="343" t="str">
        <x:f t="shared" si="3"/>
      </x:c>
      <x:c r="Z23" s="317"/>
    </x:row>
    <x:row r="24">
      <x:c r="A24" s="35">
        <x:v>12</x:v>
      </x:c>
      <x:c r="B24" s="318"/>
      <x:c r="C24" s="319"/>
      <x:c r="D24" s="320"/>
      <x:c r="E24" s="321"/>
      <x:c r="F24" s="322"/>
      <x:c r="G24" s="321"/>
      <x:c r="H24" s="323"/>
      <x:c r="I24" s="337" t="str">
        <x:f t="shared" si="0"/>
      </x:c>
      <x:c r="J24" s="324"/>
      <x:c r="K24" s="336" t="str">
        <x:f t="shared" si="4"/>
      </x:c>
      <x:c r="L24" s="335" t="str">
        <x:f t="shared" si="5"/>
      </x:c>
      <x:c r="M24" s="324"/>
      <x:c r="N24" s="336" t="str">
        <x:f t="shared" si="6"/>
      </x:c>
      <x:c r="O24" s="337" t="str">
        <x:f t="shared" si="1"/>
      </x:c>
      <x:c r="P24" s="324"/>
      <x:c r="Q24" s="336" t="str">
        <x:f t="shared" si="7"/>
      </x:c>
      <x:c r="R24" s="339" t="str">
        <x:f t="shared" si="2"/>
      </x:c>
      <x:c r="S24" s="324"/>
      <x:c r="T24" s="336" t="str">
        <x:f t="shared" si="8"/>
      </x:c>
      <x:c r="U24" s="325"/>
      <x:c r="V24" s="340" t="str">
        <x:f>IF(OR(D24="",U24="",$C$5="",$C$6=""),"",IF(U24="Target Hit",IF(D24="Buy",(F24-E24)*($C$5/2)*$C$6,(E24-F24)*($C$5/2)*$C$6),IF(U24="Target Hit",IF(D24="Buy",(F24-E24)*($C$5/2)*$C$6,(E24-F24)*($C$5/2)*$C$6),IF(U24="Rollover",IF(D24="Buy",(Z24-E24)*($C$5/2)*$C$6,(E24-Z24)*($C$5/2)*$C$6),IF(U24="Stoploss 1 Hit",IF(K24="","",IF(D24="Buy",(K24-E24)*$C$5*$C$6,(E24-K24)*$C$5*$C$6)),IF(OR(U24="Gap Down Stoploss 1 Hit",U24="Gap Up Stoploss 1 Hit"),IF(Q24="","",IF(D24="Buy",(Q24-E24)*$C$5*$C$6,(E24-Q24)*$C$5*$C$6)),0))))))</x:f>
      </x:c>
      <x:c r="W24" s="326"/>
      <x:c r="X24" s="341" t="str">
        <x:f>IF(D24="","",IF(U24="Target Hit",IF(W24="Stoploss 2 Hit",IF(N24="","",IF(D24="Buy",(N24-E24)*($C$5/2)*$C$6,(E24-N24)*($C$5/2)*$C$6)),IF(U24="Target Hit",IF(W24="Rollover",IF(Z24="","",IF(D24="Buy",(Z24-E24)*($C$5/2)*$C$6,(E24-Z24)*($C$5/2)*$C$6)),IF(W24="Gap Down Stoploss 2 Hit",IF(T24="","",IF(D24="Buy",(T24-E24)*($C$5/2)*$C$6,(E24-T24)*($C$5/2)*$C$6)),IF(W24="Gap Up Stoploss 2 Hit",IF(T24="","",IF(D24="Buy",(T24-E24)*($C$5/2)*$C$6,(E24-T24)*($C$5/2)*$C$6)),0))),0))))</x:f>
      </x:c>
      <x:c r="Y24" s="343" t="str">
        <x:f t="shared" si="3"/>
      </x:c>
      <x:c r="Z24" s="327"/>
    </x:row>
    <x:row r="25">
      <x:c r="A25" s="35">
        <x:v>13</x:v>
      </x:c>
      <x:c r="B25" s="318"/>
      <x:c r="C25" s="319"/>
      <x:c r="D25" s="320"/>
      <x:c r="E25" s="321"/>
      <x:c r="F25" s="322"/>
      <x:c r="G25" s="321"/>
      <x:c r="H25" s="323"/>
      <x:c r="I25" s="337" t="str">
        <x:f t="shared" si="0"/>
      </x:c>
      <x:c r="J25" s="324"/>
      <x:c r="K25" s="336" t="str">
        <x:f t="shared" si="4"/>
      </x:c>
      <x:c r="L25" s="335" t="str">
        <x:f t="shared" si="5"/>
      </x:c>
      <x:c r="M25" s="324"/>
      <x:c r="N25" s="336" t="str">
        <x:f t="shared" si="6"/>
      </x:c>
      <x:c r="O25" s="337" t="str">
        <x:f t="shared" si="1"/>
      </x:c>
      <x:c r="P25" s="324"/>
      <x:c r="Q25" s="336" t="str">
        <x:f t="shared" si="7"/>
      </x:c>
      <x:c r="R25" s="339" t="str">
        <x:f t="shared" si="2"/>
      </x:c>
      <x:c r="S25" s="324"/>
      <x:c r="T25" s="336" t="str">
        <x:f t="shared" si="8"/>
      </x:c>
      <x:c r="U25" s="325"/>
      <x:c r="V25" s="340" t="str">
        <x:f>IF(OR(D25="",U25="",$C$5="",$C$6=""),"",IF(U25="Target Hit",IF(D25="Buy",(F25-E25)*($C$5/2)*$C$6,(E25-F25)*($C$5/2)*$C$6),IF(U25="Target Hit",IF(D25="Buy",(F25-E25)*($C$5/2)*$C$6,(E25-F25)*($C$5/2)*$C$6),IF(U25="Rollover",IF(D25="Buy",(Z25-E25)*($C$5/2)*$C$6,(E25-Z25)*($C$5/2)*$C$6),IF(U25="Stoploss 1 Hit",IF(K25="","",IF(D25="Buy",(K25-E25)*$C$5*$C$6,(E25-K25)*$C$5*$C$6)),IF(OR(U25="Gap Down Stoploss 1 Hit",U25="Gap Up Stoploss 1 Hit"),IF(Q25="","",IF(D25="Buy",(Q25-E25)*$C$5*$C$6,(E25-Q25)*$C$5*$C$6)),0))))))</x:f>
      </x:c>
      <x:c r="W25" s="326"/>
      <x:c r="X25" s="341" t="str">
        <x:f>IF(D25="","",IF(U25="Target Hit",IF(W25="Stoploss 2 Hit",IF(N25="","",IF(D25="Buy",(N25-E25)*($C$5/2)*$C$6,(E25-N25)*($C$5/2)*$C$6)),IF(U25="Target Hit",IF(W25="Rollover",IF(Z25="","",IF(D25="Buy",(Z25-E25)*($C$5/2)*$C$6,(E25-Z25)*($C$5/2)*$C$6)),IF(W25="Gap Down Stoploss 2 Hit",IF(T25="","",IF(D25="Buy",(T25-E25)*($C$5/2)*$C$6,(E25-T25)*($C$5/2)*$C$6)),IF(W25="Gap Up Stoploss 2 Hit",IF(T25="","",IF(D25="Buy",(T25-E25)*($C$5/2)*$C$6,(E25-T25)*($C$5/2)*$C$6)),0))),0))))</x:f>
      </x:c>
      <x:c r="Y25" s="343" t="str">
        <x:f t="shared" si="3"/>
      </x:c>
      <x:c r="Z25" s="327"/>
    </x:row>
    <x:row r="26">
      <x:c r="A26" s="35">
        <x:v>14</x:v>
      </x:c>
      <x:c r="B26" s="318"/>
      <x:c r="C26" s="319"/>
      <x:c r="D26" s="320"/>
      <x:c r="E26" s="321"/>
      <x:c r="F26" s="322"/>
      <x:c r="G26" s="321"/>
      <x:c r="H26" s="323"/>
      <x:c r="I26" s="337" t="str">
        <x:f t="shared" si="0"/>
      </x:c>
      <x:c r="J26" s="324"/>
      <x:c r="K26" s="336" t="str">
        <x:f t="shared" si="4"/>
      </x:c>
      <x:c r="L26" s="335" t="str">
        <x:f t="shared" si="5"/>
      </x:c>
      <x:c r="M26" s="324"/>
      <x:c r="N26" s="336" t="str">
        <x:f t="shared" si="6"/>
      </x:c>
      <x:c r="O26" s="337" t="str">
        <x:f t="shared" si="1"/>
      </x:c>
      <x:c r="P26" s="324"/>
      <x:c r="Q26" s="336" t="str">
        <x:f t="shared" si="7"/>
      </x:c>
      <x:c r="R26" s="339" t="str">
        <x:f t="shared" si="2"/>
      </x:c>
      <x:c r="S26" s="324"/>
      <x:c r="T26" s="336" t="str">
        <x:f t="shared" si="8"/>
      </x:c>
      <x:c r="U26" s="325"/>
      <x:c r="V26" s="340" t="str">
        <x:f>IF(OR(D26="",U26="",$C$5="",$C$6=""),"",IF(U26="Target Hit",IF(D26="Buy",(F26-E26)*($C$5/2)*$C$6,(E26-F26)*($C$5/2)*$C$6),IF(U26="Target Hit",IF(D26="Buy",(F26-E26)*($C$5/2)*$C$6,(E26-F26)*($C$5/2)*$C$6),IF(U26="Rollover",IF(D26="Buy",(Z26-E26)*($C$5/2)*$C$6,(E26-Z26)*($C$5/2)*$C$6),IF(U26="Stoploss 1 Hit",IF(K26="","",IF(D26="Buy",(K26-E26)*$C$5*$C$6,(E26-K26)*$C$5*$C$6)),IF(OR(U26="Gap Down Stoploss 1 Hit",U26="Gap Up Stoploss 1 Hit"),IF(Q26="","",IF(D26="Buy",(Q26-E26)*$C$5*$C$6,(E26-Q26)*$C$5*$C$6)),0))))))</x:f>
      </x:c>
      <x:c r="W26" s="326"/>
      <x:c r="X26" s="341" t="str">
        <x:f>IF(D26="","",IF(U26="Target Hit",IF(W26="Stoploss 2 Hit",IF(N26="","",IF(D26="Buy",(N26-E26)*($C$5/2)*$C$6,(E26-N26)*($C$5/2)*$C$6)),IF(U26="Target Hit",IF(W26="Rollover",IF(Z26="","",IF(D26="Buy",(Z26-E26)*($C$5/2)*$C$6,(E26-Z26)*($C$5/2)*$C$6)),IF(W26="Gap Down Stoploss 2 Hit",IF(T26="","",IF(D26="Buy",(T26-E26)*($C$5/2)*$C$6,(E26-T26)*($C$5/2)*$C$6)),IF(W26="Gap Up Stoploss 2 Hit",IF(T26="","",IF(D26="Buy",(T26-E26)*($C$5/2)*$C$6,(E26-T26)*($C$5/2)*$C$6)),0))),0))))</x:f>
      </x:c>
      <x:c r="Y26" s="343" t="str">
        <x:f t="shared" si="3"/>
      </x:c>
      <x:c r="Z26" s="327"/>
    </x:row>
    <x:row r="27">
      <x:c r="A27" s="35">
        <x:v>15</x:v>
      </x:c>
      <x:c r="B27" s="318"/>
      <x:c r="C27" s="319"/>
      <x:c r="D27" s="320"/>
      <x:c r="E27" s="321"/>
      <x:c r="F27" s="322"/>
      <x:c r="G27" s="321"/>
      <x:c r="H27" s="323"/>
      <x:c r="I27" s="337" t="str">
        <x:f t="shared" si="0"/>
      </x:c>
      <x:c r="J27" s="324"/>
      <x:c r="K27" s="336" t="str">
        <x:f t="shared" si="4"/>
      </x:c>
      <x:c r="L27" s="335" t="str">
        <x:f t="shared" si="5"/>
      </x:c>
      <x:c r="M27" s="324"/>
      <x:c r="N27" s="336" t="str">
        <x:f t="shared" si="6"/>
      </x:c>
      <x:c r="O27" s="337" t="str">
        <x:f t="shared" si="1"/>
      </x:c>
      <x:c r="P27" s="324"/>
      <x:c r="Q27" s="336" t="str">
        <x:f t="shared" si="7"/>
      </x:c>
      <x:c r="R27" s="339" t="str">
        <x:f t="shared" si="2"/>
      </x:c>
      <x:c r="S27" s="324"/>
      <x:c r="T27" s="336" t="str">
        <x:f t="shared" si="8"/>
      </x:c>
      <x:c r="U27" s="325"/>
      <x:c r="V27" s="340" t="str">
        <x:f>IF(OR(D27="",U27="",$C$5="",$C$6=""),"",IF(U27="Target Hit",IF(D27="Buy",(F27-E27)*($C$5/2)*$C$6,(E27-F27)*($C$5/2)*$C$6),IF(U27="Target Hit",IF(D27="Buy",(F27-E27)*($C$5/2)*$C$6,(E27-F27)*($C$5/2)*$C$6),IF(U27="Rollover",IF(D27="Buy",(Z27-E27)*($C$5/2)*$C$6,(E27-Z27)*($C$5/2)*$C$6),IF(U27="Stoploss 1 Hit",IF(K27="","",IF(D27="Buy",(K27-E27)*$C$5*$C$6,(E27-K27)*$C$5*$C$6)),IF(OR(U27="Gap Down Stoploss 1 Hit",U27="Gap Up Stoploss 1 Hit"),IF(Q27="","",IF(D27="Buy",(Q27-E27)*$C$5*$C$6,(E27-Q27)*$C$5*$C$6)),0))))))</x:f>
      </x:c>
      <x:c r="W27" s="326"/>
      <x:c r="X27" s="341" t="str">
        <x:f>IF(D27="","",IF(U27="Target Hit",IF(W27="Stoploss 2 Hit",IF(N27="","",IF(D27="Buy",(N27-E27)*($C$5/2)*$C$6,(E27-N27)*($C$5/2)*$C$6)),IF(U27="Target Hit",IF(W27="Rollover",IF(Z27="","",IF(D27="Buy",(Z27-E27)*($C$5/2)*$C$6,(E27-Z27)*($C$5/2)*$C$6)),IF(W27="Gap Down Stoploss 2 Hit",IF(T27="","",IF(D27="Buy",(T27-E27)*($C$5/2)*$C$6,(E27-T27)*($C$5/2)*$C$6)),IF(W27="Gap Up Stoploss 2 Hit",IF(T27="","",IF(D27="Buy",(T27-E27)*($C$5/2)*$C$6,(E27-T27)*($C$5/2)*$C$6)),0))),0))))</x:f>
      </x:c>
      <x:c r="Y27" s="343" t="str">
        <x:f t="shared" si="3"/>
      </x:c>
      <x:c r="Z27" s="327"/>
    </x:row>
    <x:row r="28">
      <x:c r="A28" s="35">
        <x:v>16</x:v>
      </x:c>
      <x:c r="B28" s="318"/>
      <x:c r="C28" s="319"/>
      <x:c r="D28" s="320"/>
      <x:c r="E28" s="321"/>
      <x:c r="F28" s="322"/>
      <x:c r="G28" s="321"/>
      <x:c r="H28" s="323"/>
      <x:c r="I28" s="337" t="str">
        <x:f t="shared" si="0"/>
      </x:c>
      <x:c r="J28" s="324"/>
      <x:c r="K28" s="336" t="str">
        <x:f t="shared" si="4"/>
      </x:c>
      <x:c r="L28" s="335" t="str">
        <x:f t="shared" si="5"/>
      </x:c>
      <x:c r="M28" s="324"/>
      <x:c r="N28" s="336" t="str">
        <x:f t="shared" si="6"/>
      </x:c>
      <x:c r="O28" s="337" t="str">
        <x:f t="shared" si="1"/>
      </x:c>
      <x:c r="P28" s="324"/>
      <x:c r="Q28" s="336" t="str">
        <x:f t="shared" si="7"/>
      </x:c>
      <x:c r="R28" s="339" t="str">
        <x:f t="shared" si="2"/>
      </x:c>
      <x:c r="S28" s="324"/>
      <x:c r="T28" s="336" t="str">
        <x:f t="shared" si="8"/>
      </x:c>
      <x:c r="U28" s="325"/>
      <x:c r="V28" s="340" t="str">
        <x:f>IF(OR(D28="",U28="",$C$5="",$C$6=""),"",IF(U28="Target Hit",IF(D28="Buy",(F28-E28)*($C$5/2)*$C$6,(E28-F28)*($C$5/2)*$C$6),IF(U28="Target Hit",IF(D28="Buy",(F28-E28)*($C$5/2)*$C$6,(E28-F28)*($C$5/2)*$C$6),IF(U28="Rollover",IF(D28="Buy",(Z28-E28)*($C$5/2)*$C$6,(E28-Z28)*($C$5/2)*$C$6),IF(U28="Stoploss 1 Hit",IF(K28="","",IF(D28="Buy",(K28-E28)*$C$5*$C$6,(E28-K28)*$C$5*$C$6)),IF(OR(U28="Gap Down Stoploss 1 Hit",U28="Gap Up Stoploss 1 Hit"),IF(Q28="","",IF(D28="Buy",(Q28-E28)*$C$5*$C$6,(E28-Q28)*$C$5*$C$6)),0))))))</x:f>
      </x:c>
      <x:c r="W28" s="326"/>
      <x:c r="X28" s="341" t="str">
        <x:f>IF(D28="","",IF(U28="Target Hit",IF(W28="Stoploss 2 Hit",IF(N28="","",IF(D28="Buy",(N28-E28)*($C$5/2)*$C$6,(E28-N28)*($C$5/2)*$C$6)),IF(U28="Target Hit",IF(W28="Rollover",IF(Z28="","",IF(D28="Buy",(Z28-E28)*($C$5/2)*$C$6,(E28-Z28)*($C$5/2)*$C$6)),IF(W28="Gap Down Stoploss 2 Hit",IF(T28="","",IF(D28="Buy",(T28-E28)*($C$5/2)*$C$6,(E28-T28)*($C$5/2)*$C$6)),IF(W28="Gap Up Stoploss 2 Hit",IF(T28="","",IF(D28="Buy",(T28-E28)*($C$5/2)*$C$6,(E28-T28)*($C$5/2)*$C$6)),0))),0))))</x:f>
      </x:c>
      <x:c r="Y28" s="343" t="str">
        <x:f t="shared" si="3"/>
      </x:c>
      <x:c r="Z28" s="327"/>
    </x:row>
    <x:row r="29">
      <x:c r="A29" s="35">
        <x:v>17</x:v>
      </x:c>
      <x:c r="B29" s="318"/>
      <x:c r="C29" s="319"/>
      <x:c r="D29" s="320"/>
      <x:c r="E29" s="321"/>
      <x:c r="F29" s="322"/>
      <x:c r="G29" s="321"/>
      <x:c r="H29" s="323"/>
      <x:c r="I29" s="337" t="str">
        <x:f t="shared" si="0"/>
      </x:c>
      <x:c r="J29" s="324"/>
      <x:c r="K29" s="336" t="str">
        <x:f t="shared" si="4"/>
      </x:c>
      <x:c r="L29" s="335" t="str">
        <x:f t="shared" si="5"/>
      </x:c>
      <x:c r="M29" s="324"/>
      <x:c r="N29" s="336" t="str">
        <x:f t="shared" si="6"/>
      </x:c>
      <x:c r="O29" s="337" t="str">
        <x:f t="shared" si="1"/>
      </x:c>
      <x:c r="P29" s="324"/>
      <x:c r="Q29" s="336" t="str">
        <x:f t="shared" si="7"/>
      </x:c>
      <x:c r="R29" s="339" t="str">
        <x:f t="shared" si="2"/>
      </x:c>
      <x:c r="S29" s="324"/>
      <x:c r="T29" s="336" t="str">
        <x:f t="shared" si="8"/>
      </x:c>
      <x:c r="U29" s="325"/>
      <x:c r="V29" s="340" t="str">
        <x:f>IF(OR(D29="",U29="",$C$5="",$C$6=""),"",IF(U29="Target Hit",IF(D29="Buy",(F29-E29)*($C$5/2)*$C$6,(E29-F29)*($C$5/2)*$C$6),IF(U29="Target Hit",IF(D29="Buy",(F29-E29)*($C$5/2)*$C$6,(E29-F29)*($C$5/2)*$C$6),IF(U29="Rollover",IF(D29="Buy",(Z29-E29)*($C$5/2)*$C$6,(E29-Z29)*($C$5/2)*$C$6),IF(U29="Stoploss 1 Hit",IF(K29="","",IF(D29="Buy",(K29-E29)*$C$5*$C$6,(E29-K29)*$C$5*$C$6)),IF(OR(U29="Gap Down Stoploss 1 Hit",U29="Gap Up Stoploss 1 Hit"),IF(Q29="","",IF(D29="Buy",(Q29-E29)*$C$5*$C$6,(E29-Q29)*$C$5*$C$6)),0))))))</x:f>
      </x:c>
      <x:c r="W29" s="326"/>
      <x:c r="X29" s="341" t="str">
        <x:f>IF(D29="","",IF(U29="Target Hit",IF(W29="Stoploss 2 Hit",IF(N29="","",IF(D29="Buy",(N29-E29)*($C$5/2)*$C$6,(E29-N29)*($C$5/2)*$C$6)),IF(U29="Target Hit",IF(W29="Rollover",IF(Z29="","",IF(D29="Buy",(Z29-E29)*($C$5/2)*$C$6,(E29-Z29)*($C$5/2)*$C$6)),IF(W29="Gap Down Stoploss 2 Hit",IF(T29="","",IF(D29="Buy",(T29-E29)*($C$5/2)*$C$6,(E29-T29)*($C$5/2)*$C$6)),IF(W29="Gap Up Stoploss 2 Hit",IF(T29="","",IF(D29="Buy",(T29-E29)*($C$5/2)*$C$6,(E29-T29)*($C$5/2)*$C$6)),0))),0))))</x:f>
      </x:c>
      <x:c r="Y29" s="343" t="str">
        <x:f t="shared" si="3"/>
      </x:c>
      <x:c r="Z29" s="327"/>
    </x:row>
    <x:row r="30">
      <x:c r="A30" s="35">
        <x:v>18</x:v>
      </x:c>
      <x:c r="B30" s="318"/>
      <x:c r="C30" s="319"/>
      <x:c r="D30" s="320"/>
      <x:c r="E30" s="321"/>
      <x:c r="F30" s="322"/>
      <x:c r="G30" s="321"/>
      <x:c r="H30" s="323"/>
      <x:c r="I30" s="337" t="str">
        <x:f t="shared" si="0"/>
      </x:c>
      <x:c r="J30" s="324"/>
      <x:c r="K30" s="336" t="str">
        <x:f t="shared" si="4"/>
      </x:c>
      <x:c r="L30" s="335" t="str">
        <x:f t="shared" si="5"/>
      </x:c>
      <x:c r="M30" s="324"/>
      <x:c r="N30" s="336" t="str">
        <x:f t="shared" si="6"/>
      </x:c>
      <x:c r="O30" s="337" t="str">
        <x:f t="shared" si="1"/>
      </x:c>
      <x:c r="P30" s="324"/>
      <x:c r="Q30" s="336" t="str">
        <x:f t="shared" si="7"/>
      </x:c>
      <x:c r="R30" s="339" t="str">
        <x:f t="shared" si="2"/>
      </x:c>
      <x:c r="S30" s="324"/>
      <x:c r="T30" s="336" t="str">
        <x:f t="shared" si="8"/>
      </x:c>
      <x:c r="U30" s="325"/>
      <x:c r="V30" s="340" t="str">
        <x:f>IF(OR(D30="",U30="",$C$5="",$C$6=""),"",IF(U30="Target Hit",IF(D30="Buy",(F30-E30)*($C$5/2)*$C$6,(E30-F30)*($C$5/2)*$C$6),IF(U30="Target Hit",IF(D30="Buy",(F30-E30)*($C$5/2)*$C$6,(E30-F30)*($C$5/2)*$C$6),IF(U30="Rollover",IF(D30="Buy",(Z30-E30)*($C$5/2)*$C$6,(E30-Z30)*($C$5/2)*$C$6),IF(U30="Stoploss 1 Hit",IF(K30="","",IF(D30="Buy",(K30-E30)*$C$5*$C$6,(E30-K30)*$C$5*$C$6)),IF(OR(U30="Gap Down Stoploss 1 Hit",U30="Gap Up Stoploss 1 Hit"),IF(Q30="","",IF(D30="Buy",(Q30-E30)*$C$5*$C$6,(E30-Q30)*$C$5*$C$6)),0))))))</x:f>
      </x:c>
      <x:c r="W30" s="326"/>
      <x:c r="X30" s="341" t="str">
        <x:f>IF(D30="","",IF(U30="Target Hit",IF(W30="Stoploss 2 Hit",IF(N30="","",IF(D30="Buy",(N30-E30)*($C$5/2)*$C$6,(E30-N30)*($C$5/2)*$C$6)),IF(U30="Target Hit",IF(W30="Rollover",IF(Z30="","",IF(D30="Buy",(Z30-E30)*($C$5/2)*$C$6,(E30-Z30)*($C$5/2)*$C$6)),IF(W30="Gap Down Stoploss 2 Hit",IF(T30="","",IF(D30="Buy",(T30-E30)*($C$5/2)*$C$6,(E30-T30)*($C$5/2)*$C$6)),IF(W30="Gap Up Stoploss 2 Hit",IF(T30="","",IF(D30="Buy",(T30-E30)*($C$5/2)*$C$6,(E30-T30)*($C$5/2)*$C$6)),0))),0))))</x:f>
      </x:c>
      <x:c r="Y30" s="343" t="str">
        <x:f t="shared" si="3"/>
      </x:c>
      <x:c r="Z30" s="327"/>
    </x:row>
    <x:row r="31">
      <x:c r="A31" s="35">
        <x:v>19</x:v>
      </x:c>
      <x:c r="B31" s="318"/>
      <x:c r="C31" s="319"/>
      <x:c r="D31" s="320"/>
      <x:c r="E31" s="321"/>
      <x:c r="F31" s="322"/>
      <x:c r="G31" s="321"/>
      <x:c r="H31" s="323"/>
      <x:c r="I31" s="337" t="str">
        <x:f t="shared" si="0"/>
      </x:c>
      <x:c r="J31" s="324"/>
      <x:c r="K31" s="336" t="str">
        <x:f t="shared" si="4"/>
      </x:c>
      <x:c r="L31" s="335" t="str">
        <x:f t="shared" si="5"/>
      </x:c>
      <x:c r="M31" s="324"/>
      <x:c r="N31" s="336" t="str">
        <x:f t="shared" si="6"/>
      </x:c>
      <x:c r="O31" s="337" t="str">
        <x:f t="shared" si="1"/>
      </x:c>
      <x:c r="P31" s="324"/>
      <x:c r="Q31" s="336" t="str">
        <x:f t="shared" si="7"/>
      </x:c>
      <x:c r="R31" s="339" t="str">
        <x:f t="shared" si="2"/>
      </x:c>
      <x:c r="S31" s="324"/>
      <x:c r="T31" s="336" t="str">
        <x:f t="shared" si="8"/>
      </x:c>
      <x:c r="U31" s="325"/>
      <x:c r="V31" s="340" t="str">
        <x:f>IF(OR(D31="",U31="",$C$5="",$C$6=""),"",IF(U31="Target Hit",IF(D31="Buy",(F31-E31)*($C$5/2)*$C$6,(E31-F31)*($C$5/2)*$C$6),IF(U31="Target Hit",IF(D31="Buy",(F31-E31)*($C$5/2)*$C$6,(E31-F31)*($C$5/2)*$C$6),IF(U31="Rollover",IF(D31="Buy",(Z31-E31)*($C$5/2)*$C$6,(E31-Z31)*($C$5/2)*$C$6),IF(U31="Stoploss 1 Hit",IF(K31="","",IF(D31="Buy",(K31-E31)*$C$5*$C$6,(E31-K31)*$C$5*$C$6)),IF(OR(U31="Gap Down Stoploss 1 Hit",U31="Gap Up Stoploss 1 Hit"),IF(Q31="","",IF(D31="Buy",(Q31-E31)*$C$5*$C$6,(E31-Q31)*$C$5*$C$6)),0))))))</x:f>
      </x:c>
      <x:c r="W31" s="326"/>
      <x:c r="X31" s="341" t="str">
        <x:f>IF(D31="","",IF(U31="Target Hit",IF(W31="Stoploss 2 Hit",IF(N31="","",IF(D31="Buy",(N31-E31)*($C$5/2)*$C$6,(E31-N31)*($C$5/2)*$C$6)),IF(U31="Target Hit",IF(W31="Rollover",IF(Z31="","",IF(D31="Buy",(Z31-E31)*($C$5/2)*$C$6,(E31-Z31)*($C$5/2)*$C$6)),IF(W31="Gap Down Stoploss 2 Hit",IF(T31="","",IF(D31="Buy",(T31-E31)*($C$5/2)*$C$6,(E31-T31)*($C$5/2)*$C$6)),IF(W31="Gap Up Stoploss 2 Hit",IF(T31="","",IF(D31="Buy",(T31-E31)*($C$5/2)*$C$6,(E31-T31)*($C$5/2)*$C$6)),0))),0))))</x:f>
      </x:c>
      <x:c r="Y31" s="343" t="str">
        <x:f t="shared" si="3"/>
      </x:c>
      <x:c r="Z31" s="327"/>
    </x:row>
    <x:row r="32">
      <x:c r="A32" s="35">
        <x:v>20</x:v>
      </x:c>
      <x:c r="B32" s="318"/>
      <x:c r="C32" s="319"/>
      <x:c r="D32" s="320"/>
      <x:c r="E32" s="321"/>
      <x:c r="F32" s="322"/>
      <x:c r="G32" s="321"/>
      <x:c r="H32" s="323"/>
      <x:c r="I32" s="337" t="str">
        <x:f t="shared" si="0"/>
      </x:c>
      <x:c r="J32" s="324"/>
      <x:c r="K32" s="336" t="str">
        <x:f t="shared" si="4"/>
      </x:c>
      <x:c r="L32" s="335" t="str">
        <x:f t="shared" si="5"/>
      </x:c>
      <x:c r="M32" s="324"/>
      <x:c r="N32" s="336" t="str">
        <x:f t="shared" si="6"/>
      </x:c>
      <x:c r="O32" s="337" t="str">
        <x:f t="shared" si="1"/>
      </x:c>
      <x:c r="P32" s="324"/>
      <x:c r="Q32" s="336" t="str">
        <x:f t="shared" si="7"/>
      </x:c>
      <x:c r="R32" s="339" t="str">
        <x:f t="shared" si="2"/>
      </x:c>
      <x:c r="S32" s="324"/>
      <x:c r="T32" s="336" t="str">
        <x:f t="shared" si="8"/>
      </x:c>
      <x:c r="U32" s="325"/>
      <x:c r="V32" s="340" t="str">
        <x:f>IF(OR(D32="",U32="",$C$5="",$C$6=""),"",IF(U32="Target Hit",IF(D32="Buy",(F32-E32)*($C$5/2)*$C$6,(E32-F32)*($C$5/2)*$C$6),IF(U32="Target Hit",IF(D32="Buy",(F32-E32)*($C$5/2)*$C$6,(E32-F32)*($C$5/2)*$C$6),IF(U32="Rollover",IF(D32="Buy",(Z32-E32)*($C$5/2)*$C$6,(E32-Z32)*($C$5/2)*$C$6),IF(U32="Stoploss 1 Hit",IF(K32="","",IF(D32="Buy",(K32-E32)*$C$5*$C$6,(E32-K32)*$C$5*$C$6)),IF(OR(U32="Gap Down Stoploss 1 Hit",U32="Gap Up Stoploss 1 Hit"),IF(Q32="","",IF(D32="Buy",(Q32-E32)*$C$5*$C$6,(E32-Q32)*$C$5*$C$6)),0))))))</x:f>
      </x:c>
      <x:c r="W32" s="326"/>
      <x:c r="X32" s="341" t="str">
        <x:f>IF(D32="","",IF(U32="Target Hit",IF(W32="Stoploss 2 Hit",IF(N32="","",IF(D32="Buy",(N32-E32)*($C$5/2)*$C$6,(E32-N32)*($C$5/2)*$C$6)),IF(U32="Target Hit",IF(W32="Rollover",IF(Z32="","",IF(D32="Buy",(Z32-E32)*($C$5/2)*$C$6,(E32-Z32)*($C$5/2)*$C$6)),IF(W32="Gap Down Stoploss 2 Hit",IF(T32="","",IF(D32="Buy",(T32-E32)*($C$5/2)*$C$6,(E32-T32)*($C$5/2)*$C$6)),IF(W32="Gap Up Stoploss 2 Hit",IF(T32="","",IF(D32="Buy",(T32-E32)*($C$5/2)*$C$6,(E32-T32)*($C$5/2)*$C$6)),0))),0))))</x:f>
      </x:c>
      <x:c r="Y32" s="343" t="str">
        <x:f t="shared" si="3"/>
      </x:c>
      <x:c r="Z32" s="327"/>
    </x:row>
    <x:row r="33">
      <x:c r="A33" s="35">
        <x:v>21</x:v>
      </x:c>
      <x:c r="B33" s="318"/>
      <x:c r="C33" s="319"/>
      <x:c r="D33" s="320"/>
      <x:c r="E33" s="321"/>
      <x:c r="F33" s="322"/>
      <x:c r="G33" s="321"/>
      <x:c r="H33" s="323"/>
      <x:c r="I33" s="337" t="str">
        <x:f t="shared" si="0"/>
      </x:c>
      <x:c r="J33" s="324"/>
      <x:c r="K33" s="336" t="str">
        <x:f t="shared" si="4"/>
      </x:c>
      <x:c r="L33" s="335" t="str">
        <x:f t="shared" si="5"/>
      </x:c>
      <x:c r="M33" s="324"/>
      <x:c r="N33" s="336" t="str">
        <x:f t="shared" si="6"/>
      </x:c>
      <x:c r="O33" s="337" t="str">
        <x:f t="shared" si="1"/>
      </x:c>
      <x:c r="P33" s="324"/>
      <x:c r="Q33" s="336" t="str">
        <x:f t="shared" si="7"/>
      </x:c>
      <x:c r="R33" s="339" t="str">
        <x:f t="shared" si="2"/>
      </x:c>
      <x:c r="S33" s="324"/>
      <x:c r="T33" s="336" t="str">
        <x:f t="shared" si="8"/>
      </x:c>
      <x:c r="U33" s="325"/>
      <x:c r="V33" s="340" t="str">
        <x:f>IF(OR(D33="",U33="",$C$5="",$C$6=""),"",IF(U33="Target Hit",IF(D33="Buy",(F33-E33)*($C$5/2)*$C$6,(E33-F33)*($C$5/2)*$C$6),IF(U33="Target Hit",IF(D33="Buy",(F33-E33)*($C$5/2)*$C$6,(E33-F33)*($C$5/2)*$C$6),IF(U33="Rollover",IF(D33="Buy",(Z33-E33)*($C$5/2)*$C$6,(E33-Z33)*($C$5/2)*$C$6),IF(U33="Stoploss 1 Hit",IF(K33="","",IF(D33="Buy",(K33-E33)*$C$5*$C$6,(E33-K33)*$C$5*$C$6)),IF(OR(U33="Gap Down Stoploss 1 Hit",U33="Gap Up Stoploss 1 Hit"),IF(Q33="","",IF(D33="Buy",(Q33-E33)*$C$5*$C$6,(E33-Q33)*$C$5*$C$6)),0))))))</x:f>
      </x:c>
      <x:c r="W33" s="326"/>
      <x:c r="X33" s="341" t="str">
        <x:f>IF(D33="","",IF(U33="Target Hit",IF(W33="Stoploss 2 Hit",IF(N33="","",IF(D33="Buy",(N33-E33)*($C$5/2)*$C$6,(E33-N33)*($C$5/2)*$C$6)),IF(U33="Target Hit",IF(W33="Rollover",IF(Z33="","",IF(D33="Buy",(Z33-E33)*($C$5/2)*$C$6,(E33-Z33)*($C$5/2)*$C$6)),IF(W33="Gap Down Stoploss 2 Hit",IF(T33="","",IF(D33="Buy",(T33-E33)*($C$5/2)*$C$6,(E33-T33)*($C$5/2)*$C$6)),IF(W33="Gap Up Stoploss 2 Hit",IF(T33="","",IF(D33="Buy",(T33-E33)*($C$5/2)*$C$6,(E33-T33)*($C$5/2)*$C$6)),0))),0))))</x:f>
      </x:c>
      <x:c r="Y33" s="343" t="str">
        <x:f t="shared" si="3"/>
      </x:c>
      <x:c r="Z33" s="327"/>
    </x:row>
    <x:row r="34">
      <x:c r="A34" s="35">
        <x:v>22</x:v>
      </x:c>
      <x:c r="B34" s="318"/>
      <x:c r="C34" s="319"/>
      <x:c r="D34" s="320"/>
      <x:c r="E34" s="321"/>
      <x:c r="F34" s="322"/>
      <x:c r="G34" s="321"/>
      <x:c r="H34" s="323"/>
      <x:c r="I34" s="337" t="str">
        <x:f t="shared" si="0"/>
      </x:c>
      <x:c r="J34" s="324"/>
      <x:c r="K34" s="336" t="str">
        <x:f t="shared" si="4"/>
      </x:c>
      <x:c r="L34" s="335" t="str">
        <x:f t="shared" si="5"/>
      </x:c>
      <x:c r="M34" s="324"/>
      <x:c r="N34" s="336" t="str">
        <x:f t="shared" si="6"/>
      </x:c>
      <x:c r="O34" s="337" t="str">
        <x:f t="shared" si="1"/>
      </x:c>
      <x:c r="P34" s="324"/>
      <x:c r="Q34" s="336" t="str">
        <x:f t="shared" si="7"/>
      </x:c>
      <x:c r="R34" s="339" t="str">
        <x:f t="shared" si="2"/>
      </x:c>
      <x:c r="S34" s="324"/>
      <x:c r="T34" s="336" t="str">
        <x:f t="shared" si="8"/>
      </x:c>
      <x:c r="U34" s="325"/>
      <x:c r="V34" s="340" t="str">
        <x:f>IF(OR(D34="",U34="",$C$5="",$C$6=""),"",IF(U34="Target Hit",IF(D34="Buy",(F34-E34)*($C$5/2)*$C$6,(E34-F34)*($C$5/2)*$C$6),IF(U34="Target Hit",IF(D34="Buy",(F34-E34)*($C$5/2)*$C$6,(E34-F34)*($C$5/2)*$C$6),IF(U34="Rollover",IF(D34="Buy",(Z34-E34)*($C$5/2)*$C$6,(E34-Z34)*($C$5/2)*$C$6),IF(U34="Stoploss 1 Hit",IF(K34="","",IF(D34="Buy",(K34-E34)*$C$5*$C$6,(E34-K34)*$C$5*$C$6)),IF(OR(U34="Gap Down Stoploss 1 Hit",U34="Gap Up Stoploss 1 Hit"),IF(Q34="","",IF(D34="Buy",(Q34-E34)*$C$5*$C$6,(E34-Q34)*$C$5*$C$6)),0))))))</x:f>
      </x:c>
      <x:c r="W34" s="326"/>
      <x:c r="X34" s="341" t="str">
        <x:f>IF(D34="","",IF(U34="Target Hit",IF(W34="Stoploss 2 Hit",IF(N34="","",IF(D34="Buy",(N34-E34)*($C$5/2)*$C$6,(E34-N34)*($C$5/2)*$C$6)),IF(U34="Target Hit",IF(W34="Rollover",IF(Z34="","",IF(D34="Buy",(Z34-E34)*($C$5/2)*$C$6,(E34-Z34)*($C$5/2)*$C$6)),IF(W34="Gap Down Stoploss 2 Hit",IF(T34="","",IF(D34="Buy",(T34-E34)*($C$5/2)*$C$6,(E34-T34)*($C$5/2)*$C$6)),IF(W34="Gap Up Stoploss 2 Hit",IF(T34="","",IF(D34="Buy",(T34-E34)*($C$5/2)*$C$6,(E34-T34)*($C$5/2)*$C$6)),0))),0))))</x:f>
      </x:c>
      <x:c r="Y34" s="343" t="str">
        <x:f t="shared" si="3"/>
      </x:c>
      <x:c r="Z34" s="327"/>
    </x:row>
    <x:row r="35">
      <x:c r="A35" s="35">
        <x:v>23</x:v>
      </x:c>
      <x:c r="B35" s="318"/>
      <x:c r="C35" s="319"/>
      <x:c r="D35" s="320"/>
      <x:c r="E35" s="321"/>
      <x:c r="F35" s="322"/>
      <x:c r="G35" s="321"/>
      <x:c r="H35" s="323"/>
      <x:c r="I35" s="337" t="str">
        <x:f t="shared" si="0"/>
      </x:c>
      <x:c r="J35" s="324"/>
      <x:c r="K35" s="336" t="str">
        <x:f t="shared" si="4"/>
      </x:c>
      <x:c r="L35" s="335" t="str">
        <x:f t="shared" si="5"/>
      </x:c>
      <x:c r="M35" s="324"/>
      <x:c r="N35" s="336" t="str">
        <x:f t="shared" si="6"/>
      </x:c>
      <x:c r="O35" s="337" t="str">
        <x:f t="shared" si="1"/>
      </x:c>
      <x:c r="P35" s="324"/>
      <x:c r="Q35" s="336" t="str">
        <x:f t="shared" si="7"/>
      </x:c>
      <x:c r="R35" s="339" t="str">
        <x:f t="shared" si="2"/>
      </x:c>
      <x:c r="S35" s="324"/>
      <x:c r="T35" s="336" t="str">
        <x:f t="shared" si="8"/>
      </x:c>
      <x:c r="U35" s="325"/>
      <x:c r="V35" s="340" t="str">
        <x:f>IF(OR(D35="",U35="",$C$5="",$C$6=""),"",IF(U35="Target Hit",IF(D35="Buy",(F35-E35)*($C$5/2)*$C$6,(E35-F35)*($C$5/2)*$C$6),IF(U35="Target Hit",IF(D35="Buy",(F35-E35)*($C$5/2)*$C$6,(E35-F35)*($C$5/2)*$C$6),IF(U35="Rollover",IF(D35="Buy",(Z35-E35)*($C$5/2)*$C$6,(E35-Z35)*($C$5/2)*$C$6),IF(U35="Stoploss 1 Hit",IF(K35="","",IF(D35="Buy",(K35-E35)*$C$5*$C$6,(E35-K35)*$C$5*$C$6)),IF(OR(U35="Gap Down Stoploss 1 Hit",U35="Gap Up Stoploss 1 Hit"),IF(Q35="","",IF(D35="Buy",(Q35-E35)*$C$5*$C$6,(E35-Q35)*$C$5*$C$6)),0))))))</x:f>
      </x:c>
      <x:c r="W35" s="326"/>
      <x:c r="X35" s="341" t="str">
        <x:f>IF(D35="","",IF(U35="Target Hit",IF(W35="Stoploss 2 Hit",IF(N35="","",IF(D35="Buy",(N35-E35)*($C$5/2)*$C$6,(E35-N35)*($C$5/2)*$C$6)),IF(U35="Target Hit",IF(W35="Rollover",IF(Z35="","",IF(D35="Buy",(Z35-E35)*($C$5/2)*$C$6,(E35-Z35)*($C$5/2)*$C$6)),IF(W35="Gap Down Stoploss 2 Hit",IF(T35="","",IF(D35="Buy",(T35-E35)*($C$5/2)*$C$6,(E35-T35)*($C$5/2)*$C$6)),IF(W35="Gap Up Stoploss 2 Hit",IF(T35="","",IF(D35="Buy",(T35-E35)*($C$5/2)*$C$6,(E35-T35)*($C$5/2)*$C$6)),0))),0))))</x:f>
      </x:c>
      <x:c r="Y35" s="343" t="str">
        <x:f t="shared" si="3"/>
      </x:c>
      <x:c r="Z35" s="327"/>
    </x:row>
    <x:row r="36">
      <x:c r="A36" s="35">
        <x:v>24</x:v>
      </x:c>
      <x:c r="B36" s="318"/>
      <x:c r="C36" s="319"/>
      <x:c r="D36" s="320"/>
      <x:c r="E36" s="321"/>
      <x:c r="F36" s="322"/>
      <x:c r="G36" s="321"/>
      <x:c r="H36" s="323"/>
      <x:c r="I36" s="337" t="str">
        <x:f t="shared" si="0"/>
      </x:c>
      <x:c r="J36" s="324"/>
      <x:c r="K36" s="336" t="str">
        <x:f t="shared" si="4"/>
      </x:c>
      <x:c r="L36" s="335" t="str">
        <x:f t="shared" si="5"/>
      </x:c>
      <x:c r="M36" s="324"/>
      <x:c r="N36" s="336" t="str">
        <x:f t="shared" si="6"/>
      </x:c>
      <x:c r="O36" s="337" t="str">
        <x:f t="shared" si="1"/>
      </x:c>
      <x:c r="P36" s="324"/>
      <x:c r="Q36" s="336" t="str">
        <x:f t="shared" si="7"/>
      </x:c>
      <x:c r="R36" s="339" t="str">
        <x:f t="shared" si="2"/>
      </x:c>
      <x:c r="S36" s="324"/>
      <x:c r="T36" s="336" t="str">
        <x:f t="shared" si="8"/>
      </x:c>
      <x:c r="U36" s="325"/>
      <x:c r="V36" s="340" t="str">
        <x:f>IF(OR(D36="",U36="",$C$5="",$C$6=""),"",IF(U36="Target Hit",IF(D36="Buy",(F36-E36)*($C$5/2)*$C$6,(E36-F36)*($C$5/2)*$C$6),IF(U36="Target Hit",IF(D36="Buy",(F36-E36)*($C$5/2)*$C$6,(E36-F36)*($C$5/2)*$C$6),IF(U36="Rollover",IF(D36="Buy",(Z36-E36)*($C$5/2)*$C$6,(E36-Z36)*($C$5/2)*$C$6),IF(U36="Stoploss 1 Hit",IF(K36="","",IF(D36="Buy",(K36-E36)*$C$5*$C$6,(E36-K36)*$C$5*$C$6)),IF(OR(U36="Gap Down Stoploss 1 Hit",U36="Gap Up Stoploss 1 Hit"),IF(Q36="","",IF(D36="Buy",(Q36-E36)*$C$5*$C$6,(E36-Q36)*$C$5*$C$6)),0))))))</x:f>
      </x:c>
      <x:c r="W36" s="326"/>
      <x:c r="X36" s="341" t="str">
        <x:f>IF(D36="","",IF(U36="Target Hit",IF(W36="Stoploss 2 Hit",IF(N36="","",IF(D36="Buy",(N36-E36)*($C$5/2)*$C$6,(E36-N36)*($C$5/2)*$C$6)),IF(U36="Target Hit",IF(W36="Rollover",IF(Z36="","",IF(D36="Buy",(Z36-E36)*($C$5/2)*$C$6,(E36-Z36)*($C$5/2)*$C$6)),IF(W36="Gap Down Stoploss 2 Hit",IF(T36="","",IF(D36="Buy",(T36-E36)*($C$5/2)*$C$6,(E36-T36)*($C$5/2)*$C$6)),IF(W36="Gap Up Stoploss 2 Hit",IF(T36="","",IF(D36="Buy",(T36-E36)*($C$5/2)*$C$6,(E36-T36)*($C$5/2)*$C$6)),0))),0))))</x:f>
      </x:c>
      <x:c r="Y36" s="343" t="str">
        <x:f t="shared" si="3"/>
      </x:c>
      <x:c r="Z36" s="327"/>
    </x:row>
    <x:row r="37">
      <x:c r="A37" s="35">
        <x:v>25</x:v>
      </x:c>
      <x:c r="B37" s="318"/>
      <x:c r="C37" s="319"/>
      <x:c r="D37" s="320"/>
      <x:c r="E37" s="321"/>
      <x:c r="F37" s="322"/>
      <x:c r="G37" s="321"/>
      <x:c r="H37" s="323"/>
      <x:c r="I37" s="337" t="str">
        <x:f t="shared" si="0"/>
      </x:c>
      <x:c r="J37" s="324"/>
      <x:c r="K37" s="336" t="str">
        <x:f t="shared" si="4"/>
      </x:c>
      <x:c r="L37" s="335" t="str">
        <x:f t="shared" si="5"/>
      </x:c>
      <x:c r="M37" s="324"/>
      <x:c r="N37" s="336" t="str">
        <x:f t="shared" si="6"/>
      </x:c>
      <x:c r="O37" s="337" t="str">
        <x:f t="shared" si="1"/>
      </x:c>
      <x:c r="P37" s="324"/>
      <x:c r="Q37" s="336" t="str">
        <x:f t="shared" si="7"/>
      </x:c>
      <x:c r="R37" s="339" t="str">
        <x:f t="shared" si="2"/>
      </x:c>
      <x:c r="S37" s="324"/>
      <x:c r="T37" s="336" t="str">
        <x:f t="shared" si="8"/>
      </x:c>
      <x:c r="U37" s="325"/>
      <x:c r="V37" s="340" t="str">
        <x:f>IF(OR(D37="",U37="",$C$5="",$C$6=""),"",IF(U37="Target Hit",IF(D37="Buy",(F37-E37)*($C$5/2)*$C$6,(E37-F37)*($C$5/2)*$C$6),IF(U37="Target Hit",IF(D37="Buy",(F37-E37)*($C$5/2)*$C$6,(E37-F37)*($C$5/2)*$C$6),IF(U37="Rollover",IF(D37="Buy",(Z37-E37)*($C$5/2)*$C$6,(E37-Z37)*($C$5/2)*$C$6),IF(U37="Stoploss 1 Hit",IF(K37="","",IF(D37="Buy",(K37-E37)*$C$5*$C$6,(E37-K37)*$C$5*$C$6)),IF(OR(U37="Gap Down Stoploss 1 Hit",U37="Gap Up Stoploss 1 Hit"),IF(Q37="","",IF(D37="Buy",(Q37-E37)*$C$5*$C$6,(E37-Q37)*$C$5*$C$6)),0))))))</x:f>
      </x:c>
      <x:c r="W37" s="326"/>
      <x:c r="X37" s="341" t="str">
        <x:f>IF(D37="","",IF(U37="Target Hit",IF(W37="Stoploss 2 Hit",IF(N37="","",IF(D37="Buy",(N37-E37)*($C$5/2)*$C$6,(E37-N37)*($C$5/2)*$C$6)),IF(U37="Target Hit",IF(W37="Rollover",IF(Z37="","",IF(D37="Buy",(Z37-E37)*($C$5/2)*$C$6,(E37-Z37)*($C$5/2)*$C$6)),IF(W37="Gap Down Stoploss 2 Hit",IF(T37="","",IF(D37="Buy",(T37-E37)*($C$5/2)*$C$6,(E37-T37)*($C$5/2)*$C$6)),IF(W37="Gap Up Stoploss 2 Hit",IF(T37="","",IF(D37="Buy",(T37-E37)*($C$5/2)*$C$6,(E37-T37)*($C$5/2)*$C$6)),0))),0))))</x:f>
      </x:c>
      <x:c r="Y37" s="343" t="str">
        <x:f t="shared" si="3"/>
      </x:c>
      <x:c r="Z37" s="327"/>
    </x:row>
    <x:row r="38">
      <x:c r="A38" s="35">
        <x:v>26</x:v>
      </x:c>
      <x:c r="B38" s="318"/>
      <x:c r="C38" s="319"/>
      <x:c r="D38" s="320"/>
      <x:c r="E38" s="321"/>
      <x:c r="F38" s="322"/>
      <x:c r="G38" s="321"/>
      <x:c r="H38" s="323"/>
      <x:c r="I38" s="337" t="str">
        <x:f t="shared" si="0"/>
      </x:c>
      <x:c r="J38" s="324"/>
      <x:c r="K38" s="336" t="str">
        <x:f t="shared" si="4"/>
      </x:c>
      <x:c r="L38" s="335" t="str">
        <x:f t="shared" si="5"/>
      </x:c>
      <x:c r="M38" s="324"/>
      <x:c r="N38" s="336" t="str">
        <x:f t="shared" si="6"/>
      </x:c>
      <x:c r="O38" s="337" t="str">
        <x:f t="shared" si="1"/>
      </x:c>
      <x:c r="P38" s="324"/>
      <x:c r="Q38" s="336" t="str">
        <x:f t="shared" si="7"/>
      </x:c>
      <x:c r="R38" s="339" t="str">
        <x:f t="shared" si="2"/>
      </x:c>
      <x:c r="S38" s="324"/>
      <x:c r="T38" s="336" t="str">
        <x:f t="shared" si="8"/>
      </x:c>
      <x:c r="U38" s="325"/>
      <x:c r="V38" s="340" t="str">
        <x:f>IF(OR(D38="",U38="",$C$5="",$C$6=""),"",IF(U38="Target Hit",IF(D38="Buy",(F38-E38)*($C$5/2)*$C$6,(E38-F38)*($C$5/2)*$C$6),IF(U38="Target Hit",IF(D38="Buy",(F38-E38)*($C$5/2)*$C$6,(E38-F38)*($C$5/2)*$C$6),IF(U38="Rollover",IF(D38="Buy",(Z38-E38)*($C$5/2)*$C$6,(E38-Z38)*($C$5/2)*$C$6),IF(U38="Stoploss 1 Hit",IF(K38="","",IF(D38="Buy",(K38-E38)*$C$5*$C$6,(E38-K38)*$C$5*$C$6)),IF(OR(U38="Gap Down Stoploss 1 Hit",U38="Gap Up Stoploss 1 Hit"),IF(Q38="","",IF(D38="Buy",(Q38-E38)*$C$5*$C$6,(E38-Q38)*$C$5*$C$6)),0))))))</x:f>
      </x:c>
      <x:c r="W38" s="326"/>
      <x:c r="X38" s="341" t="str">
        <x:f>IF(D38="","",IF(U38="Target Hit",IF(W38="Stoploss 2 Hit",IF(N38="","",IF(D38="Buy",(N38-E38)*($C$5/2)*$C$6,(E38-N38)*($C$5/2)*$C$6)),IF(U38="Target Hit",IF(W38="Rollover",IF(Z38="","",IF(D38="Buy",(Z38-E38)*($C$5/2)*$C$6,(E38-Z38)*($C$5/2)*$C$6)),IF(W38="Gap Down Stoploss 2 Hit",IF(T38="","",IF(D38="Buy",(T38-E38)*($C$5/2)*$C$6,(E38-T38)*($C$5/2)*$C$6)),IF(W38="Gap Up Stoploss 2 Hit",IF(T38="","",IF(D38="Buy",(T38-E38)*($C$5/2)*$C$6,(E38-T38)*($C$5/2)*$C$6)),0))),0))))</x:f>
      </x:c>
      <x:c r="Y38" s="343" t="str">
        <x:f t="shared" si="3"/>
      </x:c>
      <x:c r="Z38" s="327"/>
    </x:row>
    <x:row r="39">
      <x:c r="A39" s="35">
        <x:v>27</x:v>
      </x:c>
      <x:c r="B39" s="318"/>
      <x:c r="C39" s="319"/>
      <x:c r="D39" s="320"/>
      <x:c r="E39" s="321"/>
      <x:c r="F39" s="322"/>
      <x:c r="G39" s="321"/>
      <x:c r="H39" s="323"/>
      <x:c r="I39" s="337" t="str">
        <x:f t="shared" si="0"/>
      </x:c>
      <x:c r="J39" s="324"/>
      <x:c r="K39" s="336" t="str">
        <x:f t="shared" si="4"/>
      </x:c>
      <x:c r="L39" s="335" t="str">
        <x:f t="shared" si="5"/>
      </x:c>
      <x:c r="M39" s="324"/>
      <x:c r="N39" s="336" t="str">
        <x:f t="shared" si="6"/>
      </x:c>
      <x:c r="O39" s="337" t="str">
        <x:f t="shared" si="1"/>
      </x:c>
      <x:c r="P39" s="324"/>
      <x:c r="Q39" s="336" t="str">
        <x:f t="shared" si="7"/>
      </x:c>
      <x:c r="R39" s="339" t="str">
        <x:f t="shared" si="2"/>
      </x:c>
      <x:c r="S39" s="324"/>
      <x:c r="T39" s="336" t="str">
        <x:f t="shared" si="8"/>
      </x:c>
      <x:c r="U39" s="325"/>
      <x:c r="V39" s="340" t="str">
        <x:f>IF(OR(D39="",U39="",$C$5="",$C$6=""),"",IF(U39="Target Hit",IF(D39="Buy",(F39-E39)*($C$5/2)*$C$6,(E39-F39)*($C$5/2)*$C$6),IF(U39="Target Hit",IF(D39="Buy",(F39-E39)*($C$5/2)*$C$6,(E39-F39)*($C$5/2)*$C$6),IF(U39="Rollover",IF(D39="Buy",(Z39-E39)*($C$5/2)*$C$6,(E39-Z39)*($C$5/2)*$C$6),IF(U39="Stoploss 1 Hit",IF(K39="","",IF(D39="Buy",(K39-E39)*$C$5*$C$6,(E39-K39)*$C$5*$C$6)),IF(OR(U39="Gap Down Stoploss 1 Hit",U39="Gap Up Stoploss 1 Hit"),IF(Q39="","",IF(D39="Buy",(Q39-E39)*$C$5*$C$6,(E39-Q39)*$C$5*$C$6)),0))))))</x:f>
      </x:c>
      <x:c r="W39" s="326"/>
      <x:c r="X39" s="341" t="str">
        <x:f>IF(D39="","",IF(U39="Target Hit",IF(W39="Stoploss 2 Hit",IF(N39="","",IF(D39="Buy",(N39-E39)*($C$5/2)*$C$6,(E39-N39)*($C$5/2)*$C$6)),IF(U39="Target Hit",IF(W39="Rollover",IF(Z39="","",IF(D39="Buy",(Z39-E39)*($C$5/2)*$C$6,(E39-Z39)*($C$5/2)*$C$6)),IF(W39="Gap Down Stoploss 2 Hit",IF(T39="","",IF(D39="Buy",(T39-E39)*($C$5/2)*$C$6,(E39-T39)*($C$5/2)*$C$6)),IF(W39="Gap Up Stoploss 2 Hit",IF(T39="","",IF(D39="Buy",(T39-E39)*($C$5/2)*$C$6,(E39-T39)*($C$5/2)*$C$6)),0))),0))))</x:f>
      </x:c>
      <x:c r="Y39" s="343" t="str">
        <x:f t="shared" si="3"/>
      </x:c>
      <x:c r="Z39" s="327"/>
    </x:row>
    <x:row r="40">
      <x:c r="A40" s="35">
        <x:v>28</x:v>
      </x:c>
      <x:c r="B40" s="318"/>
      <x:c r="C40" s="319"/>
      <x:c r="D40" s="320"/>
      <x:c r="E40" s="321"/>
      <x:c r="F40" s="322"/>
      <x:c r="G40" s="321"/>
      <x:c r="H40" s="323"/>
      <x:c r="I40" s="337" t="str">
        <x:f t="shared" si="0"/>
      </x:c>
      <x:c r="J40" s="324"/>
      <x:c r="K40" s="336" t="str">
        <x:f t="shared" si="4"/>
      </x:c>
      <x:c r="L40" s="335" t="str">
        <x:f t="shared" si="5"/>
      </x:c>
      <x:c r="M40" s="324"/>
      <x:c r="N40" s="336" t="str">
        <x:f t="shared" si="6"/>
      </x:c>
      <x:c r="O40" s="337" t="str">
        <x:f t="shared" si="1"/>
      </x:c>
      <x:c r="P40" s="324"/>
      <x:c r="Q40" s="336" t="str">
        <x:f t="shared" si="7"/>
      </x:c>
      <x:c r="R40" s="339" t="str">
        <x:f t="shared" si="2"/>
      </x:c>
      <x:c r="S40" s="324"/>
      <x:c r="T40" s="336" t="str">
        <x:f t="shared" si="8"/>
      </x:c>
      <x:c r="U40" s="325"/>
      <x:c r="V40" s="340" t="str">
        <x:f>IF(OR(D40="",U40="",$C$5="",$C$6=""),"",IF(U40="Target Hit",IF(D40="Buy",(F40-E40)*($C$5/2)*$C$6,(E40-F40)*($C$5/2)*$C$6),IF(U40="Target Hit",IF(D40="Buy",(F40-E40)*($C$5/2)*$C$6,(E40-F40)*($C$5/2)*$C$6),IF(U40="Rollover",IF(D40="Buy",(Z40-E40)*($C$5/2)*$C$6,(E40-Z40)*($C$5/2)*$C$6),IF(U40="Stoploss 1 Hit",IF(K40="","",IF(D40="Buy",(K40-E40)*$C$5*$C$6,(E40-K40)*$C$5*$C$6)),IF(OR(U40="Gap Down Stoploss 1 Hit",U40="Gap Up Stoploss 1 Hit"),IF(Q40="","",IF(D40="Buy",(Q40-E40)*$C$5*$C$6,(E40-Q40)*$C$5*$C$6)),0))))))</x:f>
      </x:c>
      <x:c r="W40" s="326"/>
      <x:c r="X40" s="341" t="str">
        <x:f>IF(D40="","",IF(U40="Target Hit",IF(W40="Stoploss 2 Hit",IF(N40="","",IF(D40="Buy",(N40-E40)*($C$5/2)*$C$6,(E40-N40)*($C$5/2)*$C$6)),IF(U40="Target Hit",IF(W40="Rollover",IF(Z40="","",IF(D40="Buy",(Z40-E40)*($C$5/2)*$C$6,(E40-Z40)*($C$5/2)*$C$6)),IF(W40="Gap Down Stoploss 2 Hit",IF(T40="","",IF(D40="Buy",(T40-E40)*($C$5/2)*$C$6,(E40-T40)*($C$5/2)*$C$6)),IF(W40="Gap Up Stoploss 2 Hit",IF(T40="","",IF(D40="Buy",(T40-E40)*($C$5/2)*$C$6,(E40-T40)*($C$5/2)*$C$6)),0))),0))))</x:f>
      </x:c>
      <x:c r="Y40" s="343" t="str">
        <x:f t="shared" si="3"/>
      </x:c>
      <x:c r="Z40" s="327"/>
    </x:row>
    <x:row r="41">
      <x:c r="A41" s="35">
        <x:v>29</x:v>
      </x:c>
      <x:c r="B41" s="318"/>
      <x:c r="C41" s="319"/>
      <x:c r="D41" s="320"/>
      <x:c r="E41" s="321"/>
      <x:c r="F41" s="322"/>
      <x:c r="G41" s="321"/>
      <x:c r="H41" s="323"/>
      <x:c r="I41" s="337" t="str">
        <x:f t="shared" si="0"/>
      </x:c>
      <x:c r="J41" s="324"/>
      <x:c r="K41" s="336" t="str">
        <x:f t="shared" si="4"/>
      </x:c>
      <x:c r="L41" s="335" t="str">
        <x:f t="shared" si="5"/>
      </x:c>
      <x:c r="M41" s="324"/>
      <x:c r="N41" s="336" t="str">
        <x:f t="shared" si="6"/>
      </x:c>
      <x:c r="O41" s="337" t="str">
        <x:f t="shared" si="1"/>
      </x:c>
      <x:c r="P41" s="324"/>
      <x:c r="Q41" s="336" t="str">
        <x:f t="shared" si="7"/>
      </x:c>
      <x:c r="R41" s="339" t="str">
        <x:f t="shared" si="2"/>
      </x:c>
      <x:c r="S41" s="324"/>
      <x:c r="T41" s="336" t="str">
        <x:f t="shared" si="8"/>
      </x:c>
      <x:c r="U41" s="325"/>
      <x:c r="V41" s="340" t="str">
        <x:f>IF(OR(D41="",U41="",$C$5="",$C$6=""),"",IF(U41="Target Hit",IF(D41="Buy",(F41-E41)*($C$5/2)*$C$6,(E41-F41)*($C$5/2)*$C$6),IF(U41="Target Hit",IF(D41="Buy",(F41-E41)*($C$5/2)*$C$6,(E41-F41)*($C$5/2)*$C$6),IF(U41="Rollover",IF(D41="Buy",(Z41-E41)*($C$5/2)*$C$6,(E41-Z41)*($C$5/2)*$C$6),IF(U41="Stoploss 1 Hit",IF(K41="","",IF(D41="Buy",(K41-E41)*$C$5*$C$6,(E41-K41)*$C$5*$C$6)),IF(OR(U41="Gap Down Stoploss 1 Hit",U41="Gap Up Stoploss 1 Hit"),IF(Q41="","",IF(D41="Buy",(Q41-E41)*$C$5*$C$6,(E41-Q41)*$C$5*$C$6)),0))))))</x:f>
      </x:c>
      <x:c r="W41" s="326"/>
      <x:c r="X41" s="341" t="str">
        <x:f>IF(D41="","",IF(U41="Target Hit",IF(W41="Stoploss 2 Hit",IF(N41="","",IF(D41="Buy",(N41-E41)*($C$5/2)*$C$6,(E41-N41)*($C$5/2)*$C$6)),IF(U41="Target Hit",IF(W41="Rollover",IF(Z41="","",IF(D41="Buy",(Z41-E41)*($C$5/2)*$C$6,(E41-Z41)*($C$5/2)*$C$6)),IF(W41="Gap Down Stoploss 2 Hit",IF(T41="","",IF(D41="Buy",(T41-E41)*($C$5/2)*$C$6,(E41-T41)*($C$5/2)*$C$6)),IF(W41="Gap Up Stoploss 2 Hit",IF(T41="","",IF(D41="Buy",(T41-E41)*($C$5/2)*$C$6,(E41-T41)*($C$5/2)*$C$6)),0))),0))))</x:f>
      </x:c>
      <x:c r="Y41" s="343" t="str">
        <x:f t="shared" si="3"/>
      </x:c>
      <x:c r="Z41" s="327"/>
    </x:row>
    <x:row r="42">
      <x:c r="A42" s="35">
        <x:v>30</x:v>
      </x:c>
      <x:c r="B42" s="318"/>
      <x:c r="C42" s="319"/>
      <x:c r="D42" s="320"/>
      <x:c r="E42" s="321"/>
      <x:c r="F42" s="322"/>
      <x:c r="G42" s="321"/>
      <x:c r="H42" s="323"/>
      <x:c r="I42" s="337" t="str">
        <x:f t="shared" si="0"/>
      </x:c>
      <x:c r="J42" s="324"/>
      <x:c r="K42" s="336" t="str">
        <x:f t="shared" si="4"/>
      </x:c>
      <x:c r="L42" s="335" t="str">
        <x:f t="shared" si="5"/>
      </x:c>
      <x:c r="M42" s="324"/>
      <x:c r="N42" s="336" t="str">
        <x:f t="shared" si="6"/>
      </x:c>
      <x:c r="O42" s="337" t="str">
        <x:f t="shared" si="1"/>
      </x:c>
      <x:c r="P42" s="324"/>
      <x:c r="Q42" s="336" t="str">
        <x:f t="shared" si="7"/>
      </x:c>
      <x:c r="R42" s="339" t="str">
        <x:f t="shared" si="2"/>
      </x:c>
      <x:c r="S42" s="324"/>
      <x:c r="T42" s="336" t="str">
        <x:f t="shared" si="8"/>
      </x:c>
      <x:c r="U42" s="325"/>
      <x:c r="V42" s="340" t="str">
        <x:f>IF(OR(D42="",U42="",$C$5="",$C$6=""),"",IF(U42="Target Hit",IF(D42="Buy",(F42-E42)*($C$5/2)*$C$6,(E42-F42)*($C$5/2)*$C$6),IF(U42="Target Hit",IF(D42="Buy",(F42-E42)*($C$5/2)*$C$6,(E42-F42)*($C$5/2)*$C$6),IF(U42="Rollover",IF(D42="Buy",(Z42-E42)*($C$5/2)*$C$6,(E42-Z42)*($C$5/2)*$C$6),IF(U42="Stoploss 1 Hit",IF(K42="","",IF(D42="Buy",(K42-E42)*$C$5*$C$6,(E42-K42)*$C$5*$C$6)),IF(OR(U42="Gap Down Stoploss 1 Hit",U42="Gap Up Stoploss 1 Hit"),IF(Q42="","",IF(D42="Buy",(Q42-E42)*$C$5*$C$6,(E42-Q42)*$C$5*$C$6)),0))))))</x:f>
      </x:c>
      <x:c r="W42" s="326"/>
      <x:c r="X42" s="341" t="str">
        <x:f>IF(D42="","",IF(U42="Target Hit",IF(W42="Stoploss 2 Hit",IF(N42="","",IF(D42="Buy",(N42-E42)*($C$5/2)*$C$6,(E42-N42)*($C$5/2)*$C$6)),IF(U42="Target Hit",IF(W42="Rollover",IF(Z42="","",IF(D42="Buy",(Z42-E42)*($C$5/2)*$C$6,(E42-Z42)*($C$5/2)*$C$6)),IF(W42="Gap Down Stoploss 2 Hit",IF(T42="","",IF(D42="Buy",(T42-E42)*($C$5/2)*$C$6,(E42-T42)*($C$5/2)*$C$6)),IF(W42="Gap Up Stoploss 2 Hit",IF(T42="","",IF(D42="Buy",(T42-E42)*($C$5/2)*$C$6,(E42-T42)*($C$5/2)*$C$6)),0))),0))))</x:f>
      </x:c>
      <x:c r="Y42" s="343" t="str">
        <x:f t="shared" si="3"/>
      </x:c>
      <x:c r="Z42" s="327"/>
    </x:row>
    <x:row r="43">
      <x:c r="A43" s="35">
        <x:v>31</x:v>
      </x:c>
      <x:c r="B43" s="318"/>
      <x:c r="C43" s="319"/>
      <x:c r="D43" s="320"/>
      <x:c r="E43" s="321"/>
      <x:c r="F43" s="322"/>
      <x:c r="G43" s="321"/>
      <x:c r="H43" s="323"/>
      <x:c r="I43" s="337" t="str">
        <x:f t="shared" si="0"/>
      </x:c>
      <x:c r="J43" s="324"/>
      <x:c r="K43" s="336" t="str">
        <x:f t="shared" si="4"/>
      </x:c>
      <x:c r="L43" s="335" t="str">
        <x:f t="shared" si="5"/>
      </x:c>
      <x:c r="M43" s="324"/>
      <x:c r="N43" s="336" t="str">
        <x:f t="shared" si="6"/>
      </x:c>
      <x:c r="O43" s="337" t="str">
        <x:f t="shared" si="1"/>
      </x:c>
      <x:c r="P43" s="324"/>
      <x:c r="Q43" s="336" t="str">
        <x:f t="shared" si="7"/>
      </x:c>
      <x:c r="R43" s="339" t="str">
        <x:f t="shared" si="2"/>
      </x:c>
      <x:c r="S43" s="324"/>
      <x:c r="T43" s="336" t="str">
        <x:f t="shared" si="8"/>
      </x:c>
      <x:c r="U43" s="325"/>
      <x:c r="V43" s="340" t="str">
        <x:f>IF(OR(D43="",U43="",$C$5="",$C$6=""),"",IF(U43="Target Hit",IF(D43="Buy",(F43-E43)*($C$5/2)*$C$6,(E43-F43)*($C$5/2)*$C$6),IF(U43="Target Hit",IF(D43="Buy",(F43-E43)*($C$5/2)*$C$6,(E43-F43)*($C$5/2)*$C$6),IF(U43="Rollover",IF(D43="Buy",(Z43-E43)*($C$5/2)*$C$6,(E43-Z43)*($C$5/2)*$C$6),IF(U43="Stoploss 1 Hit",IF(K43="","",IF(D43="Buy",(K43-E43)*$C$5*$C$6,(E43-K43)*$C$5*$C$6)),IF(OR(U43="Gap Down Stoploss 1 Hit",U43="Gap Up Stoploss 1 Hit"),IF(Q43="","",IF(D43="Buy",(Q43-E43)*$C$5*$C$6,(E43-Q43)*$C$5*$C$6)),0))))))</x:f>
      </x:c>
      <x:c r="W43" s="326"/>
      <x:c r="X43" s="341" t="str">
        <x:f>IF(D43="","",IF(U43="Target Hit",IF(W43="Stoploss 2 Hit",IF(N43="","",IF(D43="Buy",(N43-E43)*($C$5/2)*$C$6,(E43-N43)*($C$5/2)*$C$6)),IF(U43="Target Hit",IF(W43="Rollover",IF(Z43="","",IF(D43="Buy",(Z43-E43)*($C$5/2)*$C$6,(E43-Z43)*($C$5/2)*$C$6)),IF(W43="Gap Down Stoploss 2 Hit",IF(T43="","",IF(D43="Buy",(T43-E43)*($C$5/2)*$C$6,(E43-T43)*($C$5/2)*$C$6)),IF(W43="Gap Up Stoploss 2 Hit",IF(T43="","",IF(D43="Buy",(T43-E43)*($C$5/2)*$C$6,(E43-T43)*($C$5/2)*$C$6)),0))),0))))</x:f>
      </x:c>
      <x:c r="Y43" s="343" t="str">
        <x:f t="shared" si="3"/>
      </x:c>
      <x:c r="Z43" s="327"/>
    </x:row>
    <x:row r="44">
      <x:c r="A44" s="35">
        <x:v>32</x:v>
      </x:c>
      <x:c r="B44" s="318"/>
      <x:c r="C44" s="319"/>
      <x:c r="D44" s="320"/>
      <x:c r="E44" s="321"/>
      <x:c r="F44" s="322"/>
      <x:c r="G44" s="321"/>
      <x:c r="H44" s="323"/>
      <x:c r="I44" s="337" t="str">
        <x:f t="shared" si="0"/>
      </x:c>
      <x:c r="J44" s="324"/>
      <x:c r="K44" s="336" t="str">
        <x:f t="shared" si="4"/>
      </x:c>
      <x:c r="L44" s="335" t="str">
        <x:f t="shared" si="5"/>
      </x:c>
      <x:c r="M44" s="324"/>
      <x:c r="N44" s="336" t="str">
        <x:f t="shared" si="6"/>
      </x:c>
      <x:c r="O44" s="337" t="str">
        <x:f t="shared" si="1"/>
      </x:c>
      <x:c r="P44" s="324"/>
      <x:c r="Q44" s="336" t="str">
        <x:f t="shared" si="7"/>
      </x:c>
      <x:c r="R44" s="339" t="str">
        <x:f t="shared" si="2"/>
      </x:c>
      <x:c r="S44" s="324"/>
      <x:c r="T44" s="336" t="str">
        <x:f t="shared" si="8"/>
      </x:c>
      <x:c r="U44" s="325"/>
      <x:c r="V44" s="340" t="str">
        <x:f>IF(OR(D44="",U44="",$C$5="",$C$6=""),"",IF(U44="Target Hit",IF(D44="Buy",(F44-E44)*($C$5/2)*$C$6,(E44-F44)*($C$5/2)*$C$6),IF(U44="Target Hit",IF(D44="Buy",(F44-E44)*($C$5/2)*$C$6,(E44-F44)*($C$5/2)*$C$6),IF(U44="Rollover",IF(D44="Buy",(Z44-E44)*($C$5/2)*$C$6,(E44-Z44)*($C$5/2)*$C$6),IF(U44="Stoploss 1 Hit",IF(K44="","",IF(D44="Buy",(K44-E44)*$C$5*$C$6,(E44-K44)*$C$5*$C$6)),IF(OR(U44="Gap Down Stoploss 1 Hit",U44="Gap Up Stoploss 1 Hit"),IF(Q44="","",IF(D44="Buy",(Q44-E44)*$C$5*$C$6,(E44-Q44)*$C$5*$C$6)),0))))))</x:f>
      </x:c>
      <x:c r="W44" s="326"/>
      <x:c r="X44" s="341" t="str">
        <x:f>IF(D44="","",IF(U44="Target Hit",IF(W44="Stoploss 2 Hit",IF(N44="","",IF(D44="Buy",(N44-E44)*($C$5/2)*$C$6,(E44-N44)*($C$5/2)*$C$6)),IF(U44="Target Hit",IF(W44="Rollover",IF(Z44="","",IF(D44="Buy",(Z44-E44)*($C$5/2)*$C$6,(E44-Z44)*($C$5/2)*$C$6)),IF(W44="Gap Down Stoploss 2 Hit",IF(T44="","",IF(D44="Buy",(T44-E44)*($C$5/2)*$C$6,(E44-T44)*($C$5/2)*$C$6)),IF(W44="Gap Up Stoploss 2 Hit",IF(T44="","",IF(D44="Buy",(T44-E44)*($C$5/2)*$C$6,(E44-T44)*($C$5/2)*$C$6)),0))),0))))</x:f>
      </x:c>
      <x:c r="Y44" s="343" t="str">
        <x:f t="shared" si="3"/>
      </x:c>
      <x:c r="Z44" s="327"/>
    </x:row>
    <x:row r="45">
      <x:c r="A45" s="35">
        <x:v>33</x:v>
      </x:c>
      <x:c r="B45" s="318"/>
      <x:c r="C45" s="319"/>
      <x:c r="D45" s="320"/>
      <x:c r="E45" s="321"/>
      <x:c r="F45" s="322"/>
      <x:c r="G45" s="321"/>
      <x:c r="H45" s="323"/>
      <x:c r="I45" s="337" t="str">
        <x:f t="shared" si="0"/>
      </x:c>
      <x:c r="J45" s="324"/>
      <x:c r="K45" s="336" t="str">
        <x:f t="shared" si="4"/>
      </x:c>
      <x:c r="L45" s="335" t="str">
        <x:f t="shared" si="5"/>
      </x:c>
      <x:c r="M45" s="324"/>
      <x:c r="N45" s="336" t="str">
        <x:f t="shared" si="6"/>
      </x:c>
      <x:c r="O45" s="337" t="str">
        <x:f t="shared" si="1"/>
      </x:c>
      <x:c r="P45" s="324"/>
      <x:c r="Q45" s="336" t="str">
        <x:f t="shared" si="7"/>
      </x:c>
      <x:c r="R45" s="339" t="str">
        <x:f t="shared" si="2"/>
      </x:c>
      <x:c r="S45" s="324"/>
      <x:c r="T45" s="336" t="str">
        <x:f t="shared" si="8"/>
      </x:c>
      <x:c r="U45" s="325"/>
      <x:c r="V45" s="340" t="str">
        <x:f>IF(OR(D45="",U45="",$C$5="",$C$6=""),"",IF(U45="Target Hit",IF(D45="Buy",(F45-E45)*($C$5/2)*$C$6,(E45-F45)*($C$5/2)*$C$6),IF(U45="Target Hit",IF(D45="Buy",(F45-E45)*($C$5/2)*$C$6,(E45-F45)*($C$5/2)*$C$6),IF(U45="Rollover",IF(D45="Buy",(Z45-E45)*($C$5/2)*$C$6,(E45-Z45)*($C$5/2)*$C$6),IF(U45="Stoploss 1 Hit",IF(K45="","",IF(D45="Buy",(K45-E45)*$C$5*$C$6,(E45-K45)*$C$5*$C$6)),IF(OR(U45="Gap Down Stoploss 1 Hit",U45="Gap Up Stoploss 1 Hit"),IF(Q45="","",IF(D45="Buy",(Q45-E45)*$C$5*$C$6,(E45-Q45)*$C$5*$C$6)),0))))))</x:f>
      </x:c>
      <x:c r="W45" s="326"/>
      <x:c r="X45" s="341" t="str">
        <x:f>IF(D45="","",IF(U45="Target Hit",IF(W45="Stoploss 2 Hit",IF(N45="","",IF(D45="Buy",(N45-E45)*($C$5/2)*$C$6,(E45-N45)*($C$5/2)*$C$6)),IF(U45="Target Hit",IF(W45="Rollover",IF(Z45="","",IF(D45="Buy",(Z45-E45)*($C$5/2)*$C$6,(E45-Z45)*($C$5/2)*$C$6)),IF(W45="Gap Down Stoploss 2 Hit",IF(T45="","",IF(D45="Buy",(T45-E45)*($C$5/2)*$C$6,(E45-T45)*($C$5/2)*$C$6)),IF(W45="Gap Up Stoploss 2 Hit",IF(T45="","",IF(D45="Buy",(T45-E45)*($C$5/2)*$C$6,(E45-T45)*($C$5/2)*$C$6)),0))),0))))</x:f>
      </x:c>
      <x:c r="Y45" s="343" t="str">
        <x:f t="shared" si="3"/>
      </x:c>
      <x:c r="Z45" s="327"/>
    </x:row>
    <x:row r="46">
      <x:c r="A46" s="35">
        <x:v>34</x:v>
      </x:c>
      <x:c r="B46" s="318"/>
      <x:c r="C46" s="319"/>
      <x:c r="D46" s="320"/>
      <x:c r="E46" s="321"/>
      <x:c r="F46" s="322"/>
      <x:c r="G46" s="321"/>
      <x:c r="H46" s="323"/>
      <x:c r="I46" s="337" t="str">
        <x:f t="shared" si="0"/>
      </x:c>
      <x:c r="J46" s="324"/>
      <x:c r="K46" s="336" t="str">
        <x:f t="shared" ref="K46:K77" si="9">IF(OR(D46="",E46="",J46=""),"",IF(D46="Buy",MROUND(MAX(E46*(1-1.25%),J46*(1-0.125%)),1),MROUND(MIN(E46*(1+1.25%),J46*(1+0.125%)),1)))</x:f>
      </x:c>
      <x:c r="L46" s="335" t="str">
        <x:f t="shared" ref="L46:L77" si="10">IF(D46="Buy","Enter New 3DLL",IF(D46="Sell","Enter New 3DHH",""))</x:f>
      </x:c>
      <x:c r="M46" s="324"/>
      <x:c r="N46" s="336" t="str">
        <x:f t="shared" ref="N46:N77" si="11">IF(OR(D46="",E46="",M46=""),"",IF(D46="Buy",MROUND(MAX(E46*(1-1.25%),M46*(1-0.125%)),1),MROUND(MIN(E46*(1+1.25%),M46*(1+0.125%)),1)))</x:f>
      </x:c>
      <x:c r="O46" s="337" t="str">
        <x:f t="shared" si="1"/>
      </x:c>
      <x:c r="P46" s="324"/>
      <x:c r="Q46" s="336" t="str">
        <x:f t="shared" ref="Q46:Q77" si="12">IF(OR(D46="",P46=""),"",IF(D46="Buy",MROUND(P46*(1-0.125%),1),MROUND(P46*(1+0.125%),1)))</x:f>
      </x:c>
      <x:c r="R46" s="339" t="str">
        <x:f t="shared" si="2"/>
      </x:c>
      <x:c r="S46" s="324"/>
      <x:c r="T46" s="336" t="str">
        <x:f t="shared" ref="T46:T77" si="13">IF(OR(D46="",S46=""),"",IF(D46="Buy",MROUND(S46*(1-0.125%),1),MROUND(S46*(1+0.125%),1)))</x:f>
      </x:c>
      <x:c r="U46" s="325"/>
      <x:c r="V46" s="340" t="str">
        <x:f>IF(OR(D46="",U46="",$C$5="",$C$6=""),"",IF(U46="Target Hit",IF(D46="Buy",(F46-E46)*($C$5/2)*$C$6,(E46-F46)*($C$5/2)*$C$6),IF(U46="Target Hit",IF(D46="Buy",(F46-E46)*($C$5/2)*$C$6,(E46-F46)*($C$5/2)*$C$6),IF(U46="Rollover",IF(D46="Buy",(Z46-E46)*($C$5/2)*$C$6,(E46-Z46)*($C$5/2)*$C$6),IF(U46="Stoploss 1 Hit",IF(K46="","",IF(D46="Buy",(K46-E46)*$C$5*$C$6,(E46-K46)*$C$5*$C$6)),IF(OR(U46="Gap Down Stoploss 1 Hit",U46="Gap Up Stoploss 1 Hit"),IF(Q46="","",IF(D46="Buy",(Q46-E46)*$C$5*$C$6,(E46-Q46)*$C$5*$C$6)),0))))))</x:f>
      </x:c>
      <x:c r="W46" s="326"/>
      <x:c r="X46" s="341" t="str">
        <x:f>IF(D46="","",IF(U46="Target Hit",IF(W46="Stoploss 2 Hit",IF(N46="","",IF(D46="Buy",(N46-E46)*($C$5/2)*$C$6,(E46-N46)*($C$5/2)*$C$6)),IF(U46="Target Hit",IF(W46="Rollover",IF(Z46="","",IF(D46="Buy",(Z46-E46)*($C$5/2)*$C$6,(E46-Z46)*($C$5/2)*$C$6)),IF(W46="Gap Down Stoploss 2 Hit",IF(T46="","",IF(D46="Buy",(T46-E46)*($C$5/2)*$C$6,(E46-T46)*($C$5/2)*$C$6)),IF(W46="Gap Up Stoploss 2 Hit",IF(T46="","",IF(D46="Buy",(T46-E46)*($C$5/2)*$C$6,(E46-T46)*($C$5/2)*$C$6)),0))),0))))</x:f>
      </x:c>
      <x:c r="Y46" s="343" t="str">
        <x:f t="shared" si="3"/>
      </x:c>
      <x:c r="Z46" s="327"/>
    </x:row>
    <x:row r="47">
      <x:c r="A47" s="35">
        <x:v>35</x:v>
      </x:c>
      <x:c r="B47" s="318"/>
      <x:c r="C47" s="319"/>
      <x:c r="D47" s="320"/>
      <x:c r="E47" s="321"/>
      <x:c r="F47" s="322"/>
      <x:c r="G47" s="321"/>
      <x:c r="H47" s="323"/>
      <x:c r="I47" s="337" t="str">
        <x:f t="shared" si="0"/>
      </x:c>
      <x:c r="J47" s="324"/>
      <x:c r="K47" s="336" t="str">
        <x:f t="shared" si="9"/>
      </x:c>
      <x:c r="L47" s="335" t="str">
        <x:f t="shared" si="10"/>
      </x:c>
      <x:c r="M47" s="324"/>
      <x:c r="N47" s="336" t="str">
        <x:f t="shared" si="11"/>
      </x:c>
      <x:c r="O47" s="337" t="str">
        <x:f t="shared" si="1"/>
      </x:c>
      <x:c r="P47" s="324"/>
      <x:c r="Q47" s="336" t="str">
        <x:f t="shared" si="12"/>
      </x:c>
      <x:c r="R47" s="339" t="str">
        <x:f t="shared" si="2"/>
      </x:c>
      <x:c r="S47" s="324"/>
      <x:c r="T47" s="336" t="str">
        <x:f t="shared" si="13"/>
      </x:c>
      <x:c r="U47" s="325"/>
      <x:c r="V47" s="340" t="str">
        <x:f>IF(OR(D47="",U47="",$C$5="",$C$6=""),"",IF(U47="Target Hit",IF(D47="Buy",(F47-E47)*($C$5/2)*$C$6,(E47-F47)*($C$5/2)*$C$6),IF(U47="Target Hit",IF(D47="Buy",(F47-E47)*($C$5/2)*$C$6,(E47-F47)*($C$5/2)*$C$6),IF(U47="Rollover",IF(D47="Buy",(Z47-E47)*($C$5/2)*$C$6,(E47-Z47)*($C$5/2)*$C$6),IF(U47="Stoploss 1 Hit",IF(K47="","",IF(D47="Buy",(K47-E47)*$C$5*$C$6,(E47-K47)*$C$5*$C$6)),IF(OR(U47="Gap Down Stoploss 1 Hit",U47="Gap Up Stoploss 1 Hit"),IF(Q47="","",IF(D47="Buy",(Q47-E47)*$C$5*$C$6,(E47-Q47)*$C$5*$C$6)),0))))))</x:f>
      </x:c>
      <x:c r="W47" s="326"/>
      <x:c r="X47" s="341" t="str">
        <x:f>IF(D47="","",IF(U47="Target Hit",IF(W47="Stoploss 2 Hit",IF(N47="","",IF(D47="Buy",(N47-E47)*($C$5/2)*$C$6,(E47-N47)*($C$5/2)*$C$6)),IF(U47="Target Hit",IF(W47="Rollover",IF(Z47="","",IF(D47="Buy",(Z47-E47)*($C$5/2)*$C$6,(E47-Z47)*($C$5/2)*$C$6)),IF(W47="Gap Down Stoploss 2 Hit",IF(T47="","",IF(D47="Buy",(T47-E47)*($C$5/2)*$C$6,(E47-T47)*($C$5/2)*$C$6)),IF(W47="Gap Up Stoploss 2 Hit",IF(T47="","",IF(D47="Buy",(T47-E47)*($C$5/2)*$C$6,(E47-T47)*($C$5/2)*$C$6)),0))),0))))</x:f>
      </x:c>
      <x:c r="Y47" s="343" t="str">
        <x:f t="shared" si="3"/>
      </x:c>
      <x:c r="Z47" s="327"/>
    </x:row>
    <x:row r="48">
      <x:c r="A48" s="35">
        <x:v>36</x:v>
      </x:c>
      <x:c r="B48" s="318"/>
      <x:c r="C48" s="319"/>
      <x:c r="D48" s="320"/>
      <x:c r="E48" s="321"/>
      <x:c r="F48" s="322"/>
      <x:c r="G48" s="321"/>
      <x:c r="H48" s="323"/>
      <x:c r="I48" s="337" t="str">
        <x:f t="shared" si="0"/>
      </x:c>
      <x:c r="J48" s="324"/>
      <x:c r="K48" s="336" t="str">
        <x:f t="shared" si="9"/>
      </x:c>
      <x:c r="L48" s="335" t="str">
        <x:f t="shared" si="10"/>
      </x:c>
      <x:c r="M48" s="324"/>
      <x:c r="N48" s="336" t="str">
        <x:f t="shared" si="11"/>
      </x:c>
      <x:c r="O48" s="337" t="str">
        <x:f t="shared" si="1"/>
      </x:c>
      <x:c r="P48" s="324"/>
      <x:c r="Q48" s="336" t="str">
        <x:f t="shared" si="12"/>
      </x:c>
      <x:c r="R48" s="339" t="str">
        <x:f t="shared" si="2"/>
      </x:c>
      <x:c r="S48" s="324"/>
      <x:c r="T48" s="336" t="str">
        <x:f t="shared" si="13"/>
      </x:c>
      <x:c r="U48" s="325"/>
      <x:c r="V48" s="340" t="str">
        <x:f>IF(OR(D48="",U48="",$C$5="",$C$6=""),"",IF(U48="Target Hit",IF(D48="Buy",(F48-E48)*($C$5/2)*$C$6,(E48-F48)*($C$5/2)*$C$6),IF(U48="Target Hit",IF(D48="Buy",(F48-E48)*($C$5/2)*$C$6,(E48-F48)*($C$5/2)*$C$6),IF(U48="Rollover",IF(D48="Buy",(Z48-E48)*($C$5/2)*$C$6,(E48-Z48)*($C$5/2)*$C$6),IF(U48="Stoploss 1 Hit",IF(K48="","",IF(D48="Buy",(K48-E48)*$C$5*$C$6,(E48-K48)*$C$5*$C$6)),IF(OR(U48="Gap Down Stoploss 1 Hit",U48="Gap Up Stoploss 1 Hit"),IF(Q48="","",IF(D48="Buy",(Q48-E48)*$C$5*$C$6,(E48-Q48)*$C$5*$C$6)),0))))))</x:f>
      </x:c>
      <x:c r="W48" s="326"/>
      <x:c r="X48" s="341" t="str">
        <x:f>IF(D48="","",IF(U48="Target Hit",IF(W48="Stoploss 2 Hit",IF(N48="","",IF(D48="Buy",(N48-E48)*($C$5/2)*$C$6,(E48-N48)*($C$5/2)*$C$6)),IF(U48="Target Hit",IF(W48="Rollover",IF(Z48="","",IF(D48="Buy",(Z48-E48)*($C$5/2)*$C$6,(E48-Z48)*($C$5/2)*$C$6)),IF(W48="Gap Down Stoploss 2 Hit",IF(T48="","",IF(D48="Buy",(T48-E48)*($C$5/2)*$C$6,(E48-T48)*($C$5/2)*$C$6)),IF(W48="Gap Up Stoploss 2 Hit",IF(T48="","",IF(D48="Buy",(T48-E48)*($C$5/2)*$C$6,(E48-T48)*($C$5/2)*$C$6)),0))),0))))</x:f>
      </x:c>
      <x:c r="Y48" s="343" t="str">
        <x:f t="shared" si="3"/>
      </x:c>
      <x:c r="Z48" s="327"/>
    </x:row>
    <x:row r="49">
      <x:c r="A49" s="35">
        <x:v>37</x:v>
      </x:c>
      <x:c r="B49" s="318"/>
      <x:c r="C49" s="319"/>
      <x:c r="D49" s="320"/>
      <x:c r="E49" s="321"/>
      <x:c r="F49" s="322"/>
      <x:c r="G49" s="321"/>
      <x:c r="H49" s="323"/>
      <x:c r="I49" s="337" t="str">
        <x:f t="shared" si="0"/>
      </x:c>
      <x:c r="J49" s="324"/>
      <x:c r="K49" s="336" t="str">
        <x:f t="shared" si="9"/>
      </x:c>
      <x:c r="L49" s="335" t="str">
        <x:f t="shared" si="10"/>
      </x:c>
      <x:c r="M49" s="324"/>
      <x:c r="N49" s="336" t="str">
        <x:f t="shared" si="11"/>
      </x:c>
      <x:c r="O49" s="337" t="str">
        <x:f t="shared" si="1"/>
      </x:c>
      <x:c r="P49" s="324"/>
      <x:c r="Q49" s="336" t="str">
        <x:f t="shared" si="12"/>
      </x:c>
      <x:c r="R49" s="339" t="str">
        <x:f t="shared" si="2"/>
      </x:c>
      <x:c r="S49" s="324"/>
      <x:c r="T49" s="336" t="str">
        <x:f t="shared" si="13"/>
      </x:c>
      <x:c r="U49" s="325"/>
      <x:c r="V49" s="340" t="str">
        <x:f>IF(OR(D49="",U49="",$C$5="",$C$6=""),"",IF(U49="Target Hit",IF(D49="Buy",(F49-E49)*($C$5/2)*$C$6,(E49-F49)*($C$5/2)*$C$6),IF(U49="Target Hit",IF(D49="Buy",(F49-E49)*($C$5/2)*$C$6,(E49-F49)*($C$5/2)*$C$6),IF(U49="Rollover",IF(D49="Buy",(Z49-E49)*($C$5/2)*$C$6,(E49-Z49)*($C$5/2)*$C$6),IF(U49="Stoploss 1 Hit",IF(K49="","",IF(D49="Buy",(K49-E49)*$C$5*$C$6,(E49-K49)*$C$5*$C$6)),IF(OR(U49="Gap Down Stoploss 1 Hit",U49="Gap Up Stoploss 1 Hit"),IF(Q49="","",IF(D49="Buy",(Q49-E49)*$C$5*$C$6,(E49-Q49)*$C$5*$C$6)),0))))))</x:f>
      </x:c>
      <x:c r="W49" s="326"/>
      <x:c r="X49" s="341" t="str">
        <x:f>IF(D49="","",IF(U49="Target Hit",IF(W49="Stoploss 2 Hit",IF(N49="","",IF(D49="Buy",(N49-E49)*($C$5/2)*$C$6,(E49-N49)*($C$5/2)*$C$6)),IF(U49="Target Hit",IF(W49="Rollover",IF(Z49="","",IF(D49="Buy",(Z49-E49)*($C$5/2)*$C$6,(E49-Z49)*($C$5/2)*$C$6)),IF(W49="Gap Down Stoploss 2 Hit",IF(T49="","",IF(D49="Buy",(T49-E49)*($C$5/2)*$C$6,(E49-T49)*($C$5/2)*$C$6)),IF(W49="Gap Up Stoploss 2 Hit",IF(T49="","",IF(D49="Buy",(T49-E49)*($C$5/2)*$C$6,(E49-T49)*($C$5/2)*$C$6)),0))),0))))</x:f>
      </x:c>
      <x:c r="Y49" s="343" t="str">
        <x:f t="shared" si="3"/>
      </x:c>
      <x:c r="Z49" s="327"/>
    </x:row>
    <x:row r="50">
      <x:c r="A50" s="35">
        <x:v>38</x:v>
      </x:c>
      <x:c r="B50" s="318"/>
      <x:c r="C50" s="319"/>
      <x:c r="D50" s="320"/>
      <x:c r="E50" s="321"/>
      <x:c r="F50" s="322"/>
      <x:c r="G50" s="321"/>
      <x:c r="H50" s="323"/>
      <x:c r="I50" s="337" t="str">
        <x:f t="shared" si="0"/>
      </x:c>
      <x:c r="J50" s="324"/>
      <x:c r="K50" s="336" t="str">
        <x:f t="shared" si="9"/>
      </x:c>
      <x:c r="L50" s="335" t="str">
        <x:f t="shared" si="10"/>
      </x:c>
      <x:c r="M50" s="324"/>
      <x:c r="N50" s="336" t="str">
        <x:f t="shared" si="11"/>
      </x:c>
      <x:c r="O50" s="337" t="str">
        <x:f t="shared" si="1"/>
      </x:c>
      <x:c r="P50" s="324"/>
      <x:c r="Q50" s="336" t="str">
        <x:f t="shared" si="12"/>
      </x:c>
      <x:c r="R50" s="339" t="str">
        <x:f t="shared" si="2"/>
      </x:c>
      <x:c r="S50" s="324"/>
      <x:c r="T50" s="336" t="str">
        <x:f t="shared" si="13"/>
      </x:c>
      <x:c r="U50" s="325"/>
      <x:c r="V50" s="340" t="str">
        <x:f>IF(OR(D50="",U50="",$C$5="",$C$6=""),"",IF(U50="Target Hit",IF(D50="Buy",(F50-E50)*($C$5/2)*$C$6,(E50-F50)*($C$5/2)*$C$6),IF(U50="Target Hit",IF(D50="Buy",(F50-E50)*($C$5/2)*$C$6,(E50-F50)*($C$5/2)*$C$6),IF(U50="Rollover",IF(D50="Buy",(Z50-E50)*($C$5/2)*$C$6,(E50-Z50)*($C$5/2)*$C$6),IF(U50="Stoploss 1 Hit",IF(K50="","",IF(D50="Buy",(K50-E50)*$C$5*$C$6,(E50-K50)*$C$5*$C$6)),IF(OR(U50="Gap Down Stoploss 1 Hit",U50="Gap Up Stoploss 1 Hit"),IF(Q50="","",IF(D50="Buy",(Q50-E50)*$C$5*$C$6,(E50-Q50)*$C$5*$C$6)),0))))))</x:f>
      </x:c>
      <x:c r="W50" s="326"/>
      <x:c r="X50" s="341" t="str">
        <x:f>IF(D50="","",IF(U50="Target Hit",IF(W50="Stoploss 2 Hit",IF(N50="","",IF(D50="Buy",(N50-E50)*($C$5/2)*$C$6,(E50-N50)*($C$5/2)*$C$6)),IF(U50="Target Hit",IF(W50="Rollover",IF(Z50="","",IF(D50="Buy",(Z50-E50)*($C$5/2)*$C$6,(E50-Z50)*($C$5/2)*$C$6)),IF(W50="Gap Down Stoploss 2 Hit",IF(T50="","",IF(D50="Buy",(T50-E50)*($C$5/2)*$C$6,(E50-T50)*($C$5/2)*$C$6)),IF(W50="Gap Up Stoploss 2 Hit",IF(T50="","",IF(D50="Buy",(T50-E50)*($C$5/2)*$C$6,(E50-T50)*($C$5/2)*$C$6)),0))),0))))</x:f>
      </x:c>
      <x:c r="Y50" s="343" t="str">
        <x:f t="shared" si="3"/>
      </x:c>
      <x:c r="Z50" s="327"/>
    </x:row>
    <x:row r="51">
      <x:c r="A51" s="35">
        <x:v>39</x:v>
      </x:c>
      <x:c r="B51" s="318"/>
      <x:c r="C51" s="319"/>
      <x:c r="D51" s="320"/>
      <x:c r="E51" s="321"/>
      <x:c r="F51" s="322"/>
      <x:c r="G51" s="321"/>
      <x:c r="H51" s="323"/>
      <x:c r="I51" s="337" t="str">
        <x:f t="shared" si="0"/>
      </x:c>
      <x:c r="J51" s="324"/>
      <x:c r="K51" s="336" t="str">
        <x:f t="shared" si="9"/>
      </x:c>
      <x:c r="L51" s="335" t="str">
        <x:f t="shared" si="10"/>
      </x:c>
      <x:c r="M51" s="324"/>
      <x:c r="N51" s="336" t="str">
        <x:f t="shared" si="11"/>
      </x:c>
      <x:c r="O51" s="337" t="str">
        <x:f t="shared" si="1"/>
      </x:c>
      <x:c r="P51" s="324"/>
      <x:c r="Q51" s="336" t="str">
        <x:f t="shared" si="12"/>
      </x:c>
      <x:c r="R51" s="339" t="str">
        <x:f t="shared" si="2"/>
      </x:c>
      <x:c r="S51" s="324"/>
      <x:c r="T51" s="336" t="str">
        <x:f t="shared" si="13"/>
      </x:c>
      <x:c r="U51" s="325"/>
      <x:c r="V51" s="340" t="str">
        <x:f>IF(OR(D51="",U51="",$C$5="",$C$6=""),"",IF(U51="Target Hit",IF(D51="Buy",(F51-E51)*($C$5/2)*$C$6,(E51-F51)*($C$5/2)*$C$6),IF(U51="Target Hit",IF(D51="Buy",(F51-E51)*($C$5/2)*$C$6,(E51-F51)*($C$5/2)*$C$6),IF(U51="Rollover",IF(D51="Buy",(Z51-E51)*($C$5/2)*$C$6,(E51-Z51)*($C$5/2)*$C$6),IF(U51="Stoploss 1 Hit",IF(K51="","",IF(D51="Buy",(K51-E51)*$C$5*$C$6,(E51-K51)*$C$5*$C$6)),IF(OR(U51="Gap Down Stoploss 1 Hit",U51="Gap Up Stoploss 1 Hit"),IF(Q51="","",IF(D51="Buy",(Q51-E51)*$C$5*$C$6,(E51-Q51)*$C$5*$C$6)),0))))))</x:f>
      </x:c>
      <x:c r="W51" s="326"/>
      <x:c r="X51" s="341" t="str">
        <x:f>IF(D51="","",IF(U51="Target Hit",IF(W51="Stoploss 2 Hit",IF(N51="","",IF(D51="Buy",(N51-E51)*($C$5/2)*$C$6,(E51-N51)*($C$5/2)*$C$6)),IF(U51="Target Hit",IF(W51="Rollover",IF(Z51="","",IF(D51="Buy",(Z51-E51)*($C$5/2)*$C$6,(E51-Z51)*($C$5/2)*$C$6)),IF(W51="Gap Down Stoploss 2 Hit",IF(T51="","",IF(D51="Buy",(T51-E51)*($C$5/2)*$C$6,(E51-T51)*($C$5/2)*$C$6)),IF(W51="Gap Up Stoploss 2 Hit",IF(T51="","",IF(D51="Buy",(T51-E51)*($C$5/2)*$C$6,(E51-T51)*($C$5/2)*$C$6)),0))),0))))</x:f>
      </x:c>
      <x:c r="Y51" s="343" t="str">
        <x:f t="shared" si="3"/>
      </x:c>
      <x:c r="Z51" s="327"/>
    </x:row>
    <x:row r="52">
      <x:c r="A52" s="35">
        <x:v>40</x:v>
      </x:c>
      <x:c r="B52" s="318"/>
      <x:c r="C52" s="319"/>
      <x:c r="D52" s="320"/>
      <x:c r="E52" s="321"/>
      <x:c r="F52" s="322"/>
      <x:c r="G52" s="321"/>
      <x:c r="H52" s="323"/>
      <x:c r="I52" s="337" t="str">
        <x:f t="shared" si="0"/>
      </x:c>
      <x:c r="J52" s="324"/>
      <x:c r="K52" s="336" t="str">
        <x:f t="shared" si="9"/>
      </x:c>
      <x:c r="L52" s="335" t="str">
        <x:f t="shared" si="10"/>
      </x:c>
      <x:c r="M52" s="324"/>
      <x:c r="N52" s="336" t="str">
        <x:f t="shared" si="11"/>
      </x:c>
      <x:c r="O52" s="337" t="str">
        <x:f t="shared" si="1"/>
      </x:c>
      <x:c r="P52" s="324"/>
      <x:c r="Q52" s="336" t="str">
        <x:f t="shared" si="12"/>
      </x:c>
      <x:c r="R52" s="339" t="str">
        <x:f t="shared" si="2"/>
      </x:c>
      <x:c r="S52" s="324"/>
      <x:c r="T52" s="336" t="str">
        <x:f t="shared" si="13"/>
      </x:c>
      <x:c r="U52" s="325"/>
      <x:c r="V52" s="340" t="str">
        <x:f>IF(OR(D52="",U52="",$C$5="",$C$6=""),"",IF(U52="Target Hit",IF(D52="Buy",(F52-E52)*($C$5/2)*$C$6,(E52-F52)*($C$5/2)*$C$6),IF(U52="Target Hit",IF(D52="Buy",(F52-E52)*($C$5/2)*$C$6,(E52-F52)*($C$5/2)*$C$6),IF(U52="Rollover",IF(D52="Buy",(Z52-E52)*($C$5/2)*$C$6,(E52-Z52)*($C$5/2)*$C$6),IF(U52="Stoploss 1 Hit",IF(K52="","",IF(D52="Buy",(K52-E52)*$C$5*$C$6,(E52-K52)*$C$5*$C$6)),IF(OR(U52="Gap Down Stoploss 1 Hit",U52="Gap Up Stoploss 1 Hit"),IF(Q52="","",IF(D52="Buy",(Q52-E52)*$C$5*$C$6,(E52-Q52)*$C$5*$C$6)),0))))))</x:f>
      </x:c>
      <x:c r="W52" s="326"/>
      <x:c r="X52" s="341" t="str">
        <x:f>IF(D52="","",IF(U52="Target Hit",IF(W52="Stoploss 2 Hit",IF(N52="","",IF(D52="Buy",(N52-E52)*($C$5/2)*$C$6,(E52-N52)*($C$5/2)*$C$6)),IF(U52="Target Hit",IF(W52="Rollover",IF(Z52="","",IF(D52="Buy",(Z52-E52)*($C$5/2)*$C$6,(E52-Z52)*($C$5/2)*$C$6)),IF(W52="Gap Down Stoploss 2 Hit",IF(T52="","",IF(D52="Buy",(T52-E52)*($C$5/2)*$C$6,(E52-T52)*($C$5/2)*$C$6)),IF(W52="Gap Up Stoploss 2 Hit",IF(T52="","",IF(D52="Buy",(T52-E52)*($C$5/2)*$C$6,(E52-T52)*($C$5/2)*$C$6)),0))),0))))</x:f>
      </x:c>
      <x:c r="Y52" s="343" t="str">
        <x:f t="shared" si="3"/>
      </x:c>
      <x:c r="Z52" s="327"/>
    </x:row>
    <x:row r="53">
      <x:c r="A53" s="35">
        <x:v>41</x:v>
      </x:c>
      <x:c r="B53" s="318"/>
      <x:c r="C53" s="319"/>
      <x:c r="D53" s="320"/>
      <x:c r="E53" s="321"/>
      <x:c r="F53" s="322"/>
      <x:c r="G53" s="321"/>
      <x:c r="H53" s="323"/>
      <x:c r="I53" s="337" t="str">
        <x:f t="shared" si="0"/>
      </x:c>
      <x:c r="J53" s="324"/>
      <x:c r="K53" s="336" t="str">
        <x:f t="shared" si="9"/>
      </x:c>
      <x:c r="L53" s="335" t="str">
        <x:f t="shared" si="10"/>
      </x:c>
      <x:c r="M53" s="324"/>
      <x:c r="N53" s="336" t="str">
        <x:f t="shared" si="11"/>
      </x:c>
      <x:c r="O53" s="337" t="str">
        <x:f t="shared" si="1"/>
      </x:c>
      <x:c r="P53" s="324"/>
      <x:c r="Q53" s="336" t="str">
        <x:f t="shared" si="12"/>
      </x:c>
      <x:c r="R53" s="339" t="str">
        <x:f t="shared" si="2"/>
      </x:c>
      <x:c r="S53" s="324"/>
      <x:c r="T53" s="336" t="str">
        <x:f t="shared" si="13"/>
      </x:c>
      <x:c r="U53" s="325"/>
      <x:c r="V53" s="340" t="str">
        <x:f>IF(OR(D53="",U53="",$C$5="",$C$6=""),"",IF(U53="Target Hit",IF(D53="Buy",(F53-E53)*($C$5/2)*$C$6,(E53-F53)*($C$5/2)*$C$6),IF(U53="Target Hit",IF(D53="Buy",(F53-E53)*($C$5/2)*$C$6,(E53-F53)*($C$5/2)*$C$6),IF(U53="Rollover",IF(D53="Buy",(Z53-E53)*($C$5/2)*$C$6,(E53-Z53)*($C$5/2)*$C$6),IF(U53="Stoploss 1 Hit",IF(K53="","",IF(D53="Buy",(K53-E53)*$C$5*$C$6,(E53-K53)*$C$5*$C$6)),IF(OR(U53="Gap Down Stoploss 1 Hit",U53="Gap Up Stoploss 1 Hit"),IF(Q53="","",IF(D53="Buy",(Q53-E53)*$C$5*$C$6,(E53-Q53)*$C$5*$C$6)),0))))))</x:f>
      </x:c>
      <x:c r="W53" s="326"/>
      <x:c r="X53" s="341" t="str">
        <x:f>IF(D53="","",IF(U53="Target Hit",IF(W53="Stoploss 2 Hit",IF(N53="","",IF(D53="Buy",(N53-E53)*($C$5/2)*$C$6,(E53-N53)*($C$5/2)*$C$6)),IF(U53="Target Hit",IF(W53="Rollover",IF(Z53="","",IF(D53="Buy",(Z53-E53)*($C$5/2)*$C$6,(E53-Z53)*($C$5/2)*$C$6)),IF(W53="Gap Down Stoploss 2 Hit",IF(T53="","",IF(D53="Buy",(T53-E53)*($C$5/2)*$C$6,(E53-T53)*($C$5/2)*$C$6)),IF(W53="Gap Up Stoploss 2 Hit",IF(T53="","",IF(D53="Buy",(T53-E53)*($C$5/2)*$C$6,(E53-T53)*($C$5/2)*$C$6)),0))),0))))</x:f>
      </x:c>
      <x:c r="Y53" s="343" t="str">
        <x:f t="shared" si="3"/>
      </x:c>
      <x:c r="Z53" s="327"/>
    </x:row>
    <x:row r="54">
      <x:c r="A54" s="35">
        <x:v>42</x:v>
      </x:c>
      <x:c r="B54" s="318"/>
      <x:c r="C54" s="319"/>
      <x:c r="D54" s="320"/>
      <x:c r="E54" s="321"/>
      <x:c r="F54" s="322"/>
      <x:c r="G54" s="321"/>
      <x:c r="H54" s="323"/>
      <x:c r="I54" s="337" t="str">
        <x:f t="shared" si="0"/>
      </x:c>
      <x:c r="J54" s="324"/>
      <x:c r="K54" s="336" t="str">
        <x:f t="shared" si="9"/>
      </x:c>
      <x:c r="L54" s="335" t="str">
        <x:f t="shared" si="10"/>
      </x:c>
      <x:c r="M54" s="324"/>
      <x:c r="N54" s="336" t="str">
        <x:f t="shared" si="11"/>
      </x:c>
      <x:c r="O54" s="337" t="str">
        <x:f t="shared" si="1"/>
      </x:c>
      <x:c r="P54" s="324"/>
      <x:c r="Q54" s="336" t="str">
        <x:f t="shared" si="12"/>
      </x:c>
      <x:c r="R54" s="339" t="str">
        <x:f t="shared" si="2"/>
      </x:c>
      <x:c r="S54" s="324"/>
      <x:c r="T54" s="336" t="str">
        <x:f t="shared" si="13"/>
      </x:c>
      <x:c r="U54" s="325"/>
      <x:c r="V54" s="340" t="str">
        <x:f>IF(OR(D54="",U54="",$C$5="",$C$6=""),"",IF(U54="Target Hit",IF(D54="Buy",(F54-E54)*($C$5/2)*$C$6,(E54-F54)*($C$5/2)*$C$6),IF(U54="Target Hit",IF(D54="Buy",(F54-E54)*($C$5/2)*$C$6,(E54-F54)*($C$5/2)*$C$6),IF(U54="Rollover",IF(D54="Buy",(Z54-E54)*($C$5/2)*$C$6,(E54-Z54)*($C$5/2)*$C$6),IF(U54="Stoploss 1 Hit",IF(K54="","",IF(D54="Buy",(K54-E54)*$C$5*$C$6,(E54-K54)*$C$5*$C$6)),IF(OR(U54="Gap Down Stoploss 1 Hit",U54="Gap Up Stoploss 1 Hit"),IF(Q54="","",IF(D54="Buy",(Q54-E54)*$C$5*$C$6,(E54-Q54)*$C$5*$C$6)),0))))))</x:f>
      </x:c>
      <x:c r="W54" s="326"/>
      <x:c r="X54" s="341" t="str">
        <x:f>IF(D54="","",IF(U54="Target Hit",IF(W54="Stoploss 2 Hit",IF(N54="","",IF(D54="Buy",(N54-E54)*($C$5/2)*$C$6,(E54-N54)*($C$5/2)*$C$6)),IF(U54="Target Hit",IF(W54="Rollover",IF(Z54="","",IF(D54="Buy",(Z54-E54)*($C$5/2)*$C$6,(E54-Z54)*($C$5/2)*$C$6)),IF(W54="Gap Down Stoploss 2 Hit",IF(T54="","",IF(D54="Buy",(T54-E54)*($C$5/2)*$C$6,(E54-T54)*($C$5/2)*$C$6)),IF(W54="Gap Up Stoploss 2 Hit",IF(T54="","",IF(D54="Buy",(T54-E54)*($C$5/2)*$C$6,(E54-T54)*($C$5/2)*$C$6)),0))),0))))</x:f>
      </x:c>
      <x:c r="Y54" s="343" t="str">
        <x:f t="shared" si="3"/>
      </x:c>
      <x:c r="Z54" s="327"/>
    </x:row>
    <x:row r="55">
      <x:c r="A55" s="35">
        <x:v>43</x:v>
      </x:c>
      <x:c r="B55" s="318"/>
      <x:c r="C55" s="319"/>
      <x:c r="D55" s="320"/>
      <x:c r="E55" s="321"/>
      <x:c r="F55" s="322"/>
      <x:c r="G55" s="321"/>
      <x:c r="H55" s="323"/>
      <x:c r="I55" s="337" t="str">
        <x:f t="shared" si="0"/>
      </x:c>
      <x:c r="J55" s="324"/>
      <x:c r="K55" s="336" t="str">
        <x:f t="shared" si="9"/>
      </x:c>
      <x:c r="L55" s="335" t="str">
        <x:f t="shared" si="10"/>
      </x:c>
      <x:c r="M55" s="324"/>
      <x:c r="N55" s="336" t="str">
        <x:f t="shared" si="11"/>
      </x:c>
      <x:c r="O55" s="337" t="str">
        <x:f t="shared" si="1"/>
      </x:c>
      <x:c r="P55" s="324"/>
      <x:c r="Q55" s="336" t="str">
        <x:f t="shared" si="12"/>
      </x:c>
      <x:c r="R55" s="339" t="str">
        <x:f t="shared" si="2"/>
      </x:c>
      <x:c r="S55" s="324"/>
      <x:c r="T55" s="336" t="str">
        <x:f t="shared" si="13"/>
      </x:c>
      <x:c r="U55" s="325"/>
      <x:c r="V55" s="340" t="str">
        <x:f>IF(OR(D55="",U55="",$C$5="",$C$6=""),"",IF(U55="Target Hit",IF(D55="Buy",(F55-E55)*($C$5/2)*$C$6,(E55-F55)*($C$5/2)*$C$6),IF(U55="Target Hit",IF(D55="Buy",(F55-E55)*($C$5/2)*$C$6,(E55-F55)*($C$5/2)*$C$6),IF(U55="Rollover",IF(D55="Buy",(Z55-E55)*($C$5/2)*$C$6,(E55-Z55)*($C$5/2)*$C$6),IF(U55="Stoploss 1 Hit",IF(K55="","",IF(D55="Buy",(K55-E55)*$C$5*$C$6,(E55-K55)*$C$5*$C$6)),IF(OR(U55="Gap Down Stoploss 1 Hit",U55="Gap Up Stoploss 1 Hit"),IF(Q55="","",IF(D55="Buy",(Q55-E55)*$C$5*$C$6,(E55-Q55)*$C$5*$C$6)),0))))))</x:f>
      </x:c>
      <x:c r="W55" s="326"/>
      <x:c r="X55" s="341" t="str">
        <x:f>IF(D55="","",IF(U55="Target Hit",IF(W55="Stoploss 2 Hit",IF(N55="","",IF(D55="Buy",(N55-E55)*($C$5/2)*$C$6,(E55-N55)*($C$5/2)*$C$6)),IF(U55="Target Hit",IF(W55="Rollover",IF(Z55="","",IF(D55="Buy",(Z55-E55)*($C$5/2)*$C$6,(E55-Z55)*($C$5/2)*$C$6)),IF(W55="Gap Down Stoploss 2 Hit",IF(T55="","",IF(D55="Buy",(T55-E55)*($C$5/2)*$C$6,(E55-T55)*($C$5/2)*$C$6)),IF(W55="Gap Up Stoploss 2 Hit",IF(T55="","",IF(D55="Buy",(T55-E55)*($C$5/2)*$C$6,(E55-T55)*($C$5/2)*$C$6)),0))),0))))</x:f>
      </x:c>
      <x:c r="Y55" s="343" t="str">
        <x:f t="shared" si="3"/>
      </x:c>
      <x:c r="Z55" s="327"/>
    </x:row>
    <x:row r="56">
      <x:c r="A56" s="35">
        <x:v>44</x:v>
      </x:c>
      <x:c r="B56" s="318"/>
      <x:c r="C56" s="319"/>
      <x:c r="D56" s="320"/>
      <x:c r="E56" s="321"/>
      <x:c r="F56" s="322"/>
      <x:c r="G56" s="321"/>
      <x:c r="H56" s="323"/>
      <x:c r="I56" s="337" t="str">
        <x:f t="shared" si="0"/>
      </x:c>
      <x:c r="J56" s="324"/>
      <x:c r="K56" s="336" t="str">
        <x:f t="shared" si="9"/>
      </x:c>
      <x:c r="L56" s="335" t="str">
        <x:f t="shared" si="10"/>
      </x:c>
      <x:c r="M56" s="324"/>
      <x:c r="N56" s="336" t="str">
        <x:f t="shared" si="11"/>
      </x:c>
      <x:c r="O56" s="337" t="str">
        <x:f t="shared" si="1"/>
      </x:c>
      <x:c r="P56" s="324"/>
      <x:c r="Q56" s="336" t="str">
        <x:f t="shared" si="12"/>
      </x:c>
      <x:c r="R56" s="339" t="str">
        <x:f t="shared" si="2"/>
      </x:c>
      <x:c r="S56" s="324"/>
      <x:c r="T56" s="336" t="str">
        <x:f t="shared" si="13"/>
      </x:c>
      <x:c r="U56" s="325"/>
      <x:c r="V56" s="340" t="str">
        <x:f>IF(OR(D56="",U56="",$C$5="",$C$6=""),"",IF(U56="Target Hit",IF(D56="Buy",(F56-E56)*($C$5/2)*$C$6,(E56-F56)*($C$5/2)*$C$6),IF(U56="Target Hit",IF(D56="Buy",(F56-E56)*($C$5/2)*$C$6,(E56-F56)*($C$5/2)*$C$6),IF(U56="Rollover",IF(D56="Buy",(Z56-E56)*($C$5/2)*$C$6,(E56-Z56)*($C$5/2)*$C$6),IF(U56="Stoploss 1 Hit",IF(K56="","",IF(D56="Buy",(K56-E56)*$C$5*$C$6,(E56-K56)*$C$5*$C$6)),IF(OR(U56="Gap Down Stoploss 1 Hit",U56="Gap Up Stoploss 1 Hit"),IF(Q56="","",IF(D56="Buy",(Q56-E56)*$C$5*$C$6,(E56-Q56)*$C$5*$C$6)),0))))))</x:f>
      </x:c>
      <x:c r="W56" s="326"/>
      <x:c r="X56" s="341" t="str">
        <x:f>IF(D56="","",IF(U56="Target Hit",IF(W56="Stoploss 2 Hit",IF(N56="","",IF(D56="Buy",(N56-E56)*($C$5/2)*$C$6,(E56-N56)*($C$5/2)*$C$6)),IF(U56="Target Hit",IF(W56="Rollover",IF(Z56="","",IF(D56="Buy",(Z56-E56)*($C$5/2)*$C$6,(E56-Z56)*($C$5/2)*$C$6)),IF(W56="Gap Down Stoploss 2 Hit",IF(T56="","",IF(D56="Buy",(T56-E56)*($C$5/2)*$C$6,(E56-T56)*($C$5/2)*$C$6)),IF(W56="Gap Up Stoploss 2 Hit",IF(T56="","",IF(D56="Buy",(T56-E56)*($C$5/2)*$C$6,(E56-T56)*($C$5/2)*$C$6)),0))),0))))</x:f>
      </x:c>
      <x:c r="Y56" s="343" t="str">
        <x:f t="shared" si="3"/>
      </x:c>
      <x:c r="Z56" s="327"/>
    </x:row>
    <x:row r="57">
      <x:c r="A57" s="35">
        <x:v>45</x:v>
      </x:c>
      <x:c r="B57" s="318"/>
      <x:c r="C57" s="319"/>
      <x:c r="D57" s="320"/>
      <x:c r="E57" s="321"/>
      <x:c r="F57" s="322"/>
      <x:c r="G57" s="321"/>
      <x:c r="H57" s="323"/>
      <x:c r="I57" s="337" t="str">
        <x:f t="shared" si="0"/>
      </x:c>
      <x:c r="J57" s="324"/>
      <x:c r="K57" s="336" t="str">
        <x:f t="shared" si="9"/>
      </x:c>
      <x:c r="L57" s="335" t="str">
        <x:f t="shared" si="10"/>
      </x:c>
      <x:c r="M57" s="324"/>
      <x:c r="N57" s="336" t="str">
        <x:f t="shared" si="11"/>
      </x:c>
      <x:c r="O57" s="337" t="str">
        <x:f t="shared" si="1"/>
      </x:c>
      <x:c r="P57" s="324"/>
      <x:c r="Q57" s="336" t="str">
        <x:f t="shared" si="12"/>
      </x:c>
      <x:c r="R57" s="339" t="str">
        <x:f t="shared" si="2"/>
      </x:c>
      <x:c r="S57" s="324"/>
      <x:c r="T57" s="336" t="str">
        <x:f t="shared" si="13"/>
      </x:c>
      <x:c r="U57" s="325"/>
      <x:c r="V57" s="340" t="str">
        <x:f>IF(OR(D57="",U57="",$C$5="",$C$6=""),"",IF(U57="Target Hit",IF(D57="Buy",(F57-E57)*($C$5/2)*$C$6,(E57-F57)*($C$5/2)*$C$6),IF(U57="Target Hit",IF(D57="Buy",(F57-E57)*($C$5/2)*$C$6,(E57-F57)*($C$5/2)*$C$6),IF(U57="Rollover",IF(D57="Buy",(Z57-E57)*($C$5/2)*$C$6,(E57-Z57)*($C$5/2)*$C$6),IF(U57="Stoploss 1 Hit",IF(K57="","",IF(D57="Buy",(K57-E57)*$C$5*$C$6,(E57-K57)*$C$5*$C$6)),IF(OR(U57="Gap Down Stoploss 1 Hit",U57="Gap Up Stoploss 1 Hit"),IF(Q57="","",IF(D57="Buy",(Q57-E57)*$C$5*$C$6,(E57-Q57)*$C$5*$C$6)),0))))))</x:f>
      </x:c>
      <x:c r="W57" s="326"/>
      <x:c r="X57" s="341" t="str">
        <x:f>IF(D57="","",IF(U57="Target Hit",IF(W57="Stoploss 2 Hit",IF(N57="","",IF(D57="Buy",(N57-E57)*($C$5/2)*$C$6,(E57-N57)*($C$5/2)*$C$6)),IF(U57="Target Hit",IF(W57="Rollover",IF(Z57="","",IF(D57="Buy",(Z57-E57)*($C$5/2)*$C$6,(E57-Z57)*($C$5/2)*$C$6)),IF(W57="Gap Down Stoploss 2 Hit",IF(T57="","",IF(D57="Buy",(T57-E57)*($C$5/2)*$C$6,(E57-T57)*($C$5/2)*$C$6)),IF(W57="Gap Up Stoploss 2 Hit",IF(T57="","",IF(D57="Buy",(T57-E57)*($C$5/2)*$C$6,(E57-T57)*($C$5/2)*$C$6)),0))),0))))</x:f>
      </x:c>
      <x:c r="Y57" s="343" t="str">
        <x:f t="shared" si="3"/>
      </x:c>
      <x:c r="Z57" s="327"/>
    </x:row>
    <x:row r="58">
      <x:c r="A58" s="35">
        <x:v>46</x:v>
      </x:c>
      <x:c r="B58" s="318"/>
      <x:c r="C58" s="319"/>
      <x:c r="D58" s="320"/>
      <x:c r="E58" s="321"/>
      <x:c r="F58" s="322"/>
      <x:c r="G58" s="321"/>
      <x:c r="H58" s="323"/>
      <x:c r="I58" s="337" t="str">
        <x:f t="shared" si="0"/>
      </x:c>
      <x:c r="J58" s="324"/>
      <x:c r="K58" s="336" t="str">
        <x:f t="shared" si="9"/>
      </x:c>
      <x:c r="L58" s="335" t="str">
        <x:f t="shared" si="10"/>
      </x:c>
      <x:c r="M58" s="324"/>
      <x:c r="N58" s="336" t="str">
        <x:f t="shared" si="11"/>
      </x:c>
      <x:c r="O58" s="337" t="str">
        <x:f t="shared" si="1"/>
      </x:c>
      <x:c r="P58" s="324"/>
      <x:c r="Q58" s="336" t="str">
        <x:f t="shared" si="12"/>
      </x:c>
      <x:c r="R58" s="339" t="str">
        <x:f t="shared" si="2"/>
      </x:c>
      <x:c r="S58" s="324"/>
      <x:c r="T58" s="336" t="str">
        <x:f t="shared" si="13"/>
      </x:c>
      <x:c r="U58" s="325"/>
      <x:c r="V58" s="340" t="str">
        <x:f>IF(OR(D58="",U58="",$C$5="",$C$6=""),"",IF(U58="Target Hit",IF(D58="Buy",(F58-E58)*($C$5/2)*$C$6,(E58-F58)*($C$5/2)*$C$6),IF(U58="Target Hit",IF(D58="Buy",(F58-E58)*($C$5/2)*$C$6,(E58-F58)*($C$5/2)*$C$6),IF(U58="Rollover",IF(D58="Buy",(Z58-E58)*($C$5/2)*$C$6,(E58-Z58)*($C$5/2)*$C$6),IF(U58="Stoploss 1 Hit",IF(K58="","",IF(D58="Buy",(K58-E58)*$C$5*$C$6,(E58-K58)*$C$5*$C$6)),IF(OR(U58="Gap Down Stoploss 1 Hit",U58="Gap Up Stoploss 1 Hit"),IF(Q58="","",IF(D58="Buy",(Q58-E58)*$C$5*$C$6,(E58-Q58)*$C$5*$C$6)),0))))))</x:f>
      </x:c>
      <x:c r="W58" s="326"/>
      <x:c r="X58" s="341" t="str">
        <x:f>IF(D58="","",IF(U58="Target Hit",IF(W58="Stoploss 2 Hit",IF(N58="","",IF(D58="Buy",(N58-E58)*($C$5/2)*$C$6,(E58-N58)*($C$5/2)*$C$6)),IF(U58="Target Hit",IF(W58="Rollover",IF(Z58="","",IF(D58="Buy",(Z58-E58)*($C$5/2)*$C$6,(E58-Z58)*($C$5/2)*$C$6)),IF(W58="Gap Down Stoploss 2 Hit",IF(T58="","",IF(D58="Buy",(T58-E58)*($C$5/2)*$C$6,(E58-T58)*($C$5/2)*$C$6)),IF(W58="Gap Up Stoploss 2 Hit",IF(T58="","",IF(D58="Buy",(T58-E58)*($C$5/2)*$C$6,(E58-T58)*($C$5/2)*$C$6)),0))),0))))</x:f>
      </x:c>
      <x:c r="Y58" s="343" t="str">
        <x:f t="shared" si="3"/>
      </x:c>
      <x:c r="Z58" s="327"/>
    </x:row>
    <x:row r="59">
      <x:c r="A59" s="35">
        <x:v>47</x:v>
      </x:c>
      <x:c r="B59" s="318"/>
      <x:c r="C59" s="319"/>
      <x:c r="D59" s="320"/>
      <x:c r="E59" s="321"/>
      <x:c r="F59" s="322"/>
      <x:c r="G59" s="321"/>
      <x:c r="H59" s="323"/>
      <x:c r="I59" s="337" t="str">
        <x:f t="shared" si="0"/>
      </x:c>
      <x:c r="J59" s="324"/>
      <x:c r="K59" s="336" t="str">
        <x:f t="shared" si="9"/>
      </x:c>
      <x:c r="L59" s="335" t="str">
        <x:f t="shared" si="10"/>
      </x:c>
      <x:c r="M59" s="324"/>
      <x:c r="N59" s="336" t="str">
        <x:f t="shared" si="11"/>
      </x:c>
      <x:c r="O59" s="337" t="str">
        <x:f t="shared" si="1"/>
      </x:c>
      <x:c r="P59" s="324"/>
      <x:c r="Q59" s="336" t="str">
        <x:f t="shared" si="12"/>
      </x:c>
      <x:c r="R59" s="339" t="str">
        <x:f t="shared" si="2"/>
      </x:c>
      <x:c r="S59" s="324"/>
      <x:c r="T59" s="336" t="str">
        <x:f t="shared" si="13"/>
      </x:c>
      <x:c r="U59" s="325"/>
      <x:c r="V59" s="340" t="str">
        <x:f>IF(OR(D59="",U59="",$C$5="",$C$6=""),"",IF(U59="Target Hit",IF(D59="Buy",(F59-E59)*($C$5/2)*$C$6,(E59-F59)*($C$5/2)*$C$6),IF(U59="Target Hit",IF(D59="Buy",(F59-E59)*($C$5/2)*$C$6,(E59-F59)*($C$5/2)*$C$6),IF(U59="Rollover",IF(D59="Buy",(Z59-E59)*($C$5/2)*$C$6,(E59-Z59)*($C$5/2)*$C$6),IF(U59="Stoploss 1 Hit",IF(K59="","",IF(D59="Buy",(K59-E59)*$C$5*$C$6,(E59-K59)*$C$5*$C$6)),IF(OR(U59="Gap Down Stoploss 1 Hit",U59="Gap Up Stoploss 1 Hit"),IF(Q59="","",IF(D59="Buy",(Q59-E59)*$C$5*$C$6,(E59-Q59)*$C$5*$C$6)),0))))))</x:f>
      </x:c>
      <x:c r="W59" s="326"/>
      <x:c r="X59" s="341" t="str">
        <x:f>IF(D59="","",IF(U59="Target Hit",IF(W59="Stoploss 2 Hit",IF(N59="","",IF(D59="Buy",(N59-E59)*($C$5/2)*$C$6,(E59-N59)*($C$5/2)*$C$6)),IF(U59="Target Hit",IF(W59="Rollover",IF(Z59="","",IF(D59="Buy",(Z59-E59)*($C$5/2)*$C$6,(E59-Z59)*($C$5/2)*$C$6)),IF(W59="Gap Down Stoploss 2 Hit",IF(T59="","",IF(D59="Buy",(T59-E59)*($C$5/2)*$C$6,(E59-T59)*($C$5/2)*$C$6)),IF(W59="Gap Up Stoploss 2 Hit",IF(T59="","",IF(D59="Buy",(T59-E59)*($C$5/2)*$C$6,(E59-T59)*($C$5/2)*$C$6)),0))),0))))</x:f>
      </x:c>
      <x:c r="Y59" s="343" t="str">
        <x:f t="shared" si="3"/>
      </x:c>
      <x:c r="Z59" s="327"/>
    </x:row>
    <x:row r="60">
      <x:c r="A60" s="35">
        <x:v>48</x:v>
      </x:c>
      <x:c r="B60" s="318"/>
      <x:c r="C60" s="319"/>
      <x:c r="D60" s="320"/>
      <x:c r="E60" s="321"/>
      <x:c r="F60" s="322"/>
      <x:c r="G60" s="321"/>
      <x:c r="H60" s="323"/>
      <x:c r="I60" s="337" t="str">
        <x:f t="shared" si="0"/>
      </x:c>
      <x:c r="J60" s="324"/>
      <x:c r="K60" s="336" t="str">
        <x:f t="shared" si="9"/>
      </x:c>
      <x:c r="L60" s="335" t="str">
        <x:f t="shared" si="10"/>
      </x:c>
      <x:c r="M60" s="324"/>
      <x:c r="N60" s="336" t="str">
        <x:f t="shared" si="11"/>
      </x:c>
      <x:c r="O60" s="337" t="str">
        <x:f t="shared" si="1"/>
      </x:c>
      <x:c r="P60" s="324"/>
      <x:c r="Q60" s="336" t="str">
        <x:f t="shared" si="12"/>
      </x:c>
      <x:c r="R60" s="339" t="str">
        <x:f t="shared" si="2"/>
      </x:c>
      <x:c r="S60" s="324"/>
      <x:c r="T60" s="336" t="str">
        <x:f t="shared" si="13"/>
      </x:c>
      <x:c r="U60" s="325"/>
      <x:c r="V60" s="340" t="str">
        <x:f>IF(OR(D60="",U60="",$C$5="",$C$6=""),"",IF(U60="Target Hit",IF(D60="Buy",(F60-E60)*($C$5/2)*$C$6,(E60-F60)*($C$5/2)*$C$6),IF(U60="Target Hit",IF(D60="Buy",(F60-E60)*($C$5/2)*$C$6,(E60-F60)*($C$5/2)*$C$6),IF(U60="Rollover",IF(D60="Buy",(Z60-E60)*($C$5/2)*$C$6,(E60-Z60)*($C$5/2)*$C$6),IF(U60="Stoploss 1 Hit",IF(K60="","",IF(D60="Buy",(K60-E60)*$C$5*$C$6,(E60-K60)*$C$5*$C$6)),IF(OR(U60="Gap Down Stoploss 1 Hit",U60="Gap Up Stoploss 1 Hit"),IF(Q60="","",IF(D60="Buy",(Q60-E60)*$C$5*$C$6,(E60-Q60)*$C$5*$C$6)),0))))))</x:f>
      </x:c>
      <x:c r="W60" s="326"/>
      <x:c r="X60" s="341" t="str">
        <x:f>IF(D60="","",IF(U60="Target Hit",IF(W60="Stoploss 2 Hit",IF(N60="","",IF(D60="Buy",(N60-E60)*($C$5/2)*$C$6,(E60-N60)*($C$5/2)*$C$6)),IF(U60="Target Hit",IF(W60="Rollover",IF(Z60="","",IF(D60="Buy",(Z60-E60)*($C$5/2)*$C$6,(E60-Z60)*($C$5/2)*$C$6)),IF(W60="Gap Down Stoploss 2 Hit",IF(T60="","",IF(D60="Buy",(T60-E60)*($C$5/2)*$C$6,(E60-T60)*($C$5/2)*$C$6)),IF(W60="Gap Up Stoploss 2 Hit",IF(T60="","",IF(D60="Buy",(T60-E60)*($C$5/2)*$C$6,(E60-T60)*($C$5/2)*$C$6)),0))),0))))</x:f>
      </x:c>
      <x:c r="Y60" s="343" t="str">
        <x:f t="shared" si="3"/>
      </x:c>
      <x:c r="Z60" s="327"/>
    </x:row>
    <x:row r="61">
      <x:c r="A61" s="35">
        <x:v>49</x:v>
      </x:c>
      <x:c r="B61" s="318"/>
      <x:c r="C61" s="319"/>
      <x:c r="D61" s="320"/>
      <x:c r="E61" s="321"/>
      <x:c r="F61" s="322"/>
      <x:c r="G61" s="321"/>
      <x:c r="H61" s="323"/>
      <x:c r="I61" s="337" t="str">
        <x:f t="shared" si="0"/>
      </x:c>
      <x:c r="J61" s="324"/>
      <x:c r="K61" s="336" t="str">
        <x:f t="shared" si="9"/>
      </x:c>
      <x:c r="L61" s="335" t="str">
        <x:f t="shared" si="10"/>
      </x:c>
      <x:c r="M61" s="324"/>
      <x:c r="N61" s="336" t="str">
        <x:f t="shared" si="11"/>
      </x:c>
      <x:c r="O61" s="337" t="str">
        <x:f t="shared" si="1"/>
      </x:c>
      <x:c r="P61" s="324"/>
      <x:c r="Q61" s="336" t="str">
        <x:f t="shared" si="12"/>
      </x:c>
      <x:c r="R61" s="339" t="str">
        <x:f t="shared" si="2"/>
      </x:c>
      <x:c r="S61" s="324"/>
      <x:c r="T61" s="336" t="str">
        <x:f t="shared" si="13"/>
      </x:c>
      <x:c r="U61" s="325"/>
      <x:c r="V61" s="340" t="str">
        <x:f>IF(OR(D61="",U61="",$C$5="",$C$6=""),"",IF(U61="Target Hit",IF(D61="Buy",(F61-E61)*($C$5/2)*$C$6,(E61-F61)*($C$5/2)*$C$6),IF(U61="Target Hit",IF(D61="Buy",(F61-E61)*($C$5/2)*$C$6,(E61-F61)*($C$5/2)*$C$6),IF(U61="Rollover",IF(D61="Buy",(Z61-E61)*($C$5/2)*$C$6,(E61-Z61)*($C$5/2)*$C$6),IF(U61="Stoploss 1 Hit",IF(K61="","",IF(D61="Buy",(K61-E61)*$C$5*$C$6,(E61-K61)*$C$5*$C$6)),IF(OR(U61="Gap Down Stoploss 1 Hit",U61="Gap Up Stoploss 1 Hit"),IF(Q61="","",IF(D61="Buy",(Q61-E61)*$C$5*$C$6,(E61-Q61)*$C$5*$C$6)),0))))))</x:f>
      </x:c>
      <x:c r="W61" s="326"/>
      <x:c r="X61" s="341" t="str">
        <x:f>IF(D61="","",IF(U61="Target Hit",IF(W61="Stoploss 2 Hit",IF(N61="","",IF(D61="Buy",(N61-E61)*($C$5/2)*$C$6,(E61-N61)*($C$5/2)*$C$6)),IF(U61="Target Hit",IF(W61="Rollover",IF(Z61="","",IF(D61="Buy",(Z61-E61)*($C$5/2)*$C$6,(E61-Z61)*($C$5/2)*$C$6)),IF(W61="Gap Down Stoploss 2 Hit",IF(T61="","",IF(D61="Buy",(T61-E61)*($C$5/2)*$C$6,(E61-T61)*($C$5/2)*$C$6)),IF(W61="Gap Up Stoploss 2 Hit",IF(T61="","",IF(D61="Buy",(T61-E61)*($C$5/2)*$C$6,(E61-T61)*($C$5/2)*$C$6)),0))),0))))</x:f>
      </x:c>
      <x:c r="Y61" s="343" t="str">
        <x:f t="shared" si="3"/>
      </x:c>
      <x:c r="Z61" s="327"/>
    </x:row>
    <x:row r="62">
      <x:c r="A62" s="35">
        <x:v>50</x:v>
      </x:c>
      <x:c r="B62" s="318"/>
      <x:c r="C62" s="319"/>
      <x:c r="D62" s="320"/>
      <x:c r="E62" s="321"/>
      <x:c r="F62" s="322"/>
      <x:c r="G62" s="321"/>
      <x:c r="H62" s="323"/>
      <x:c r="I62" s="337" t="str">
        <x:f t="shared" si="0"/>
      </x:c>
      <x:c r="J62" s="324"/>
      <x:c r="K62" s="336" t="str">
        <x:f t="shared" si="9"/>
      </x:c>
      <x:c r="L62" s="335" t="str">
        <x:f t="shared" si="10"/>
      </x:c>
      <x:c r="M62" s="324"/>
      <x:c r="N62" s="336" t="str">
        <x:f t="shared" si="11"/>
      </x:c>
      <x:c r="O62" s="337" t="str">
        <x:f t="shared" si="1"/>
      </x:c>
      <x:c r="P62" s="324"/>
      <x:c r="Q62" s="336" t="str">
        <x:f t="shared" si="12"/>
      </x:c>
      <x:c r="R62" s="339" t="str">
        <x:f t="shared" si="2"/>
      </x:c>
      <x:c r="S62" s="324"/>
      <x:c r="T62" s="336" t="str">
        <x:f t="shared" si="13"/>
      </x:c>
      <x:c r="U62" s="325"/>
      <x:c r="V62" s="340" t="str">
        <x:f>IF(OR(D62="",U62="",$C$5="",$C$6=""),"",IF(U62="Target Hit",IF(D62="Buy",(F62-E62)*($C$5/2)*$C$6,(E62-F62)*($C$5/2)*$C$6),IF(U62="Target Hit",IF(D62="Buy",(F62-E62)*($C$5/2)*$C$6,(E62-F62)*($C$5/2)*$C$6),IF(U62="Rollover",IF(D62="Buy",(Z62-E62)*($C$5/2)*$C$6,(E62-Z62)*($C$5/2)*$C$6),IF(U62="Stoploss 1 Hit",IF(K62="","",IF(D62="Buy",(K62-E62)*$C$5*$C$6,(E62-K62)*$C$5*$C$6)),IF(OR(U62="Gap Down Stoploss 1 Hit",U62="Gap Up Stoploss 1 Hit"),IF(Q62="","",IF(D62="Buy",(Q62-E62)*$C$5*$C$6,(E62-Q62)*$C$5*$C$6)),0))))))</x:f>
      </x:c>
      <x:c r="W62" s="326"/>
      <x:c r="X62" s="341" t="str">
        <x:f>IF(D62="","",IF(U62="Target Hit",IF(W62="Stoploss 2 Hit",IF(N62="","",IF(D62="Buy",(N62-E62)*($C$5/2)*$C$6,(E62-N62)*($C$5/2)*$C$6)),IF(U62="Target Hit",IF(W62="Rollover",IF(Z62="","",IF(D62="Buy",(Z62-E62)*($C$5/2)*$C$6,(E62-Z62)*($C$5/2)*$C$6)),IF(W62="Gap Down Stoploss 2 Hit",IF(T62="","",IF(D62="Buy",(T62-E62)*($C$5/2)*$C$6,(E62-T62)*($C$5/2)*$C$6)),IF(W62="Gap Up Stoploss 2 Hit",IF(T62="","",IF(D62="Buy",(T62-E62)*($C$5/2)*$C$6,(E62-T62)*($C$5/2)*$C$6)),0))),0))))</x:f>
      </x:c>
      <x:c r="Y62" s="343" t="str">
        <x:f t="shared" si="3"/>
      </x:c>
      <x:c r="Z62" s="327"/>
    </x:row>
    <x:row r="63">
      <x:c r="A63" s="35">
        <x:v>51</x:v>
      </x:c>
      <x:c r="B63" s="318"/>
      <x:c r="C63" s="319"/>
      <x:c r="D63" s="320"/>
      <x:c r="E63" s="321"/>
      <x:c r="F63" s="322"/>
      <x:c r="G63" s="321"/>
      <x:c r="H63" s="323"/>
      <x:c r="I63" s="337" t="str">
        <x:f t="shared" si="0"/>
      </x:c>
      <x:c r="J63" s="324"/>
      <x:c r="K63" s="336" t="str">
        <x:f t="shared" si="9"/>
      </x:c>
      <x:c r="L63" s="335" t="str">
        <x:f t="shared" si="10"/>
      </x:c>
      <x:c r="M63" s="324"/>
      <x:c r="N63" s="336" t="str">
        <x:f t="shared" si="11"/>
      </x:c>
      <x:c r="O63" s="337" t="str">
        <x:f t="shared" si="1"/>
      </x:c>
      <x:c r="P63" s="324"/>
      <x:c r="Q63" s="336" t="str">
        <x:f t="shared" si="12"/>
      </x:c>
      <x:c r="R63" s="339" t="str">
        <x:f t="shared" si="2"/>
      </x:c>
      <x:c r="S63" s="324"/>
      <x:c r="T63" s="336" t="str">
        <x:f t="shared" si="13"/>
      </x:c>
      <x:c r="U63" s="325"/>
      <x:c r="V63" s="340" t="str">
        <x:f>IF(OR(D63="",U63="",$C$5="",$C$6=""),"",IF(U63="Target Hit",IF(D63="Buy",(F63-E63)*($C$5/2)*$C$6,(E63-F63)*($C$5/2)*$C$6),IF(U63="Target Hit",IF(D63="Buy",(F63-E63)*($C$5/2)*$C$6,(E63-F63)*($C$5/2)*$C$6),IF(U63="Rollover",IF(D63="Buy",(Z63-E63)*($C$5/2)*$C$6,(E63-Z63)*($C$5/2)*$C$6),IF(U63="Stoploss 1 Hit",IF(K63="","",IF(D63="Buy",(K63-E63)*$C$5*$C$6,(E63-K63)*$C$5*$C$6)),IF(OR(U63="Gap Down Stoploss 1 Hit",U63="Gap Up Stoploss 1 Hit"),IF(Q63="","",IF(D63="Buy",(Q63-E63)*$C$5*$C$6,(E63-Q63)*$C$5*$C$6)),0))))))</x:f>
      </x:c>
      <x:c r="W63" s="326"/>
      <x:c r="X63" s="341" t="str">
        <x:f>IF(D63="","",IF(U63="Target Hit",IF(W63="Stoploss 2 Hit",IF(N63="","",IF(D63="Buy",(N63-E63)*($C$5/2)*$C$6,(E63-N63)*($C$5/2)*$C$6)),IF(U63="Target Hit",IF(W63="Rollover",IF(Z63="","",IF(D63="Buy",(Z63-E63)*($C$5/2)*$C$6,(E63-Z63)*($C$5/2)*$C$6)),IF(W63="Gap Down Stoploss 2 Hit",IF(T63="","",IF(D63="Buy",(T63-E63)*($C$5/2)*$C$6,(E63-T63)*($C$5/2)*$C$6)),IF(W63="Gap Up Stoploss 2 Hit",IF(T63="","",IF(D63="Buy",(T63-E63)*($C$5/2)*$C$6,(E63-T63)*($C$5/2)*$C$6)),0))),0))))</x:f>
      </x:c>
      <x:c r="Y63" s="343" t="str">
        <x:f t="shared" si="3"/>
      </x:c>
      <x:c r="Z63" s="327"/>
    </x:row>
    <x:row r="64">
      <x:c r="A64" s="35">
        <x:v>52</x:v>
      </x:c>
      <x:c r="B64" s="318"/>
      <x:c r="C64" s="319"/>
      <x:c r="D64" s="320"/>
      <x:c r="E64" s="321"/>
      <x:c r="F64" s="322"/>
      <x:c r="G64" s="321"/>
      <x:c r="H64" s="323"/>
      <x:c r="I64" s="337" t="str">
        <x:f t="shared" si="0"/>
      </x:c>
      <x:c r="J64" s="324"/>
      <x:c r="K64" s="336" t="str">
        <x:f t="shared" si="9"/>
      </x:c>
      <x:c r="L64" s="335" t="str">
        <x:f t="shared" si="10"/>
      </x:c>
      <x:c r="M64" s="324"/>
      <x:c r="N64" s="336" t="str">
        <x:f t="shared" si="11"/>
      </x:c>
      <x:c r="O64" s="337" t="str">
        <x:f t="shared" si="1"/>
      </x:c>
      <x:c r="P64" s="324"/>
      <x:c r="Q64" s="336" t="str">
        <x:f t="shared" si="12"/>
      </x:c>
      <x:c r="R64" s="339" t="str">
        <x:f t="shared" si="2"/>
      </x:c>
      <x:c r="S64" s="324"/>
      <x:c r="T64" s="336" t="str">
        <x:f t="shared" si="13"/>
      </x:c>
      <x:c r="U64" s="325"/>
      <x:c r="V64" s="340" t="str">
        <x:f>IF(OR(D64="",U64="",$C$5="",$C$6=""),"",IF(U64="Target Hit",IF(D64="Buy",(F64-E64)*($C$5/2)*$C$6,(E64-F64)*($C$5/2)*$C$6),IF(U64="Target Hit",IF(D64="Buy",(F64-E64)*($C$5/2)*$C$6,(E64-F64)*($C$5/2)*$C$6),IF(U64="Rollover",IF(D64="Buy",(Z64-E64)*($C$5/2)*$C$6,(E64-Z64)*($C$5/2)*$C$6),IF(U64="Stoploss 1 Hit",IF(K64="","",IF(D64="Buy",(K64-E64)*$C$5*$C$6,(E64-K64)*$C$5*$C$6)),IF(OR(U64="Gap Down Stoploss 1 Hit",U64="Gap Up Stoploss 1 Hit"),IF(Q64="","",IF(D64="Buy",(Q64-E64)*$C$5*$C$6,(E64-Q64)*$C$5*$C$6)),0))))))</x:f>
      </x:c>
      <x:c r="W64" s="326"/>
      <x:c r="X64" s="341" t="str">
        <x:f>IF(D64="","",IF(U64="Target Hit",IF(W64="Stoploss 2 Hit",IF(N64="","",IF(D64="Buy",(N64-E64)*($C$5/2)*$C$6,(E64-N64)*($C$5/2)*$C$6)),IF(U64="Target Hit",IF(W64="Rollover",IF(Z64="","",IF(D64="Buy",(Z64-E64)*($C$5/2)*$C$6,(E64-Z64)*($C$5/2)*$C$6)),IF(W64="Gap Down Stoploss 2 Hit",IF(T64="","",IF(D64="Buy",(T64-E64)*($C$5/2)*$C$6,(E64-T64)*($C$5/2)*$C$6)),IF(W64="Gap Up Stoploss 2 Hit",IF(T64="","",IF(D64="Buy",(T64-E64)*($C$5/2)*$C$6,(E64-T64)*($C$5/2)*$C$6)),0))),0))))</x:f>
      </x:c>
      <x:c r="Y64" s="343" t="str">
        <x:f t="shared" si="3"/>
      </x:c>
      <x:c r="Z64" s="327"/>
    </x:row>
    <x:row r="65">
      <x:c r="A65" s="35">
        <x:v>53</x:v>
      </x:c>
      <x:c r="B65" s="318"/>
      <x:c r="C65" s="319"/>
      <x:c r="D65" s="320"/>
      <x:c r="E65" s="321"/>
      <x:c r="F65" s="322"/>
      <x:c r="G65" s="321"/>
      <x:c r="H65" s="323"/>
      <x:c r="I65" s="337" t="str">
        <x:f t="shared" si="0"/>
      </x:c>
      <x:c r="J65" s="324"/>
      <x:c r="K65" s="336" t="str">
        <x:f t="shared" si="9"/>
      </x:c>
      <x:c r="L65" s="335" t="str">
        <x:f t="shared" si="10"/>
      </x:c>
      <x:c r="M65" s="324"/>
      <x:c r="N65" s="336" t="str">
        <x:f t="shared" si="11"/>
      </x:c>
      <x:c r="O65" s="337" t="str">
        <x:f t="shared" si="1"/>
      </x:c>
      <x:c r="P65" s="324"/>
      <x:c r="Q65" s="336" t="str">
        <x:f t="shared" si="12"/>
      </x:c>
      <x:c r="R65" s="339" t="str">
        <x:f t="shared" si="2"/>
      </x:c>
      <x:c r="S65" s="324"/>
      <x:c r="T65" s="336" t="str">
        <x:f t="shared" si="13"/>
      </x:c>
      <x:c r="U65" s="325"/>
      <x:c r="V65" s="340" t="str">
        <x:f>IF(OR(D65="",U65="",$C$5="",$C$6=""),"",IF(U65="Target Hit",IF(D65="Buy",(F65-E65)*($C$5/2)*$C$6,(E65-F65)*($C$5/2)*$C$6),IF(U65="Target Hit",IF(D65="Buy",(F65-E65)*($C$5/2)*$C$6,(E65-F65)*($C$5/2)*$C$6),IF(U65="Rollover",IF(D65="Buy",(Z65-E65)*($C$5/2)*$C$6,(E65-Z65)*($C$5/2)*$C$6),IF(U65="Stoploss 1 Hit",IF(K65="","",IF(D65="Buy",(K65-E65)*$C$5*$C$6,(E65-K65)*$C$5*$C$6)),IF(OR(U65="Gap Down Stoploss 1 Hit",U65="Gap Up Stoploss 1 Hit"),IF(Q65="","",IF(D65="Buy",(Q65-E65)*$C$5*$C$6,(E65-Q65)*$C$5*$C$6)),0))))))</x:f>
      </x:c>
      <x:c r="W65" s="326"/>
      <x:c r="X65" s="341" t="str">
        <x:f>IF(D65="","",IF(U65="Target Hit",IF(W65="Stoploss 2 Hit",IF(N65="","",IF(D65="Buy",(N65-E65)*($C$5/2)*$C$6,(E65-N65)*($C$5/2)*$C$6)),IF(U65="Target Hit",IF(W65="Rollover",IF(Z65="","",IF(D65="Buy",(Z65-E65)*($C$5/2)*$C$6,(E65-Z65)*($C$5/2)*$C$6)),IF(W65="Gap Down Stoploss 2 Hit",IF(T65="","",IF(D65="Buy",(T65-E65)*($C$5/2)*$C$6,(E65-T65)*($C$5/2)*$C$6)),IF(W65="Gap Up Stoploss 2 Hit",IF(T65="","",IF(D65="Buy",(T65-E65)*($C$5/2)*$C$6,(E65-T65)*($C$5/2)*$C$6)),0))),0))))</x:f>
      </x:c>
      <x:c r="Y65" s="343" t="str">
        <x:f t="shared" si="3"/>
      </x:c>
      <x:c r="Z65" s="327"/>
    </x:row>
    <x:row r="66">
      <x:c r="A66" s="35">
        <x:v>54</x:v>
      </x:c>
      <x:c r="B66" s="318"/>
      <x:c r="C66" s="319"/>
      <x:c r="D66" s="320"/>
      <x:c r="E66" s="321"/>
      <x:c r="F66" s="322"/>
      <x:c r="G66" s="321"/>
      <x:c r="H66" s="323"/>
      <x:c r="I66" s="337" t="str">
        <x:f t="shared" si="0"/>
      </x:c>
      <x:c r="J66" s="324"/>
      <x:c r="K66" s="336" t="str">
        <x:f t="shared" si="9"/>
      </x:c>
      <x:c r="L66" s="335" t="str">
        <x:f t="shared" si="10"/>
      </x:c>
      <x:c r="M66" s="324"/>
      <x:c r="N66" s="336" t="str">
        <x:f t="shared" si="11"/>
      </x:c>
      <x:c r="O66" s="337" t="str">
        <x:f t="shared" si="1"/>
      </x:c>
      <x:c r="P66" s="324"/>
      <x:c r="Q66" s="336" t="str">
        <x:f t="shared" si="12"/>
      </x:c>
      <x:c r="R66" s="339" t="str">
        <x:f t="shared" si="2"/>
      </x:c>
      <x:c r="S66" s="324"/>
      <x:c r="T66" s="336" t="str">
        <x:f t="shared" si="13"/>
      </x:c>
      <x:c r="U66" s="325"/>
      <x:c r="V66" s="340" t="str">
        <x:f>IF(OR(D66="",U66="",$C$5="",$C$6=""),"",IF(U66="Target Hit",IF(D66="Buy",(F66-E66)*($C$5/2)*$C$6,(E66-F66)*($C$5/2)*$C$6),IF(U66="Target Hit",IF(D66="Buy",(F66-E66)*($C$5/2)*$C$6,(E66-F66)*($C$5/2)*$C$6),IF(U66="Rollover",IF(D66="Buy",(Z66-E66)*($C$5/2)*$C$6,(E66-Z66)*($C$5/2)*$C$6),IF(U66="Stoploss 1 Hit",IF(K66="","",IF(D66="Buy",(K66-E66)*$C$5*$C$6,(E66-K66)*$C$5*$C$6)),IF(OR(U66="Gap Down Stoploss 1 Hit",U66="Gap Up Stoploss 1 Hit"),IF(Q66="","",IF(D66="Buy",(Q66-E66)*$C$5*$C$6,(E66-Q66)*$C$5*$C$6)),0))))))</x:f>
      </x:c>
      <x:c r="W66" s="326"/>
      <x:c r="X66" s="341" t="str">
        <x:f>IF(D66="","",IF(U66="Target Hit",IF(W66="Stoploss 2 Hit",IF(N66="","",IF(D66="Buy",(N66-E66)*($C$5/2)*$C$6,(E66-N66)*($C$5/2)*$C$6)),IF(U66="Target Hit",IF(W66="Rollover",IF(Z66="","",IF(D66="Buy",(Z66-E66)*($C$5/2)*$C$6,(E66-Z66)*($C$5/2)*$C$6)),IF(W66="Gap Down Stoploss 2 Hit",IF(T66="","",IF(D66="Buy",(T66-E66)*($C$5/2)*$C$6,(E66-T66)*($C$5/2)*$C$6)),IF(W66="Gap Up Stoploss 2 Hit",IF(T66="","",IF(D66="Buy",(T66-E66)*($C$5/2)*$C$6,(E66-T66)*($C$5/2)*$C$6)),0))),0))))</x:f>
      </x:c>
      <x:c r="Y66" s="343" t="str">
        <x:f t="shared" si="3"/>
      </x:c>
      <x:c r="Z66" s="327"/>
    </x:row>
    <x:row r="67">
      <x:c r="A67" s="35">
        <x:v>55</x:v>
      </x:c>
      <x:c r="B67" s="318"/>
      <x:c r="C67" s="319"/>
      <x:c r="D67" s="320"/>
      <x:c r="E67" s="321"/>
      <x:c r="F67" s="322"/>
      <x:c r="G67" s="321"/>
      <x:c r="H67" s="323"/>
      <x:c r="I67" s="337" t="str">
        <x:f t="shared" si="0"/>
      </x:c>
      <x:c r="J67" s="324"/>
      <x:c r="K67" s="336" t="str">
        <x:f t="shared" si="9"/>
      </x:c>
      <x:c r="L67" s="335" t="str">
        <x:f t="shared" si="10"/>
      </x:c>
      <x:c r="M67" s="324"/>
      <x:c r="N67" s="336" t="str">
        <x:f t="shared" si="11"/>
      </x:c>
      <x:c r="O67" s="337" t="str">
        <x:f t="shared" si="1"/>
      </x:c>
      <x:c r="P67" s="324"/>
      <x:c r="Q67" s="336" t="str">
        <x:f t="shared" si="12"/>
      </x:c>
      <x:c r="R67" s="339" t="str">
        <x:f t="shared" si="2"/>
      </x:c>
      <x:c r="S67" s="324"/>
      <x:c r="T67" s="336" t="str">
        <x:f t="shared" si="13"/>
      </x:c>
      <x:c r="U67" s="325"/>
      <x:c r="V67" s="340" t="str">
        <x:f>IF(OR(D67="",U67="",$C$5="",$C$6=""),"",IF(U67="Target Hit",IF(D67="Buy",(F67-E67)*($C$5/2)*$C$6,(E67-F67)*($C$5/2)*$C$6),IF(U67="Target Hit",IF(D67="Buy",(F67-E67)*($C$5/2)*$C$6,(E67-F67)*($C$5/2)*$C$6),IF(U67="Rollover",IF(D67="Buy",(Z67-E67)*($C$5/2)*$C$6,(E67-Z67)*($C$5/2)*$C$6),IF(U67="Stoploss 1 Hit",IF(K67="","",IF(D67="Buy",(K67-E67)*$C$5*$C$6,(E67-K67)*$C$5*$C$6)),IF(OR(U67="Gap Down Stoploss 1 Hit",U67="Gap Up Stoploss 1 Hit"),IF(Q67="","",IF(D67="Buy",(Q67-E67)*$C$5*$C$6,(E67-Q67)*$C$5*$C$6)),0))))))</x:f>
      </x:c>
      <x:c r="W67" s="326"/>
      <x:c r="X67" s="341" t="str">
        <x:f>IF(D67="","",IF(U67="Target Hit",IF(W67="Stoploss 2 Hit",IF(N67="","",IF(D67="Buy",(N67-E67)*($C$5/2)*$C$6,(E67-N67)*($C$5/2)*$C$6)),IF(U67="Target Hit",IF(W67="Rollover",IF(Z67="","",IF(D67="Buy",(Z67-E67)*($C$5/2)*$C$6,(E67-Z67)*($C$5/2)*$C$6)),IF(W67="Gap Down Stoploss 2 Hit",IF(T67="","",IF(D67="Buy",(T67-E67)*($C$5/2)*$C$6,(E67-T67)*($C$5/2)*$C$6)),IF(W67="Gap Up Stoploss 2 Hit",IF(T67="","",IF(D67="Buy",(T67-E67)*($C$5/2)*$C$6,(E67-T67)*($C$5/2)*$C$6)),0))),0))))</x:f>
      </x:c>
      <x:c r="Y67" s="343" t="str">
        <x:f t="shared" si="3"/>
      </x:c>
      <x:c r="Z67" s="327"/>
    </x:row>
    <x:row r="68">
      <x:c r="A68" s="35">
        <x:v>56</x:v>
      </x:c>
      <x:c r="B68" s="318"/>
      <x:c r="C68" s="319"/>
      <x:c r="D68" s="320"/>
      <x:c r="E68" s="321"/>
      <x:c r="F68" s="322"/>
      <x:c r="G68" s="321"/>
      <x:c r="H68" s="323"/>
      <x:c r="I68" s="337" t="str">
        <x:f t="shared" si="0"/>
      </x:c>
      <x:c r="J68" s="324"/>
      <x:c r="K68" s="336" t="str">
        <x:f t="shared" si="9"/>
      </x:c>
      <x:c r="L68" s="335" t="str">
        <x:f t="shared" si="10"/>
      </x:c>
      <x:c r="M68" s="324"/>
      <x:c r="N68" s="336" t="str">
        <x:f t="shared" si="11"/>
      </x:c>
      <x:c r="O68" s="337" t="str">
        <x:f t="shared" si="1"/>
      </x:c>
      <x:c r="P68" s="324"/>
      <x:c r="Q68" s="336" t="str">
        <x:f t="shared" si="12"/>
      </x:c>
      <x:c r="R68" s="339" t="str">
        <x:f t="shared" si="2"/>
      </x:c>
      <x:c r="S68" s="324"/>
      <x:c r="T68" s="336" t="str">
        <x:f t="shared" si="13"/>
      </x:c>
      <x:c r="U68" s="325"/>
      <x:c r="V68" s="340" t="str">
        <x:f>IF(OR(D68="",U68="",$C$5="",$C$6=""),"",IF(U68="Target Hit",IF(D68="Buy",(F68-E68)*($C$5/2)*$C$6,(E68-F68)*($C$5/2)*$C$6),IF(U68="Target Hit",IF(D68="Buy",(F68-E68)*($C$5/2)*$C$6,(E68-F68)*($C$5/2)*$C$6),IF(U68="Rollover",IF(D68="Buy",(Z68-E68)*($C$5/2)*$C$6,(E68-Z68)*($C$5/2)*$C$6),IF(U68="Stoploss 1 Hit",IF(K68="","",IF(D68="Buy",(K68-E68)*$C$5*$C$6,(E68-K68)*$C$5*$C$6)),IF(OR(U68="Gap Down Stoploss 1 Hit",U68="Gap Up Stoploss 1 Hit"),IF(Q68="","",IF(D68="Buy",(Q68-E68)*$C$5*$C$6,(E68-Q68)*$C$5*$C$6)),0))))))</x:f>
      </x:c>
      <x:c r="W68" s="326"/>
      <x:c r="X68" s="341" t="str">
        <x:f>IF(D68="","",IF(U68="Target Hit",IF(W68="Stoploss 2 Hit",IF(N68="","",IF(D68="Buy",(N68-E68)*($C$5/2)*$C$6,(E68-N68)*($C$5/2)*$C$6)),IF(U68="Target Hit",IF(W68="Rollover",IF(Z68="","",IF(D68="Buy",(Z68-E68)*($C$5/2)*$C$6,(E68-Z68)*($C$5/2)*$C$6)),IF(W68="Gap Down Stoploss 2 Hit",IF(T68="","",IF(D68="Buy",(T68-E68)*($C$5/2)*$C$6,(E68-T68)*($C$5/2)*$C$6)),IF(W68="Gap Up Stoploss 2 Hit",IF(T68="","",IF(D68="Buy",(T68-E68)*($C$5/2)*$C$6,(E68-T68)*($C$5/2)*$C$6)),0))),0))))</x:f>
      </x:c>
      <x:c r="Y68" s="343" t="str">
        <x:f t="shared" si="3"/>
      </x:c>
      <x:c r="Z68" s="327"/>
    </x:row>
    <x:row r="69">
      <x:c r="A69" s="35">
        <x:v>57</x:v>
      </x:c>
      <x:c r="B69" s="318"/>
      <x:c r="C69" s="319"/>
      <x:c r="D69" s="320"/>
      <x:c r="E69" s="321"/>
      <x:c r="F69" s="322"/>
      <x:c r="G69" s="321"/>
      <x:c r="H69" s="323"/>
      <x:c r="I69" s="337" t="str">
        <x:f t="shared" si="0"/>
      </x:c>
      <x:c r="J69" s="324"/>
      <x:c r="K69" s="336" t="str">
        <x:f t="shared" si="9"/>
      </x:c>
      <x:c r="L69" s="335" t="str">
        <x:f t="shared" si="10"/>
      </x:c>
      <x:c r="M69" s="324"/>
      <x:c r="N69" s="336" t="str">
        <x:f t="shared" si="11"/>
      </x:c>
      <x:c r="O69" s="337" t="str">
        <x:f t="shared" si="1"/>
      </x:c>
      <x:c r="P69" s="324"/>
      <x:c r="Q69" s="336" t="str">
        <x:f t="shared" si="12"/>
      </x:c>
      <x:c r="R69" s="339" t="str">
        <x:f t="shared" si="2"/>
      </x:c>
      <x:c r="S69" s="324"/>
      <x:c r="T69" s="336" t="str">
        <x:f t="shared" si="13"/>
      </x:c>
      <x:c r="U69" s="325"/>
      <x:c r="V69" s="340" t="str">
        <x:f>IF(OR(D69="",U69="",$C$5="",$C$6=""),"",IF(U69="Target Hit",IF(D69="Buy",(F69-E69)*($C$5/2)*$C$6,(E69-F69)*($C$5/2)*$C$6),IF(U69="Target Hit",IF(D69="Buy",(F69-E69)*($C$5/2)*$C$6,(E69-F69)*($C$5/2)*$C$6),IF(U69="Rollover",IF(D69="Buy",(Z69-E69)*($C$5/2)*$C$6,(E69-Z69)*($C$5/2)*$C$6),IF(U69="Stoploss 1 Hit",IF(K69="","",IF(D69="Buy",(K69-E69)*$C$5*$C$6,(E69-K69)*$C$5*$C$6)),IF(OR(U69="Gap Down Stoploss 1 Hit",U69="Gap Up Stoploss 1 Hit"),IF(Q69="","",IF(D69="Buy",(Q69-E69)*$C$5*$C$6,(E69-Q69)*$C$5*$C$6)),0))))))</x:f>
      </x:c>
      <x:c r="W69" s="326"/>
      <x:c r="X69" s="341" t="str">
        <x:f>IF(D69="","",IF(U69="Target Hit",IF(W69="Stoploss 2 Hit",IF(N69="","",IF(D69="Buy",(N69-E69)*($C$5/2)*$C$6,(E69-N69)*($C$5/2)*$C$6)),IF(U69="Target Hit",IF(W69="Rollover",IF(Z69="","",IF(D69="Buy",(Z69-E69)*($C$5/2)*$C$6,(E69-Z69)*($C$5/2)*$C$6)),IF(W69="Gap Down Stoploss 2 Hit",IF(T69="","",IF(D69="Buy",(T69-E69)*($C$5/2)*$C$6,(E69-T69)*($C$5/2)*$C$6)),IF(W69="Gap Up Stoploss 2 Hit",IF(T69="","",IF(D69="Buy",(T69-E69)*($C$5/2)*$C$6,(E69-T69)*($C$5/2)*$C$6)),0))),0))))</x:f>
      </x:c>
      <x:c r="Y69" s="343" t="str">
        <x:f t="shared" si="3"/>
      </x:c>
      <x:c r="Z69" s="327"/>
    </x:row>
    <x:row r="70">
      <x:c r="A70" s="35">
        <x:v>58</x:v>
      </x:c>
      <x:c r="B70" s="318"/>
      <x:c r="C70" s="319"/>
      <x:c r="D70" s="320"/>
      <x:c r="E70" s="321"/>
      <x:c r="F70" s="322"/>
      <x:c r="G70" s="321"/>
      <x:c r="H70" s="323"/>
      <x:c r="I70" s="337" t="str">
        <x:f t="shared" si="0"/>
      </x:c>
      <x:c r="J70" s="324"/>
      <x:c r="K70" s="336" t="str">
        <x:f t="shared" si="9"/>
      </x:c>
      <x:c r="L70" s="335" t="str">
        <x:f t="shared" si="10"/>
      </x:c>
      <x:c r="M70" s="324"/>
      <x:c r="N70" s="336" t="str">
        <x:f t="shared" si="11"/>
      </x:c>
      <x:c r="O70" s="337" t="str">
        <x:f t="shared" si="1"/>
      </x:c>
      <x:c r="P70" s="324"/>
      <x:c r="Q70" s="336" t="str">
        <x:f t="shared" si="12"/>
      </x:c>
      <x:c r="R70" s="339" t="str">
        <x:f t="shared" si="2"/>
      </x:c>
      <x:c r="S70" s="324"/>
      <x:c r="T70" s="336" t="str">
        <x:f t="shared" si="13"/>
      </x:c>
      <x:c r="U70" s="325"/>
      <x:c r="V70" s="340" t="str">
        <x:f>IF(OR(D70="",U70="",$C$5="",$C$6=""),"",IF(U70="Target Hit",IF(D70="Buy",(F70-E70)*($C$5/2)*$C$6,(E70-F70)*($C$5/2)*$C$6),IF(U70="Target Hit",IF(D70="Buy",(F70-E70)*($C$5/2)*$C$6,(E70-F70)*($C$5/2)*$C$6),IF(U70="Rollover",IF(D70="Buy",(Z70-E70)*($C$5/2)*$C$6,(E70-Z70)*($C$5/2)*$C$6),IF(U70="Stoploss 1 Hit",IF(K70="","",IF(D70="Buy",(K70-E70)*$C$5*$C$6,(E70-K70)*$C$5*$C$6)),IF(OR(U70="Gap Down Stoploss 1 Hit",U70="Gap Up Stoploss 1 Hit"),IF(Q70="","",IF(D70="Buy",(Q70-E70)*$C$5*$C$6,(E70-Q70)*$C$5*$C$6)),0))))))</x:f>
      </x:c>
      <x:c r="W70" s="326"/>
      <x:c r="X70" s="341" t="str">
        <x:f>IF(D70="","",IF(U70="Target Hit",IF(W70="Stoploss 2 Hit",IF(N70="","",IF(D70="Buy",(N70-E70)*($C$5/2)*$C$6,(E70-N70)*($C$5/2)*$C$6)),IF(U70="Target Hit",IF(W70="Rollover",IF(Z70="","",IF(D70="Buy",(Z70-E70)*($C$5/2)*$C$6,(E70-Z70)*($C$5/2)*$C$6)),IF(W70="Gap Down Stoploss 2 Hit",IF(T70="","",IF(D70="Buy",(T70-E70)*($C$5/2)*$C$6,(E70-T70)*($C$5/2)*$C$6)),IF(W70="Gap Up Stoploss 2 Hit",IF(T70="","",IF(D70="Buy",(T70-E70)*($C$5/2)*$C$6,(E70-T70)*($C$5/2)*$C$6)),0))),0))))</x:f>
      </x:c>
      <x:c r="Y70" s="343" t="str">
        <x:f t="shared" si="3"/>
      </x:c>
      <x:c r="Z70" s="327"/>
    </x:row>
    <x:row r="71">
      <x:c r="A71" s="35">
        <x:v>59</x:v>
      </x:c>
      <x:c r="B71" s="318"/>
      <x:c r="C71" s="319"/>
      <x:c r="D71" s="320"/>
      <x:c r="E71" s="321"/>
      <x:c r="F71" s="322"/>
      <x:c r="G71" s="321"/>
      <x:c r="H71" s="323"/>
      <x:c r="I71" s="337" t="str">
        <x:f t="shared" si="0"/>
      </x:c>
      <x:c r="J71" s="324"/>
      <x:c r="K71" s="336" t="str">
        <x:f t="shared" si="9"/>
      </x:c>
      <x:c r="L71" s="335" t="str">
        <x:f t="shared" si="10"/>
      </x:c>
      <x:c r="M71" s="324"/>
      <x:c r="N71" s="336" t="str">
        <x:f t="shared" si="11"/>
      </x:c>
      <x:c r="O71" s="337" t="str">
        <x:f t="shared" si="1"/>
      </x:c>
      <x:c r="P71" s="324"/>
      <x:c r="Q71" s="336" t="str">
        <x:f t="shared" si="12"/>
      </x:c>
      <x:c r="R71" s="339" t="str">
        <x:f t="shared" si="2"/>
      </x:c>
      <x:c r="S71" s="324"/>
      <x:c r="T71" s="336" t="str">
        <x:f t="shared" si="13"/>
      </x:c>
      <x:c r="U71" s="325"/>
      <x:c r="V71" s="340" t="str">
        <x:f>IF(OR(D71="",U71="",$C$5="",$C$6=""),"",IF(U71="Target Hit",IF(D71="Buy",(F71-E71)*($C$5/2)*$C$6,(E71-F71)*($C$5/2)*$C$6),IF(U71="Target Hit",IF(D71="Buy",(F71-E71)*($C$5/2)*$C$6,(E71-F71)*($C$5/2)*$C$6),IF(U71="Rollover",IF(D71="Buy",(Z71-E71)*($C$5/2)*$C$6,(E71-Z71)*($C$5/2)*$C$6),IF(U71="Stoploss 1 Hit",IF(K71="","",IF(D71="Buy",(K71-E71)*$C$5*$C$6,(E71-K71)*$C$5*$C$6)),IF(OR(U71="Gap Down Stoploss 1 Hit",U71="Gap Up Stoploss 1 Hit"),IF(Q71="","",IF(D71="Buy",(Q71-E71)*$C$5*$C$6,(E71-Q71)*$C$5*$C$6)),0))))))</x:f>
      </x:c>
      <x:c r="W71" s="326"/>
      <x:c r="X71" s="341" t="str">
        <x:f>IF(D71="","",IF(U71="Target Hit",IF(W71="Stoploss 2 Hit",IF(N71="","",IF(D71="Buy",(N71-E71)*($C$5/2)*$C$6,(E71-N71)*($C$5/2)*$C$6)),IF(U71="Target Hit",IF(W71="Rollover",IF(Z71="","",IF(D71="Buy",(Z71-E71)*($C$5/2)*$C$6,(E71-Z71)*($C$5/2)*$C$6)),IF(W71="Gap Down Stoploss 2 Hit",IF(T71="","",IF(D71="Buy",(T71-E71)*($C$5/2)*$C$6,(E71-T71)*($C$5/2)*$C$6)),IF(W71="Gap Up Stoploss 2 Hit",IF(T71="","",IF(D71="Buy",(T71-E71)*($C$5/2)*$C$6,(E71-T71)*($C$5/2)*$C$6)),0))),0))))</x:f>
      </x:c>
      <x:c r="Y71" s="343" t="str">
        <x:f t="shared" si="3"/>
      </x:c>
      <x:c r="Z71" s="327"/>
    </x:row>
    <x:row r="72">
      <x:c r="A72" s="35">
        <x:v>60</x:v>
      </x:c>
      <x:c r="B72" s="318"/>
      <x:c r="C72" s="319"/>
      <x:c r="D72" s="320"/>
      <x:c r="E72" s="321"/>
      <x:c r="F72" s="322"/>
      <x:c r="G72" s="321"/>
      <x:c r="H72" s="323"/>
      <x:c r="I72" s="337" t="str">
        <x:f t="shared" si="0"/>
      </x:c>
      <x:c r="J72" s="324"/>
      <x:c r="K72" s="336" t="str">
        <x:f t="shared" si="9"/>
      </x:c>
      <x:c r="L72" s="335" t="str">
        <x:f t="shared" si="10"/>
      </x:c>
      <x:c r="M72" s="324"/>
      <x:c r="N72" s="336" t="str">
        <x:f t="shared" si="11"/>
      </x:c>
      <x:c r="O72" s="337" t="str">
        <x:f t="shared" si="1"/>
      </x:c>
      <x:c r="P72" s="324"/>
      <x:c r="Q72" s="336" t="str">
        <x:f t="shared" si="12"/>
      </x:c>
      <x:c r="R72" s="339" t="str">
        <x:f t="shared" si="2"/>
      </x:c>
      <x:c r="S72" s="324"/>
      <x:c r="T72" s="336" t="str">
        <x:f t="shared" si="13"/>
      </x:c>
      <x:c r="U72" s="325"/>
      <x:c r="V72" s="340" t="str">
        <x:f>IF(OR(D72="",U72="",$C$5="",$C$6=""),"",IF(U72="Target Hit",IF(D72="Buy",(F72-E72)*($C$5/2)*$C$6,(E72-F72)*($C$5/2)*$C$6),IF(U72="Target Hit",IF(D72="Buy",(F72-E72)*($C$5/2)*$C$6,(E72-F72)*($C$5/2)*$C$6),IF(U72="Rollover",IF(D72="Buy",(Z72-E72)*($C$5/2)*$C$6,(E72-Z72)*($C$5/2)*$C$6),IF(U72="Stoploss 1 Hit",IF(K72="","",IF(D72="Buy",(K72-E72)*$C$5*$C$6,(E72-K72)*$C$5*$C$6)),IF(OR(U72="Gap Down Stoploss 1 Hit",U72="Gap Up Stoploss 1 Hit"),IF(Q72="","",IF(D72="Buy",(Q72-E72)*$C$5*$C$6,(E72-Q72)*$C$5*$C$6)),0))))))</x:f>
      </x:c>
      <x:c r="W72" s="326"/>
      <x:c r="X72" s="341" t="str">
        <x:f>IF(D72="","",IF(U72="Target Hit",IF(W72="Stoploss 2 Hit",IF(N72="","",IF(D72="Buy",(N72-E72)*($C$5/2)*$C$6,(E72-N72)*($C$5/2)*$C$6)),IF(U72="Target Hit",IF(W72="Rollover",IF(Z72="","",IF(D72="Buy",(Z72-E72)*($C$5/2)*$C$6,(E72-Z72)*($C$5/2)*$C$6)),IF(W72="Gap Down Stoploss 2 Hit",IF(T72="","",IF(D72="Buy",(T72-E72)*($C$5/2)*$C$6,(E72-T72)*($C$5/2)*$C$6)),IF(W72="Gap Up Stoploss 2 Hit",IF(T72="","",IF(D72="Buy",(T72-E72)*($C$5/2)*$C$6,(E72-T72)*($C$5/2)*$C$6)),0))),0))))</x:f>
      </x:c>
      <x:c r="Y72" s="343" t="str">
        <x:f t="shared" si="3"/>
      </x:c>
      <x:c r="Z72" s="327"/>
    </x:row>
    <x:row r="73">
      <x:c r="A73" s="35">
        <x:v>61</x:v>
      </x:c>
      <x:c r="B73" s="318"/>
      <x:c r="C73" s="319"/>
      <x:c r="D73" s="320"/>
      <x:c r="E73" s="321"/>
      <x:c r="F73" s="322"/>
      <x:c r="G73" s="321"/>
      <x:c r="H73" s="323"/>
      <x:c r="I73" s="337" t="str">
        <x:f t="shared" si="0"/>
      </x:c>
      <x:c r="J73" s="324"/>
      <x:c r="K73" s="336" t="str">
        <x:f t="shared" si="9"/>
      </x:c>
      <x:c r="L73" s="335" t="str">
        <x:f t="shared" si="10"/>
      </x:c>
      <x:c r="M73" s="324"/>
      <x:c r="N73" s="336" t="str">
        <x:f t="shared" si="11"/>
      </x:c>
      <x:c r="O73" s="337" t="str">
        <x:f t="shared" si="1"/>
      </x:c>
      <x:c r="P73" s="324"/>
      <x:c r="Q73" s="336" t="str">
        <x:f t="shared" si="12"/>
      </x:c>
      <x:c r="R73" s="339" t="str">
        <x:f t="shared" si="2"/>
      </x:c>
      <x:c r="S73" s="324"/>
      <x:c r="T73" s="336" t="str">
        <x:f t="shared" si="13"/>
      </x:c>
      <x:c r="U73" s="325"/>
      <x:c r="V73" s="340" t="str">
        <x:f>IF(OR(D73="",U73="",$C$5="",$C$6=""),"",IF(U73="Target Hit",IF(D73="Buy",(F73-E73)*($C$5/2)*$C$6,(E73-F73)*($C$5/2)*$C$6),IF(U73="Target Hit",IF(D73="Buy",(F73-E73)*($C$5/2)*$C$6,(E73-F73)*($C$5/2)*$C$6),IF(U73="Rollover",IF(D73="Buy",(Z73-E73)*($C$5/2)*$C$6,(E73-Z73)*($C$5/2)*$C$6),IF(U73="Stoploss 1 Hit",IF(K73="","",IF(D73="Buy",(K73-E73)*$C$5*$C$6,(E73-K73)*$C$5*$C$6)),IF(OR(U73="Gap Down Stoploss 1 Hit",U73="Gap Up Stoploss 1 Hit"),IF(Q73="","",IF(D73="Buy",(Q73-E73)*$C$5*$C$6,(E73-Q73)*$C$5*$C$6)),0))))))</x:f>
      </x:c>
      <x:c r="W73" s="326"/>
      <x:c r="X73" s="341" t="str">
        <x:f>IF(D73="","",IF(U73="Target Hit",IF(W73="Stoploss 2 Hit",IF(N73="","",IF(D73="Buy",(N73-E73)*($C$5/2)*$C$6,(E73-N73)*($C$5/2)*$C$6)),IF(U73="Target Hit",IF(W73="Rollover",IF(Z73="","",IF(D73="Buy",(Z73-E73)*($C$5/2)*$C$6,(E73-Z73)*($C$5/2)*$C$6)),IF(W73="Gap Down Stoploss 2 Hit",IF(T73="","",IF(D73="Buy",(T73-E73)*($C$5/2)*$C$6,(E73-T73)*($C$5/2)*$C$6)),IF(W73="Gap Up Stoploss 2 Hit",IF(T73="","",IF(D73="Buy",(T73-E73)*($C$5/2)*$C$6,(E73-T73)*($C$5/2)*$C$6)),0))),0))))</x:f>
      </x:c>
      <x:c r="Y73" s="343" t="str">
        <x:f t="shared" si="3"/>
      </x:c>
      <x:c r="Z73" s="327"/>
    </x:row>
    <x:row r="74">
      <x:c r="A74" s="35">
        <x:v>62</x:v>
      </x:c>
      <x:c r="B74" s="318"/>
      <x:c r="C74" s="319"/>
      <x:c r="D74" s="320"/>
      <x:c r="E74" s="321"/>
      <x:c r="F74" s="322"/>
      <x:c r="G74" s="321"/>
      <x:c r="H74" s="323"/>
      <x:c r="I74" s="337" t="str">
        <x:f t="shared" si="0"/>
      </x:c>
      <x:c r="J74" s="324"/>
      <x:c r="K74" s="336" t="str">
        <x:f t="shared" si="9"/>
      </x:c>
      <x:c r="L74" s="335" t="str">
        <x:f t="shared" si="10"/>
      </x:c>
      <x:c r="M74" s="324"/>
      <x:c r="N74" s="336" t="str">
        <x:f t="shared" si="11"/>
      </x:c>
      <x:c r="O74" s="337" t="str">
        <x:f t="shared" si="1"/>
      </x:c>
      <x:c r="P74" s="324"/>
      <x:c r="Q74" s="336" t="str">
        <x:f t="shared" si="12"/>
      </x:c>
      <x:c r="R74" s="339" t="str">
        <x:f t="shared" si="2"/>
      </x:c>
      <x:c r="S74" s="324"/>
      <x:c r="T74" s="336" t="str">
        <x:f t="shared" si="13"/>
      </x:c>
      <x:c r="U74" s="325"/>
      <x:c r="V74" s="340" t="str">
        <x:f>IF(OR(D74="",U74="",$C$5="",$C$6=""),"",IF(U74="Target Hit",IF(D74="Buy",(F74-E74)*($C$5/2)*$C$6,(E74-F74)*($C$5/2)*$C$6),IF(U74="Target Hit",IF(D74="Buy",(F74-E74)*($C$5/2)*$C$6,(E74-F74)*($C$5/2)*$C$6),IF(U74="Rollover",IF(D74="Buy",(Z74-E74)*($C$5/2)*$C$6,(E74-Z74)*($C$5/2)*$C$6),IF(U74="Stoploss 1 Hit",IF(K74="","",IF(D74="Buy",(K74-E74)*$C$5*$C$6,(E74-K74)*$C$5*$C$6)),IF(OR(U74="Gap Down Stoploss 1 Hit",U74="Gap Up Stoploss 1 Hit"),IF(Q74="","",IF(D74="Buy",(Q74-E74)*$C$5*$C$6,(E74-Q74)*$C$5*$C$6)),0))))))</x:f>
      </x:c>
      <x:c r="W74" s="326"/>
      <x:c r="X74" s="341" t="str">
        <x:f>IF(D74="","",IF(U74="Target Hit",IF(W74="Stoploss 2 Hit",IF(N74="","",IF(D74="Buy",(N74-E74)*($C$5/2)*$C$6,(E74-N74)*($C$5/2)*$C$6)),IF(U74="Target Hit",IF(W74="Rollover",IF(Z74="","",IF(D74="Buy",(Z74-E74)*($C$5/2)*$C$6,(E74-Z74)*($C$5/2)*$C$6)),IF(W74="Gap Down Stoploss 2 Hit",IF(T74="","",IF(D74="Buy",(T74-E74)*($C$5/2)*$C$6,(E74-T74)*($C$5/2)*$C$6)),IF(W74="Gap Up Stoploss 2 Hit",IF(T74="","",IF(D74="Buy",(T74-E74)*($C$5/2)*$C$6,(E74-T74)*($C$5/2)*$C$6)),0))),0))))</x:f>
      </x:c>
      <x:c r="Y74" s="343" t="str">
        <x:f t="shared" si="3"/>
      </x:c>
      <x:c r="Z74" s="327"/>
    </x:row>
    <x:row r="75">
      <x:c r="A75" s="35">
        <x:v>63</x:v>
      </x:c>
      <x:c r="B75" s="318"/>
      <x:c r="C75" s="319"/>
      <x:c r="D75" s="320"/>
      <x:c r="E75" s="321"/>
      <x:c r="F75" s="322"/>
      <x:c r="G75" s="321"/>
      <x:c r="H75" s="323"/>
      <x:c r="I75" s="337" t="str">
        <x:f t="shared" si="0"/>
      </x:c>
      <x:c r="J75" s="324"/>
      <x:c r="K75" s="336" t="str">
        <x:f t="shared" si="9"/>
      </x:c>
      <x:c r="L75" s="335" t="str">
        <x:f t="shared" si="10"/>
      </x:c>
      <x:c r="M75" s="324"/>
      <x:c r="N75" s="336" t="str">
        <x:f t="shared" si="11"/>
      </x:c>
      <x:c r="O75" s="337" t="str">
        <x:f t="shared" si="1"/>
      </x:c>
      <x:c r="P75" s="324"/>
      <x:c r="Q75" s="336" t="str">
        <x:f t="shared" si="12"/>
      </x:c>
      <x:c r="R75" s="339" t="str">
        <x:f t="shared" si="2"/>
      </x:c>
      <x:c r="S75" s="324"/>
      <x:c r="T75" s="336" t="str">
        <x:f t="shared" si="13"/>
      </x:c>
      <x:c r="U75" s="325"/>
      <x:c r="V75" s="340" t="str">
        <x:f>IF(OR(D75="",U75="",$C$5="",$C$6=""),"",IF(U75="Target Hit",IF(D75="Buy",(F75-E75)*($C$5/2)*$C$6,(E75-F75)*($C$5/2)*$C$6),IF(U75="Target Hit",IF(D75="Buy",(F75-E75)*($C$5/2)*$C$6,(E75-F75)*($C$5/2)*$C$6),IF(U75="Rollover",IF(D75="Buy",(Z75-E75)*($C$5/2)*$C$6,(E75-Z75)*($C$5/2)*$C$6),IF(U75="Stoploss 1 Hit",IF(K75="","",IF(D75="Buy",(K75-E75)*$C$5*$C$6,(E75-K75)*$C$5*$C$6)),IF(OR(U75="Gap Down Stoploss 1 Hit",U75="Gap Up Stoploss 1 Hit"),IF(Q75="","",IF(D75="Buy",(Q75-E75)*$C$5*$C$6,(E75-Q75)*$C$5*$C$6)),0))))))</x:f>
      </x:c>
      <x:c r="W75" s="326"/>
      <x:c r="X75" s="341" t="str">
        <x:f>IF(D75="","",IF(U75="Target Hit",IF(W75="Stoploss 2 Hit",IF(N75="","",IF(D75="Buy",(N75-E75)*($C$5/2)*$C$6,(E75-N75)*($C$5/2)*$C$6)),IF(U75="Target Hit",IF(W75="Rollover",IF(Z75="","",IF(D75="Buy",(Z75-E75)*($C$5/2)*$C$6,(E75-Z75)*($C$5/2)*$C$6)),IF(W75="Gap Down Stoploss 2 Hit",IF(T75="","",IF(D75="Buy",(T75-E75)*($C$5/2)*$C$6,(E75-T75)*($C$5/2)*$C$6)),IF(W75="Gap Up Stoploss 2 Hit",IF(T75="","",IF(D75="Buy",(T75-E75)*($C$5/2)*$C$6,(E75-T75)*($C$5/2)*$C$6)),0))),0))))</x:f>
      </x:c>
      <x:c r="Y75" s="343" t="str">
        <x:f t="shared" si="3"/>
      </x:c>
      <x:c r="Z75" s="327"/>
    </x:row>
    <x:row r="76">
      <x:c r="A76" s="35">
        <x:v>64</x:v>
      </x:c>
      <x:c r="B76" s="318"/>
      <x:c r="C76" s="319"/>
      <x:c r="D76" s="320"/>
      <x:c r="E76" s="321"/>
      <x:c r="F76" s="322"/>
      <x:c r="G76" s="321"/>
      <x:c r="H76" s="323"/>
      <x:c r="I76" s="337" t="str">
        <x:f t="shared" si="0"/>
      </x:c>
      <x:c r="J76" s="324"/>
      <x:c r="K76" s="336" t="str">
        <x:f t="shared" si="9"/>
      </x:c>
      <x:c r="L76" s="335" t="str">
        <x:f t="shared" si="10"/>
      </x:c>
      <x:c r="M76" s="324"/>
      <x:c r="N76" s="336" t="str">
        <x:f t="shared" si="11"/>
      </x:c>
      <x:c r="O76" s="337" t="str">
        <x:f t="shared" si="1"/>
      </x:c>
      <x:c r="P76" s="324"/>
      <x:c r="Q76" s="336" t="str">
        <x:f t="shared" si="12"/>
      </x:c>
      <x:c r="R76" s="339" t="str">
        <x:f t="shared" si="2"/>
      </x:c>
      <x:c r="S76" s="324"/>
      <x:c r="T76" s="336" t="str">
        <x:f t="shared" si="13"/>
      </x:c>
      <x:c r="U76" s="325"/>
      <x:c r="V76" s="340" t="str">
        <x:f>IF(OR(D76="",U76="",$C$5="",$C$6=""),"",IF(U76="Target Hit",IF(D76="Buy",(F76-E76)*($C$5/2)*$C$6,(E76-F76)*($C$5/2)*$C$6),IF(U76="Target Hit",IF(D76="Buy",(F76-E76)*($C$5/2)*$C$6,(E76-F76)*($C$5/2)*$C$6),IF(U76="Rollover",IF(D76="Buy",(Z76-E76)*($C$5/2)*$C$6,(E76-Z76)*($C$5/2)*$C$6),IF(U76="Stoploss 1 Hit",IF(K76="","",IF(D76="Buy",(K76-E76)*$C$5*$C$6,(E76-K76)*$C$5*$C$6)),IF(OR(U76="Gap Down Stoploss 1 Hit",U76="Gap Up Stoploss 1 Hit"),IF(Q76="","",IF(D76="Buy",(Q76-E76)*$C$5*$C$6,(E76-Q76)*$C$5*$C$6)),0))))))</x:f>
      </x:c>
      <x:c r="W76" s="326"/>
      <x:c r="X76" s="341" t="str">
        <x:f>IF(D76="","",IF(U76="Target Hit",IF(W76="Stoploss 2 Hit",IF(N76="","",IF(D76="Buy",(N76-E76)*($C$5/2)*$C$6,(E76-N76)*($C$5/2)*$C$6)),IF(U76="Target Hit",IF(W76="Rollover",IF(Z76="","",IF(D76="Buy",(Z76-E76)*($C$5/2)*$C$6,(E76-Z76)*($C$5/2)*$C$6)),IF(W76="Gap Down Stoploss 2 Hit",IF(T76="","",IF(D76="Buy",(T76-E76)*($C$5/2)*$C$6,(E76-T76)*($C$5/2)*$C$6)),IF(W76="Gap Up Stoploss 2 Hit",IF(T76="","",IF(D76="Buy",(T76-E76)*($C$5/2)*$C$6,(E76-T76)*($C$5/2)*$C$6)),0))),0))))</x:f>
      </x:c>
      <x:c r="Y76" s="343" t="str">
        <x:f t="shared" si="3"/>
      </x:c>
      <x:c r="Z76" s="327"/>
    </x:row>
    <x:row r="77">
      <x:c r="A77" s="35">
        <x:v>65</x:v>
      </x:c>
      <x:c r="B77" s="318"/>
      <x:c r="C77" s="319"/>
      <x:c r="D77" s="320"/>
      <x:c r="E77" s="321"/>
      <x:c r="F77" s="322"/>
      <x:c r="G77" s="321"/>
      <x:c r="H77" s="323"/>
      <x:c r="I77" s="337" t="str">
        <x:f t="shared" ref="I77:I140" si="14">IF(D77="Buy","Enter New 2DLL",IF(D77="Sell","Enter New 2DHH",""))</x:f>
      </x:c>
      <x:c r="J77" s="324"/>
      <x:c r="K77" s="336" t="str">
        <x:f t="shared" si="9"/>
      </x:c>
      <x:c r="L77" s="335" t="str">
        <x:f t="shared" si="10"/>
      </x:c>
      <x:c r="M77" s="324"/>
      <x:c r="N77" s="336" t="str">
        <x:f t="shared" si="11"/>
      </x:c>
      <x:c r="O77" s="337" t="str">
        <x:f t="shared" ref="O77:O140" si="15">IF(D77="Buy","Enter First 15-Minute Low",IF(D77="Sell","Enter First 15-Minute High",""))</x:f>
      </x:c>
      <x:c r="P77" s="324"/>
      <x:c r="Q77" s="336" t="str">
        <x:f t="shared" si="12"/>
      </x:c>
      <x:c r="R77" s="339" t="str">
        <x:f t="shared" ref="R77:R140" si="16">IF(D77="Buy","Enter First 15-Minute Low",IF(D77="Sell","Enter First 15-Minute High",""))</x:f>
      </x:c>
      <x:c r="S77" s="324"/>
      <x:c r="T77" s="336" t="str">
        <x:f t="shared" si="13"/>
      </x:c>
      <x:c r="U77" s="325"/>
      <x:c r="V77" s="340" t="str">
        <x:f>IF(OR(D77="",U77="",$C$5="",$C$6=""),"",IF(U77="Target Hit",IF(D77="Buy",(F77-E77)*($C$5/2)*$C$6,(E77-F77)*($C$5/2)*$C$6),IF(U77="Target Hit",IF(D77="Buy",(F77-E77)*($C$5/2)*$C$6,(E77-F77)*($C$5/2)*$C$6),IF(U77="Rollover",IF(D77="Buy",(Z77-E77)*($C$5/2)*$C$6,(E77-Z77)*($C$5/2)*$C$6),IF(U77="Stoploss 1 Hit",IF(K77="","",IF(D77="Buy",(K77-E77)*$C$5*$C$6,(E77-K77)*$C$5*$C$6)),IF(OR(U77="Gap Down Stoploss 1 Hit",U77="Gap Up Stoploss 1 Hit"),IF(Q77="","",IF(D77="Buy",(Q77-E77)*$C$5*$C$6,(E77-Q77)*$C$5*$C$6)),0))))))</x:f>
      </x:c>
      <x:c r="W77" s="326"/>
      <x:c r="X77" s="341" t="str">
        <x:f>IF(D77="","",IF(U77="Target Hit",IF(W77="Stoploss 2 Hit",IF(N77="","",IF(D77="Buy",(N77-E77)*($C$5/2)*$C$6,(E77-N77)*($C$5/2)*$C$6)),IF(U77="Target Hit",IF(W77="Rollover",IF(Z77="","",IF(D77="Buy",(Z77-E77)*($C$5/2)*$C$6,(E77-Z77)*($C$5/2)*$C$6)),IF(W77="Gap Down Stoploss 2 Hit",IF(T77="","",IF(D77="Buy",(T77-E77)*($C$5/2)*$C$6,(E77-T77)*($C$5/2)*$C$6)),IF(W77="Gap Up Stoploss 2 Hit",IF(T77="","",IF(D77="Buy",(T77-E77)*($C$5/2)*$C$6,(E77-T77)*($C$5/2)*$C$6)),0))),0))))</x:f>
      </x:c>
      <x:c r="Y77" s="343" t="str">
        <x:f t="shared" ref="Y77:Y140" si="17">IF(AND(V77="",X77=""),"",IF(V77="",0,V77)+IF(X77="",0,X77))</x:f>
      </x:c>
      <x:c r="Z77" s="327"/>
    </x:row>
    <x:row r="78">
      <x:c r="A78" s="35">
        <x:v>66</x:v>
      </x:c>
      <x:c r="B78" s="318"/>
      <x:c r="C78" s="319"/>
      <x:c r="D78" s="320"/>
      <x:c r="E78" s="321"/>
      <x:c r="F78" s="322"/>
      <x:c r="G78" s="321"/>
      <x:c r="H78" s="323"/>
      <x:c r="I78" s="337" t="str">
        <x:f t="shared" si="14"/>
      </x:c>
      <x:c r="J78" s="324"/>
      <x:c r="K78" s="336" t="str">
        <x:f t="shared" ref="K78:K109" si="18">IF(OR(D78="",E78="",J78=""),"",IF(D78="Buy",MROUND(MAX(E78*(1-1.25%),J78*(1-0.125%)),1),MROUND(MIN(E78*(1+1.25%),J78*(1+0.125%)),1)))</x:f>
      </x:c>
      <x:c r="L78" s="335" t="str">
        <x:f t="shared" ref="L78:L109" si="19">IF(D78="Buy","Enter New 3DLL",IF(D78="Sell","Enter New 3DHH",""))</x:f>
      </x:c>
      <x:c r="M78" s="324"/>
      <x:c r="N78" s="336" t="str">
        <x:f t="shared" ref="N78:N109" si="20">IF(OR(D78="",E78="",M78=""),"",IF(D78="Buy",MROUND(MAX(E78*(1-1.25%),M78*(1-0.125%)),1),MROUND(MIN(E78*(1+1.25%),M78*(1+0.125%)),1)))</x:f>
      </x:c>
      <x:c r="O78" s="337" t="str">
        <x:f t="shared" si="15"/>
      </x:c>
      <x:c r="P78" s="324"/>
      <x:c r="Q78" s="336" t="str">
        <x:f t="shared" ref="Q78:Q109" si="21">IF(OR(D78="",P78=""),"",IF(D78="Buy",MROUND(P78*(1-0.125%),1),MROUND(P78*(1+0.125%),1)))</x:f>
      </x:c>
      <x:c r="R78" s="339" t="str">
        <x:f t="shared" si="16"/>
      </x:c>
      <x:c r="S78" s="324"/>
      <x:c r="T78" s="336" t="str">
        <x:f t="shared" ref="T78:T109" si="22">IF(OR(D78="",S78=""),"",IF(D78="Buy",MROUND(S78*(1-0.125%),1),MROUND(S78*(1+0.125%),1)))</x:f>
      </x:c>
      <x:c r="U78" s="325"/>
      <x:c r="V78" s="340" t="str">
        <x:f>IF(OR(D78="",U78="",$C$5="",$C$6=""),"",IF(U78="Target Hit",IF(D78="Buy",(F78-E78)*($C$5/2)*$C$6,(E78-F78)*($C$5/2)*$C$6),IF(U78="Target Hit",IF(D78="Buy",(F78-E78)*($C$5/2)*$C$6,(E78-F78)*($C$5/2)*$C$6),IF(U78="Rollover",IF(D78="Buy",(Z78-E78)*($C$5/2)*$C$6,(E78-Z78)*($C$5/2)*$C$6),IF(U78="Stoploss 1 Hit",IF(K78="","",IF(D78="Buy",(K78-E78)*$C$5*$C$6,(E78-K78)*$C$5*$C$6)),IF(OR(U78="Gap Down Stoploss 1 Hit",U78="Gap Up Stoploss 1 Hit"),IF(Q78="","",IF(D78="Buy",(Q78-E78)*$C$5*$C$6,(E78-Q78)*$C$5*$C$6)),0))))))</x:f>
      </x:c>
      <x:c r="W78" s="326"/>
      <x:c r="X78" s="341" t="str">
        <x:f>IF(D78="","",IF(U78="Target Hit",IF(W78="Stoploss 2 Hit",IF(N78="","",IF(D78="Buy",(N78-E78)*($C$5/2)*$C$6,(E78-N78)*($C$5/2)*$C$6)),IF(U78="Target Hit",IF(W78="Rollover",IF(Z78="","",IF(D78="Buy",(Z78-E78)*($C$5/2)*$C$6,(E78-Z78)*($C$5/2)*$C$6)),IF(W78="Gap Down Stoploss 2 Hit",IF(T78="","",IF(D78="Buy",(T78-E78)*($C$5/2)*$C$6,(E78-T78)*($C$5/2)*$C$6)),IF(W78="Gap Up Stoploss 2 Hit",IF(T78="","",IF(D78="Buy",(T78-E78)*($C$5/2)*$C$6,(E78-T78)*($C$5/2)*$C$6)),0))),0))))</x:f>
      </x:c>
      <x:c r="Y78" s="343" t="str">
        <x:f t="shared" si="17"/>
      </x:c>
      <x:c r="Z78" s="327"/>
    </x:row>
    <x:row r="79">
      <x:c r="A79" s="35">
        <x:v>67</x:v>
      </x:c>
      <x:c r="B79" s="318"/>
      <x:c r="C79" s="319"/>
      <x:c r="D79" s="320"/>
      <x:c r="E79" s="321"/>
      <x:c r="F79" s="322"/>
      <x:c r="G79" s="321"/>
      <x:c r="H79" s="323"/>
      <x:c r="I79" s="337" t="str">
        <x:f t="shared" si="14"/>
      </x:c>
      <x:c r="J79" s="324"/>
      <x:c r="K79" s="336" t="str">
        <x:f t="shared" si="18"/>
      </x:c>
      <x:c r="L79" s="335" t="str">
        <x:f t="shared" si="19"/>
      </x:c>
      <x:c r="M79" s="324"/>
      <x:c r="N79" s="336" t="str">
        <x:f t="shared" si="20"/>
      </x:c>
      <x:c r="O79" s="337" t="str">
        <x:f t="shared" si="15"/>
      </x:c>
      <x:c r="P79" s="324"/>
      <x:c r="Q79" s="336" t="str">
        <x:f t="shared" si="21"/>
      </x:c>
      <x:c r="R79" s="339" t="str">
        <x:f t="shared" si="16"/>
      </x:c>
      <x:c r="S79" s="324"/>
      <x:c r="T79" s="336" t="str">
        <x:f t="shared" si="22"/>
      </x:c>
      <x:c r="U79" s="325"/>
      <x:c r="V79" s="340" t="str">
        <x:f>IF(OR(D79="",U79="",$C$5="",$C$6=""),"",IF(U79="Target Hit",IF(D79="Buy",(F79-E79)*($C$5/2)*$C$6,(E79-F79)*($C$5/2)*$C$6),IF(U79="Target Hit",IF(D79="Buy",(F79-E79)*($C$5/2)*$C$6,(E79-F79)*($C$5/2)*$C$6),IF(U79="Rollover",IF(D79="Buy",(Z79-E79)*($C$5/2)*$C$6,(E79-Z79)*($C$5/2)*$C$6),IF(U79="Stoploss 1 Hit",IF(K79="","",IF(D79="Buy",(K79-E79)*$C$5*$C$6,(E79-K79)*$C$5*$C$6)),IF(OR(U79="Gap Down Stoploss 1 Hit",U79="Gap Up Stoploss 1 Hit"),IF(Q79="","",IF(D79="Buy",(Q79-E79)*$C$5*$C$6,(E79-Q79)*$C$5*$C$6)),0))))))</x:f>
      </x:c>
      <x:c r="W79" s="326"/>
      <x:c r="X79" s="341" t="str">
        <x:f>IF(D79="","",IF(U79="Target Hit",IF(W79="Stoploss 2 Hit",IF(N79="","",IF(D79="Buy",(N79-E79)*($C$5/2)*$C$6,(E79-N79)*($C$5/2)*$C$6)),IF(U79="Target Hit",IF(W79="Rollover",IF(Z79="","",IF(D79="Buy",(Z79-E79)*($C$5/2)*$C$6,(E79-Z79)*($C$5/2)*$C$6)),IF(W79="Gap Down Stoploss 2 Hit",IF(T79="","",IF(D79="Buy",(T79-E79)*($C$5/2)*$C$6,(E79-T79)*($C$5/2)*$C$6)),IF(W79="Gap Up Stoploss 2 Hit",IF(T79="","",IF(D79="Buy",(T79-E79)*($C$5/2)*$C$6,(E79-T79)*($C$5/2)*$C$6)),0))),0))))</x:f>
      </x:c>
      <x:c r="Y79" s="343" t="str">
        <x:f t="shared" si="17"/>
      </x:c>
      <x:c r="Z79" s="327"/>
    </x:row>
    <x:row r="80">
      <x:c r="A80" s="35">
        <x:v>68</x:v>
      </x:c>
      <x:c r="B80" s="318"/>
      <x:c r="C80" s="319"/>
      <x:c r="D80" s="320"/>
      <x:c r="E80" s="321"/>
      <x:c r="F80" s="322"/>
      <x:c r="G80" s="321"/>
      <x:c r="H80" s="323"/>
      <x:c r="I80" s="337" t="str">
        <x:f t="shared" si="14"/>
      </x:c>
      <x:c r="J80" s="324"/>
      <x:c r="K80" s="336" t="str">
        <x:f t="shared" si="18"/>
      </x:c>
      <x:c r="L80" s="335" t="str">
        <x:f t="shared" si="19"/>
      </x:c>
      <x:c r="M80" s="324"/>
      <x:c r="N80" s="336" t="str">
        <x:f t="shared" si="20"/>
      </x:c>
      <x:c r="O80" s="337" t="str">
        <x:f t="shared" si="15"/>
      </x:c>
      <x:c r="P80" s="324"/>
      <x:c r="Q80" s="336" t="str">
        <x:f t="shared" si="21"/>
      </x:c>
      <x:c r="R80" s="339" t="str">
        <x:f t="shared" si="16"/>
      </x:c>
      <x:c r="S80" s="324"/>
      <x:c r="T80" s="336" t="str">
        <x:f t="shared" si="22"/>
      </x:c>
      <x:c r="U80" s="325"/>
      <x:c r="V80" s="340" t="str">
        <x:f>IF(OR(D80="",U80="",$C$5="",$C$6=""),"",IF(U80="Target Hit",IF(D80="Buy",(F80-E80)*($C$5/2)*$C$6,(E80-F80)*($C$5/2)*$C$6),IF(U80="Target Hit",IF(D80="Buy",(F80-E80)*($C$5/2)*$C$6,(E80-F80)*($C$5/2)*$C$6),IF(U80="Rollover",IF(D80="Buy",(Z80-E80)*($C$5/2)*$C$6,(E80-Z80)*($C$5/2)*$C$6),IF(U80="Stoploss 1 Hit",IF(K80="","",IF(D80="Buy",(K80-E80)*$C$5*$C$6,(E80-K80)*$C$5*$C$6)),IF(OR(U80="Gap Down Stoploss 1 Hit",U80="Gap Up Stoploss 1 Hit"),IF(Q80="","",IF(D80="Buy",(Q80-E80)*$C$5*$C$6,(E80-Q80)*$C$5*$C$6)),0))))))</x:f>
      </x:c>
      <x:c r="W80" s="326"/>
      <x:c r="X80" s="341" t="str">
        <x:f>IF(D80="","",IF(U80="Target Hit",IF(W80="Stoploss 2 Hit",IF(N80="","",IF(D80="Buy",(N80-E80)*($C$5/2)*$C$6,(E80-N80)*($C$5/2)*$C$6)),IF(U80="Target Hit",IF(W80="Rollover",IF(Z80="","",IF(D80="Buy",(Z80-E80)*($C$5/2)*$C$6,(E80-Z80)*($C$5/2)*$C$6)),IF(W80="Gap Down Stoploss 2 Hit",IF(T80="","",IF(D80="Buy",(T80-E80)*($C$5/2)*$C$6,(E80-T80)*($C$5/2)*$C$6)),IF(W80="Gap Up Stoploss 2 Hit",IF(T80="","",IF(D80="Buy",(T80-E80)*($C$5/2)*$C$6,(E80-T80)*($C$5/2)*$C$6)),0))),0))))</x:f>
      </x:c>
      <x:c r="Y80" s="343" t="str">
        <x:f t="shared" si="17"/>
      </x:c>
      <x:c r="Z80" s="327"/>
    </x:row>
    <x:row r="81">
      <x:c r="A81" s="35">
        <x:v>69</x:v>
      </x:c>
      <x:c r="B81" s="318"/>
      <x:c r="C81" s="319"/>
      <x:c r="D81" s="320"/>
      <x:c r="E81" s="321"/>
      <x:c r="F81" s="322"/>
      <x:c r="G81" s="321"/>
      <x:c r="H81" s="323"/>
      <x:c r="I81" s="337" t="str">
        <x:f t="shared" si="14"/>
      </x:c>
      <x:c r="J81" s="324"/>
      <x:c r="K81" s="336" t="str">
        <x:f t="shared" si="18"/>
      </x:c>
      <x:c r="L81" s="335" t="str">
        <x:f t="shared" si="19"/>
      </x:c>
      <x:c r="M81" s="324"/>
      <x:c r="N81" s="336" t="str">
        <x:f t="shared" si="20"/>
      </x:c>
      <x:c r="O81" s="337" t="str">
        <x:f t="shared" si="15"/>
      </x:c>
      <x:c r="P81" s="324"/>
      <x:c r="Q81" s="336" t="str">
        <x:f t="shared" si="21"/>
      </x:c>
      <x:c r="R81" s="339" t="str">
        <x:f t="shared" si="16"/>
      </x:c>
      <x:c r="S81" s="324"/>
      <x:c r="T81" s="336" t="str">
        <x:f t="shared" si="22"/>
      </x:c>
      <x:c r="U81" s="325"/>
      <x:c r="V81" s="340" t="str">
        <x:f>IF(OR(D81="",U81="",$C$5="",$C$6=""),"",IF(U81="Target Hit",IF(D81="Buy",(F81-E81)*($C$5/2)*$C$6,(E81-F81)*($C$5/2)*$C$6),IF(U81="Target Hit",IF(D81="Buy",(F81-E81)*($C$5/2)*$C$6,(E81-F81)*($C$5/2)*$C$6),IF(U81="Rollover",IF(D81="Buy",(Z81-E81)*($C$5/2)*$C$6,(E81-Z81)*($C$5/2)*$C$6),IF(U81="Stoploss 1 Hit",IF(K81="","",IF(D81="Buy",(K81-E81)*$C$5*$C$6,(E81-K81)*$C$5*$C$6)),IF(OR(U81="Gap Down Stoploss 1 Hit",U81="Gap Up Stoploss 1 Hit"),IF(Q81="","",IF(D81="Buy",(Q81-E81)*$C$5*$C$6,(E81-Q81)*$C$5*$C$6)),0))))))</x:f>
      </x:c>
      <x:c r="W81" s="326"/>
      <x:c r="X81" s="341" t="str">
        <x:f>IF(D81="","",IF(U81="Target Hit",IF(W81="Stoploss 2 Hit",IF(N81="","",IF(D81="Buy",(N81-E81)*($C$5/2)*$C$6,(E81-N81)*($C$5/2)*$C$6)),IF(U81="Target Hit",IF(W81="Rollover",IF(Z81="","",IF(D81="Buy",(Z81-E81)*($C$5/2)*$C$6,(E81-Z81)*($C$5/2)*$C$6)),IF(W81="Gap Down Stoploss 2 Hit",IF(T81="","",IF(D81="Buy",(T81-E81)*($C$5/2)*$C$6,(E81-T81)*($C$5/2)*$C$6)),IF(W81="Gap Up Stoploss 2 Hit",IF(T81="","",IF(D81="Buy",(T81-E81)*($C$5/2)*$C$6,(E81-T81)*($C$5/2)*$C$6)),0))),0))))</x:f>
      </x:c>
      <x:c r="Y81" s="343" t="str">
        <x:f t="shared" si="17"/>
      </x:c>
      <x:c r="Z81" s="327"/>
    </x:row>
    <x:row r="82">
      <x:c r="A82" s="35">
        <x:v>70</x:v>
      </x:c>
      <x:c r="B82" s="318"/>
      <x:c r="C82" s="319"/>
      <x:c r="D82" s="320"/>
      <x:c r="E82" s="321"/>
      <x:c r="F82" s="322"/>
      <x:c r="G82" s="321"/>
      <x:c r="H82" s="323"/>
      <x:c r="I82" s="337" t="str">
        <x:f t="shared" si="14"/>
      </x:c>
      <x:c r="J82" s="324"/>
      <x:c r="K82" s="336" t="str">
        <x:f t="shared" si="18"/>
      </x:c>
      <x:c r="L82" s="335" t="str">
        <x:f t="shared" si="19"/>
      </x:c>
      <x:c r="M82" s="324"/>
      <x:c r="N82" s="336" t="str">
        <x:f t="shared" si="20"/>
      </x:c>
      <x:c r="O82" s="337" t="str">
        <x:f t="shared" si="15"/>
      </x:c>
      <x:c r="P82" s="324"/>
      <x:c r="Q82" s="336" t="str">
        <x:f t="shared" si="21"/>
      </x:c>
      <x:c r="R82" s="339" t="str">
        <x:f t="shared" si="16"/>
      </x:c>
      <x:c r="S82" s="324"/>
      <x:c r="T82" s="336" t="str">
        <x:f t="shared" si="22"/>
      </x:c>
      <x:c r="U82" s="325"/>
      <x:c r="V82" s="340" t="str">
        <x:f>IF(OR(D82="",U82="",$C$5="",$C$6=""),"",IF(U82="Target Hit",IF(D82="Buy",(F82-E82)*($C$5/2)*$C$6,(E82-F82)*($C$5/2)*$C$6),IF(U82="Target Hit",IF(D82="Buy",(F82-E82)*($C$5/2)*$C$6,(E82-F82)*($C$5/2)*$C$6),IF(U82="Rollover",IF(D82="Buy",(Z82-E82)*($C$5/2)*$C$6,(E82-Z82)*($C$5/2)*$C$6),IF(U82="Stoploss 1 Hit",IF(K82="","",IF(D82="Buy",(K82-E82)*$C$5*$C$6,(E82-K82)*$C$5*$C$6)),IF(OR(U82="Gap Down Stoploss 1 Hit",U82="Gap Up Stoploss 1 Hit"),IF(Q82="","",IF(D82="Buy",(Q82-E82)*$C$5*$C$6,(E82-Q82)*$C$5*$C$6)),0))))))</x:f>
      </x:c>
      <x:c r="W82" s="326"/>
      <x:c r="X82" s="341" t="str">
        <x:f>IF(D82="","",IF(U82="Target Hit",IF(W82="Stoploss 2 Hit",IF(N82="","",IF(D82="Buy",(N82-E82)*($C$5/2)*$C$6,(E82-N82)*($C$5/2)*$C$6)),IF(U82="Target Hit",IF(W82="Rollover",IF(Z82="","",IF(D82="Buy",(Z82-E82)*($C$5/2)*$C$6,(E82-Z82)*($C$5/2)*$C$6)),IF(W82="Gap Down Stoploss 2 Hit",IF(T82="","",IF(D82="Buy",(T82-E82)*($C$5/2)*$C$6,(E82-T82)*($C$5/2)*$C$6)),IF(W82="Gap Up Stoploss 2 Hit",IF(T82="","",IF(D82="Buy",(T82-E82)*($C$5/2)*$C$6,(E82-T82)*($C$5/2)*$C$6)),0))),0))))</x:f>
      </x:c>
      <x:c r="Y82" s="343" t="str">
        <x:f t="shared" si="17"/>
      </x:c>
      <x:c r="Z82" s="327"/>
    </x:row>
    <x:row r="83">
      <x:c r="A83" s="35">
        <x:v>71</x:v>
      </x:c>
      <x:c r="B83" s="318"/>
      <x:c r="C83" s="319"/>
      <x:c r="D83" s="320"/>
      <x:c r="E83" s="321"/>
      <x:c r="F83" s="322"/>
      <x:c r="G83" s="321"/>
      <x:c r="H83" s="323"/>
      <x:c r="I83" s="337" t="str">
        <x:f t="shared" si="14"/>
      </x:c>
      <x:c r="J83" s="324"/>
      <x:c r="K83" s="336" t="str">
        <x:f t="shared" si="18"/>
      </x:c>
      <x:c r="L83" s="335" t="str">
        <x:f t="shared" si="19"/>
      </x:c>
      <x:c r="M83" s="324"/>
      <x:c r="N83" s="336" t="str">
        <x:f t="shared" si="20"/>
      </x:c>
      <x:c r="O83" s="337" t="str">
        <x:f t="shared" si="15"/>
      </x:c>
      <x:c r="P83" s="324"/>
      <x:c r="Q83" s="336" t="str">
        <x:f t="shared" si="21"/>
      </x:c>
      <x:c r="R83" s="339" t="str">
        <x:f t="shared" si="16"/>
      </x:c>
      <x:c r="S83" s="324"/>
      <x:c r="T83" s="336" t="str">
        <x:f t="shared" si="22"/>
      </x:c>
      <x:c r="U83" s="325"/>
      <x:c r="V83" s="340" t="str">
        <x:f>IF(OR(D83="",U83="",$C$5="",$C$6=""),"",IF(U83="Target Hit",IF(D83="Buy",(F83-E83)*($C$5/2)*$C$6,(E83-F83)*($C$5/2)*$C$6),IF(U83="Target Hit",IF(D83="Buy",(F83-E83)*($C$5/2)*$C$6,(E83-F83)*($C$5/2)*$C$6),IF(U83="Rollover",IF(D83="Buy",(Z83-E83)*($C$5/2)*$C$6,(E83-Z83)*($C$5/2)*$C$6),IF(U83="Stoploss 1 Hit",IF(K83="","",IF(D83="Buy",(K83-E83)*$C$5*$C$6,(E83-K83)*$C$5*$C$6)),IF(OR(U83="Gap Down Stoploss 1 Hit",U83="Gap Up Stoploss 1 Hit"),IF(Q83="","",IF(D83="Buy",(Q83-E83)*$C$5*$C$6,(E83-Q83)*$C$5*$C$6)),0))))))</x:f>
      </x:c>
      <x:c r="W83" s="326"/>
      <x:c r="X83" s="341" t="str">
        <x:f>IF(D83="","",IF(U83="Target Hit",IF(W83="Stoploss 2 Hit",IF(N83="","",IF(D83="Buy",(N83-E83)*($C$5/2)*$C$6,(E83-N83)*($C$5/2)*$C$6)),IF(U83="Target Hit",IF(W83="Rollover",IF(Z83="","",IF(D83="Buy",(Z83-E83)*($C$5/2)*$C$6,(E83-Z83)*($C$5/2)*$C$6)),IF(W83="Gap Down Stoploss 2 Hit",IF(T83="","",IF(D83="Buy",(T83-E83)*($C$5/2)*$C$6,(E83-T83)*($C$5/2)*$C$6)),IF(W83="Gap Up Stoploss 2 Hit",IF(T83="","",IF(D83="Buy",(T83-E83)*($C$5/2)*$C$6,(E83-T83)*($C$5/2)*$C$6)),0))),0))))</x:f>
      </x:c>
      <x:c r="Y83" s="343" t="str">
        <x:f t="shared" si="17"/>
      </x:c>
      <x:c r="Z83" s="327"/>
    </x:row>
    <x:row r="84">
      <x:c r="A84" s="35">
        <x:v>72</x:v>
      </x:c>
      <x:c r="B84" s="318"/>
      <x:c r="C84" s="319"/>
      <x:c r="D84" s="320"/>
      <x:c r="E84" s="321"/>
      <x:c r="F84" s="322"/>
      <x:c r="G84" s="321"/>
      <x:c r="H84" s="323"/>
      <x:c r="I84" s="337" t="str">
        <x:f t="shared" si="14"/>
      </x:c>
      <x:c r="J84" s="324"/>
      <x:c r="K84" s="336" t="str">
        <x:f t="shared" si="18"/>
      </x:c>
      <x:c r="L84" s="335" t="str">
        <x:f t="shared" si="19"/>
      </x:c>
      <x:c r="M84" s="324"/>
      <x:c r="N84" s="336" t="str">
        <x:f t="shared" si="20"/>
      </x:c>
      <x:c r="O84" s="337" t="str">
        <x:f t="shared" si="15"/>
      </x:c>
      <x:c r="P84" s="324"/>
      <x:c r="Q84" s="336" t="str">
        <x:f t="shared" si="21"/>
      </x:c>
      <x:c r="R84" s="339" t="str">
        <x:f t="shared" si="16"/>
      </x:c>
      <x:c r="S84" s="324"/>
      <x:c r="T84" s="336" t="str">
        <x:f t="shared" si="22"/>
      </x:c>
      <x:c r="U84" s="325"/>
      <x:c r="V84" s="340" t="str">
        <x:f>IF(OR(D84="",U84="",$C$5="",$C$6=""),"",IF(U84="Target Hit",IF(D84="Buy",(F84-E84)*($C$5/2)*$C$6,(E84-F84)*($C$5/2)*$C$6),IF(U84="Target Hit",IF(D84="Buy",(F84-E84)*($C$5/2)*$C$6,(E84-F84)*($C$5/2)*$C$6),IF(U84="Rollover",IF(D84="Buy",(Z84-E84)*($C$5/2)*$C$6,(E84-Z84)*($C$5/2)*$C$6),IF(U84="Stoploss 1 Hit",IF(K84="","",IF(D84="Buy",(K84-E84)*$C$5*$C$6,(E84-K84)*$C$5*$C$6)),IF(OR(U84="Gap Down Stoploss 1 Hit",U84="Gap Up Stoploss 1 Hit"),IF(Q84="","",IF(D84="Buy",(Q84-E84)*$C$5*$C$6,(E84-Q84)*$C$5*$C$6)),0))))))</x:f>
      </x:c>
      <x:c r="W84" s="326"/>
      <x:c r="X84" s="341" t="str">
        <x:f>IF(D84="","",IF(U84="Target Hit",IF(W84="Stoploss 2 Hit",IF(N84="","",IF(D84="Buy",(N84-E84)*($C$5/2)*$C$6,(E84-N84)*($C$5/2)*$C$6)),IF(U84="Target Hit",IF(W84="Rollover",IF(Z84="","",IF(D84="Buy",(Z84-E84)*($C$5/2)*$C$6,(E84-Z84)*($C$5/2)*$C$6)),IF(W84="Gap Down Stoploss 2 Hit",IF(T84="","",IF(D84="Buy",(T84-E84)*($C$5/2)*$C$6,(E84-T84)*($C$5/2)*$C$6)),IF(W84="Gap Up Stoploss 2 Hit",IF(T84="","",IF(D84="Buy",(T84-E84)*($C$5/2)*$C$6,(E84-T84)*($C$5/2)*$C$6)),0))),0))))</x:f>
      </x:c>
      <x:c r="Y84" s="343" t="str">
        <x:f t="shared" si="17"/>
      </x:c>
      <x:c r="Z84" s="327"/>
    </x:row>
    <x:row r="85">
      <x:c r="A85" s="35">
        <x:v>73</x:v>
      </x:c>
      <x:c r="B85" s="318"/>
      <x:c r="C85" s="319"/>
      <x:c r="D85" s="320"/>
      <x:c r="E85" s="321"/>
      <x:c r="F85" s="322"/>
      <x:c r="G85" s="321"/>
      <x:c r="H85" s="323"/>
      <x:c r="I85" s="337" t="str">
        <x:f t="shared" si="14"/>
      </x:c>
      <x:c r="J85" s="324"/>
      <x:c r="K85" s="336" t="str">
        <x:f t="shared" si="18"/>
      </x:c>
      <x:c r="L85" s="335" t="str">
        <x:f t="shared" si="19"/>
      </x:c>
      <x:c r="M85" s="324"/>
      <x:c r="N85" s="336" t="str">
        <x:f t="shared" si="20"/>
      </x:c>
      <x:c r="O85" s="337" t="str">
        <x:f t="shared" si="15"/>
      </x:c>
      <x:c r="P85" s="324"/>
      <x:c r="Q85" s="336" t="str">
        <x:f t="shared" si="21"/>
      </x:c>
      <x:c r="R85" s="339" t="str">
        <x:f t="shared" si="16"/>
      </x:c>
      <x:c r="S85" s="324"/>
      <x:c r="T85" s="336" t="str">
        <x:f t="shared" si="22"/>
      </x:c>
      <x:c r="U85" s="325"/>
      <x:c r="V85" s="340" t="str">
        <x:f>IF(OR(D85="",U85="",$C$5="",$C$6=""),"",IF(U85="Target Hit",IF(D85="Buy",(F85-E85)*($C$5/2)*$C$6,(E85-F85)*($C$5/2)*$C$6),IF(U85="Target Hit",IF(D85="Buy",(F85-E85)*($C$5/2)*$C$6,(E85-F85)*($C$5/2)*$C$6),IF(U85="Rollover",IF(D85="Buy",(Z85-E85)*($C$5/2)*$C$6,(E85-Z85)*($C$5/2)*$C$6),IF(U85="Stoploss 1 Hit",IF(K85="","",IF(D85="Buy",(K85-E85)*$C$5*$C$6,(E85-K85)*$C$5*$C$6)),IF(OR(U85="Gap Down Stoploss 1 Hit",U85="Gap Up Stoploss 1 Hit"),IF(Q85="","",IF(D85="Buy",(Q85-E85)*$C$5*$C$6,(E85-Q85)*$C$5*$C$6)),0))))))</x:f>
      </x:c>
      <x:c r="W85" s="326"/>
      <x:c r="X85" s="341" t="str">
        <x:f>IF(D85="","",IF(U85="Target Hit",IF(W85="Stoploss 2 Hit",IF(N85="","",IF(D85="Buy",(N85-E85)*($C$5/2)*$C$6,(E85-N85)*($C$5/2)*$C$6)),IF(U85="Target Hit",IF(W85="Rollover",IF(Z85="","",IF(D85="Buy",(Z85-E85)*($C$5/2)*$C$6,(E85-Z85)*($C$5/2)*$C$6)),IF(W85="Gap Down Stoploss 2 Hit",IF(T85="","",IF(D85="Buy",(T85-E85)*($C$5/2)*$C$6,(E85-T85)*($C$5/2)*$C$6)),IF(W85="Gap Up Stoploss 2 Hit",IF(T85="","",IF(D85="Buy",(T85-E85)*($C$5/2)*$C$6,(E85-T85)*($C$5/2)*$C$6)),0))),0))))</x:f>
      </x:c>
      <x:c r="Y85" s="343" t="str">
        <x:f t="shared" si="17"/>
      </x:c>
      <x:c r="Z85" s="327"/>
    </x:row>
    <x:row r="86">
      <x:c r="A86" s="35">
        <x:v>74</x:v>
      </x:c>
      <x:c r="B86" s="318"/>
      <x:c r="C86" s="319"/>
      <x:c r="D86" s="320"/>
      <x:c r="E86" s="321"/>
      <x:c r="F86" s="322"/>
      <x:c r="G86" s="321"/>
      <x:c r="H86" s="323"/>
      <x:c r="I86" s="337" t="str">
        <x:f t="shared" si="14"/>
      </x:c>
      <x:c r="J86" s="324"/>
      <x:c r="K86" s="336" t="str">
        <x:f t="shared" si="18"/>
      </x:c>
      <x:c r="L86" s="335" t="str">
        <x:f t="shared" si="19"/>
      </x:c>
      <x:c r="M86" s="324"/>
      <x:c r="N86" s="336" t="str">
        <x:f t="shared" si="20"/>
      </x:c>
      <x:c r="O86" s="337" t="str">
        <x:f t="shared" si="15"/>
      </x:c>
      <x:c r="P86" s="324"/>
      <x:c r="Q86" s="336" t="str">
        <x:f t="shared" si="21"/>
      </x:c>
      <x:c r="R86" s="339" t="str">
        <x:f t="shared" si="16"/>
      </x:c>
      <x:c r="S86" s="324"/>
      <x:c r="T86" s="336" t="str">
        <x:f t="shared" si="22"/>
      </x:c>
      <x:c r="U86" s="325"/>
      <x:c r="V86" s="340" t="str">
        <x:f>IF(OR(D86="",U86="",$C$5="",$C$6=""),"",IF(U86="Target Hit",IF(D86="Buy",(F86-E86)*($C$5/2)*$C$6,(E86-F86)*($C$5/2)*$C$6),IF(U86="Target Hit",IF(D86="Buy",(F86-E86)*($C$5/2)*$C$6,(E86-F86)*($C$5/2)*$C$6),IF(U86="Rollover",IF(D86="Buy",(Z86-E86)*($C$5/2)*$C$6,(E86-Z86)*($C$5/2)*$C$6),IF(U86="Stoploss 1 Hit",IF(K86="","",IF(D86="Buy",(K86-E86)*$C$5*$C$6,(E86-K86)*$C$5*$C$6)),IF(OR(U86="Gap Down Stoploss 1 Hit",U86="Gap Up Stoploss 1 Hit"),IF(Q86="","",IF(D86="Buy",(Q86-E86)*$C$5*$C$6,(E86-Q86)*$C$5*$C$6)),0))))))</x:f>
      </x:c>
      <x:c r="W86" s="326"/>
      <x:c r="X86" s="341" t="str">
        <x:f>IF(D86="","",IF(U86="Target Hit",IF(W86="Stoploss 2 Hit",IF(N86="","",IF(D86="Buy",(N86-E86)*($C$5/2)*$C$6,(E86-N86)*($C$5/2)*$C$6)),IF(U86="Target Hit",IF(W86="Rollover",IF(Z86="","",IF(D86="Buy",(Z86-E86)*($C$5/2)*$C$6,(E86-Z86)*($C$5/2)*$C$6)),IF(W86="Gap Down Stoploss 2 Hit",IF(T86="","",IF(D86="Buy",(T86-E86)*($C$5/2)*$C$6,(E86-T86)*($C$5/2)*$C$6)),IF(W86="Gap Up Stoploss 2 Hit",IF(T86="","",IF(D86="Buy",(T86-E86)*($C$5/2)*$C$6,(E86-T86)*($C$5/2)*$C$6)),0))),0))))</x:f>
      </x:c>
      <x:c r="Y86" s="343" t="str">
        <x:f t="shared" si="17"/>
      </x:c>
      <x:c r="Z86" s="327"/>
    </x:row>
    <x:row r="87">
      <x:c r="A87" s="35">
        <x:v>75</x:v>
      </x:c>
      <x:c r="B87" s="318"/>
      <x:c r="C87" s="319"/>
      <x:c r="D87" s="320"/>
      <x:c r="E87" s="321"/>
      <x:c r="F87" s="322"/>
      <x:c r="G87" s="321"/>
      <x:c r="H87" s="323"/>
      <x:c r="I87" s="337" t="str">
        <x:f t="shared" si="14"/>
      </x:c>
      <x:c r="J87" s="324"/>
      <x:c r="K87" s="336" t="str">
        <x:f t="shared" si="18"/>
      </x:c>
      <x:c r="L87" s="335" t="str">
        <x:f t="shared" si="19"/>
      </x:c>
      <x:c r="M87" s="324"/>
      <x:c r="N87" s="336" t="str">
        <x:f t="shared" si="20"/>
      </x:c>
      <x:c r="O87" s="337" t="str">
        <x:f t="shared" si="15"/>
      </x:c>
      <x:c r="P87" s="324"/>
      <x:c r="Q87" s="336" t="str">
        <x:f t="shared" si="21"/>
      </x:c>
      <x:c r="R87" s="339" t="str">
        <x:f t="shared" si="16"/>
      </x:c>
      <x:c r="S87" s="324"/>
      <x:c r="T87" s="336" t="str">
        <x:f t="shared" si="22"/>
      </x:c>
      <x:c r="U87" s="325"/>
      <x:c r="V87" s="340" t="str">
        <x:f>IF(OR(D87="",U87="",$C$5="",$C$6=""),"",IF(U87="Target Hit",IF(D87="Buy",(F87-E87)*($C$5/2)*$C$6,(E87-F87)*($C$5/2)*$C$6),IF(U87="Target Hit",IF(D87="Buy",(F87-E87)*($C$5/2)*$C$6,(E87-F87)*($C$5/2)*$C$6),IF(U87="Rollover",IF(D87="Buy",(Z87-E87)*($C$5/2)*$C$6,(E87-Z87)*($C$5/2)*$C$6),IF(U87="Stoploss 1 Hit",IF(K87="","",IF(D87="Buy",(K87-E87)*$C$5*$C$6,(E87-K87)*$C$5*$C$6)),IF(OR(U87="Gap Down Stoploss 1 Hit",U87="Gap Up Stoploss 1 Hit"),IF(Q87="","",IF(D87="Buy",(Q87-E87)*$C$5*$C$6,(E87-Q87)*$C$5*$C$6)),0))))))</x:f>
      </x:c>
      <x:c r="W87" s="326"/>
      <x:c r="X87" s="341" t="str">
        <x:f>IF(D87="","",IF(U87="Target Hit",IF(W87="Stoploss 2 Hit",IF(N87="","",IF(D87="Buy",(N87-E87)*($C$5/2)*$C$6,(E87-N87)*($C$5/2)*$C$6)),IF(U87="Target Hit",IF(W87="Rollover",IF(Z87="","",IF(D87="Buy",(Z87-E87)*($C$5/2)*$C$6,(E87-Z87)*($C$5/2)*$C$6)),IF(W87="Gap Down Stoploss 2 Hit",IF(T87="","",IF(D87="Buy",(T87-E87)*($C$5/2)*$C$6,(E87-T87)*($C$5/2)*$C$6)),IF(W87="Gap Up Stoploss 2 Hit",IF(T87="","",IF(D87="Buy",(T87-E87)*($C$5/2)*$C$6,(E87-T87)*($C$5/2)*$C$6)),0))),0))))</x:f>
      </x:c>
      <x:c r="Y87" s="343" t="str">
        <x:f t="shared" si="17"/>
      </x:c>
      <x:c r="Z87" s="327"/>
    </x:row>
    <x:row r="88">
      <x:c r="A88" s="35">
        <x:v>76</x:v>
      </x:c>
      <x:c r="B88" s="318"/>
      <x:c r="C88" s="319"/>
      <x:c r="D88" s="320"/>
      <x:c r="E88" s="321"/>
      <x:c r="F88" s="322"/>
      <x:c r="G88" s="321"/>
      <x:c r="H88" s="323"/>
      <x:c r="I88" s="337" t="str">
        <x:f t="shared" si="14"/>
      </x:c>
      <x:c r="J88" s="324"/>
      <x:c r="K88" s="336" t="str">
        <x:f t="shared" si="18"/>
      </x:c>
      <x:c r="L88" s="335" t="str">
        <x:f t="shared" si="19"/>
      </x:c>
      <x:c r="M88" s="324"/>
      <x:c r="N88" s="336" t="str">
        <x:f t="shared" si="20"/>
      </x:c>
      <x:c r="O88" s="337" t="str">
        <x:f t="shared" si="15"/>
      </x:c>
      <x:c r="P88" s="324"/>
      <x:c r="Q88" s="336" t="str">
        <x:f t="shared" si="21"/>
      </x:c>
      <x:c r="R88" s="339" t="str">
        <x:f t="shared" si="16"/>
      </x:c>
      <x:c r="S88" s="324"/>
      <x:c r="T88" s="336" t="str">
        <x:f t="shared" si="22"/>
      </x:c>
      <x:c r="U88" s="325"/>
      <x:c r="V88" s="340" t="str">
        <x:f>IF(OR(D88="",U88="",$C$5="",$C$6=""),"",IF(U88="Target Hit",IF(D88="Buy",(F88-E88)*($C$5/2)*$C$6,(E88-F88)*($C$5/2)*$C$6),IF(U88="Target Hit",IF(D88="Buy",(F88-E88)*($C$5/2)*$C$6,(E88-F88)*($C$5/2)*$C$6),IF(U88="Rollover",IF(D88="Buy",(Z88-E88)*($C$5/2)*$C$6,(E88-Z88)*($C$5/2)*$C$6),IF(U88="Stoploss 1 Hit",IF(K88="","",IF(D88="Buy",(K88-E88)*$C$5*$C$6,(E88-K88)*$C$5*$C$6)),IF(OR(U88="Gap Down Stoploss 1 Hit",U88="Gap Up Stoploss 1 Hit"),IF(Q88="","",IF(D88="Buy",(Q88-E88)*$C$5*$C$6,(E88-Q88)*$C$5*$C$6)),0))))))</x:f>
      </x:c>
      <x:c r="W88" s="326"/>
      <x:c r="X88" s="341" t="str">
        <x:f>IF(D88="","",IF(U88="Target Hit",IF(W88="Stoploss 2 Hit",IF(N88="","",IF(D88="Buy",(N88-E88)*($C$5/2)*$C$6,(E88-N88)*($C$5/2)*$C$6)),IF(U88="Target Hit",IF(W88="Rollover",IF(Z88="","",IF(D88="Buy",(Z88-E88)*($C$5/2)*$C$6,(E88-Z88)*($C$5/2)*$C$6)),IF(W88="Gap Down Stoploss 2 Hit",IF(T88="","",IF(D88="Buy",(T88-E88)*($C$5/2)*$C$6,(E88-T88)*($C$5/2)*$C$6)),IF(W88="Gap Up Stoploss 2 Hit",IF(T88="","",IF(D88="Buy",(T88-E88)*($C$5/2)*$C$6,(E88-T88)*($C$5/2)*$C$6)),0))),0))))</x:f>
      </x:c>
      <x:c r="Y88" s="343" t="str">
        <x:f t="shared" si="17"/>
      </x:c>
      <x:c r="Z88" s="327"/>
    </x:row>
    <x:row r="89">
      <x:c r="A89" s="35">
        <x:v>77</x:v>
      </x:c>
      <x:c r="B89" s="318"/>
      <x:c r="C89" s="319"/>
      <x:c r="D89" s="320"/>
      <x:c r="E89" s="321"/>
      <x:c r="F89" s="322"/>
      <x:c r="G89" s="321"/>
      <x:c r="H89" s="323"/>
      <x:c r="I89" s="337" t="str">
        <x:f t="shared" si="14"/>
      </x:c>
      <x:c r="J89" s="324"/>
      <x:c r="K89" s="336" t="str">
        <x:f t="shared" si="18"/>
      </x:c>
      <x:c r="L89" s="335" t="str">
        <x:f t="shared" si="19"/>
      </x:c>
      <x:c r="M89" s="324"/>
      <x:c r="N89" s="336" t="str">
        <x:f t="shared" si="20"/>
      </x:c>
      <x:c r="O89" s="337" t="str">
        <x:f t="shared" si="15"/>
      </x:c>
      <x:c r="P89" s="324"/>
      <x:c r="Q89" s="336" t="str">
        <x:f t="shared" si="21"/>
      </x:c>
      <x:c r="R89" s="339" t="str">
        <x:f t="shared" si="16"/>
      </x:c>
      <x:c r="S89" s="324"/>
      <x:c r="T89" s="336" t="str">
        <x:f t="shared" si="22"/>
      </x:c>
      <x:c r="U89" s="325"/>
      <x:c r="V89" s="340" t="str">
        <x:f>IF(OR(D89="",U89="",$C$5="",$C$6=""),"",IF(U89="Target Hit",IF(D89="Buy",(F89-E89)*($C$5/2)*$C$6,(E89-F89)*($C$5/2)*$C$6),IF(U89="Target Hit",IF(D89="Buy",(F89-E89)*($C$5/2)*$C$6,(E89-F89)*($C$5/2)*$C$6),IF(U89="Rollover",IF(D89="Buy",(Z89-E89)*($C$5/2)*$C$6,(E89-Z89)*($C$5/2)*$C$6),IF(U89="Stoploss 1 Hit",IF(K89="","",IF(D89="Buy",(K89-E89)*$C$5*$C$6,(E89-K89)*$C$5*$C$6)),IF(OR(U89="Gap Down Stoploss 1 Hit",U89="Gap Up Stoploss 1 Hit"),IF(Q89="","",IF(D89="Buy",(Q89-E89)*$C$5*$C$6,(E89-Q89)*$C$5*$C$6)),0))))))</x:f>
      </x:c>
      <x:c r="W89" s="326"/>
      <x:c r="X89" s="341" t="str">
        <x:f>IF(D89="","",IF(U89="Target Hit",IF(W89="Stoploss 2 Hit",IF(N89="","",IF(D89="Buy",(N89-E89)*($C$5/2)*$C$6,(E89-N89)*($C$5/2)*$C$6)),IF(U89="Target Hit",IF(W89="Rollover",IF(Z89="","",IF(D89="Buy",(Z89-E89)*($C$5/2)*$C$6,(E89-Z89)*($C$5/2)*$C$6)),IF(W89="Gap Down Stoploss 2 Hit",IF(T89="","",IF(D89="Buy",(T89-E89)*($C$5/2)*$C$6,(E89-T89)*($C$5/2)*$C$6)),IF(W89="Gap Up Stoploss 2 Hit",IF(T89="","",IF(D89="Buy",(T89-E89)*($C$5/2)*$C$6,(E89-T89)*($C$5/2)*$C$6)),0))),0))))</x:f>
      </x:c>
      <x:c r="Y89" s="343" t="str">
        <x:f t="shared" si="17"/>
      </x:c>
      <x:c r="Z89" s="327"/>
    </x:row>
    <x:row r="90">
      <x:c r="A90" s="35">
        <x:v>78</x:v>
      </x:c>
      <x:c r="B90" s="318"/>
      <x:c r="C90" s="319"/>
      <x:c r="D90" s="320"/>
      <x:c r="E90" s="321"/>
      <x:c r="F90" s="322"/>
      <x:c r="G90" s="321"/>
      <x:c r="H90" s="323"/>
      <x:c r="I90" s="337" t="str">
        <x:f t="shared" si="14"/>
      </x:c>
      <x:c r="J90" s="324"/>
      <x:c r="K90" s="336" t="str">
        <x:f t="shared" si="18"/>
      </x:c>
      <x:c r="L90" s="335" t="str">
        <x:f t="shared" si="19"/>
      </x:c>
      <x:c r="M90" s="324"/>
      <x:c r="N90" s="336" t="str">
        <x:f t="shared" si="20"/>
      </x:c>
      <x:c r="O90" s="337" t="str">
        <x:f t="shared" si="15"/>
      </x:c>
      <x:c r="P90" s="324"/>
      <x:c r="Q90" s="336" t="str">
        <x:f t="shared" si="21"/>
      </x:c>
      <x:c r="R90" s="339" t="str">
        <x:f t="shared" si="16"/>
      </x:c>
      <x:c r="S90" s="324"/>
      <x:c r="T90" s="336" t="str">
        <x:f t="shared" si="22"/>
      </x:c>
      <x:c r="U90" s="325"/>
      <x:c r="V90" s="340" t="str">
        <x:f>IF(OR(D90="",U90="",$C$5="",$C$6=""),"",IF(U90="Target Hit",IF(D90="Buy",(F90-E90)*($C$5/2)*$C$6,(E90-F90)*($C$5/2)*$C$6),IF(U90="Target Hit",IF(D90="Buy",(F90-E90)*($C$5/2)*$C$6,(E90-F90)*($C$5/2)*$C$6),IF(U90="Rollover",IF(D90="Buy",(Z90-E90)*($C$5/2)*$C$6,(E90-Z90)*($C$5/2)*$C$6),IF(U90="Stoploss 1 Hit",IF(K90="","",IF(D90="Buy",(K90-E90)*$C$5*$C$6,(E90-K90)*$C$5*$C$6)),IF(OR(U90="Gap Down Stoploss 1 Hit",U90="Gap Up Stoploss 1 Hit"),IF(Q90="","",IF(D90="Buy",(Q90-E90)*$C$5*$C$6,(E90-Q90)*$C$5*$C$6)),0))))))</x:f>
      </x:c>
      <x:c r="W90" s="326"/>
      <x:c r="X90" s="341" t="str">
        <x:f>IF(D90="","",IF(U90="Target Hit",IF(W90="Stoploss 2 Hit",IF(N90="","",IF(D90="Buy",(N90-E90)*($C$5/2)*$C$6,(E90-N90)*($C$5/2)*$C$6)),IF(U90="Target Hit",IF(W90="Rollover",IF(Z90="","",IF(D90="Buy",(Z90-E90)*($C$5/2)*$C$6,(E90-Z90)*($C$5/2)*$C$6)),IF(W90="Gap Down Stoploss 2 Hit",IF(T90="","",IF(D90="Buy",(T90-E90)*($C$5/2)*$C$6,(E90-T90)*($C$5/2)*$C$6)),IF(W90="Gap Up Stoploss 2 Hit",IF(T90="","",IF(D90="Buy",(T90-E90)*($C$5/2)*$C$6,(E90-T90)*($C$5/2)*$C$6)),0))),0))))</x:f>
      </x:c>
      <x:c r="Y90" s="343" t="str">
        <x:f t="shared" si="17"/>
      </x:c>
      <x:c r="Z90" s="327"/>
    </x:row>
    <x:row r="91">
      <x:c r="A91" s="35">
        <x:v>79</x:v>
      </x:c>
      <x:c r="B91" s="318"/>
      <x:c r="C91" s="319"/>
      <x:c r="D91" s="320"/>
      <x:c r="E91" s="321"/>
      <x:c r="F91" s="322"/>
      <x:c r="G91" s="321"/>
      <x:c r="H91" s="323"/>
      <x:c r="I91" s="337" t="str">
        <x:f t="shared" si="14"/>
      </x:c>
      <x:c r="J91" s="324"/>
      <x:c r="K91" s="336" t="str">
        <x:f t="shared" si="18"/>
      </x:c>
      <x:c r="L91" s="335" t="str">
        <x:f t="shared" si="19"/>
      </x:c>
      <x:c r="M91" s="324"/>
      <x:c r="N91" s="336" t="str">
        <x:f t="shared" si="20"/>
      </x:c>
      <x:c r="O91" s="337" t="str">
        <x:f t="shared" si="15"/>
      </x:c>
      <x:c r="P91" s="324"/>
      <x:c r="Q91" s="336" t="str">
        <x:f t="shared" si="21"/>
      </x:c>
      <x:c r="R91" s="339" t="str">
        <x:f t="shared" si="16"/>
      </x:c>
      <x:c r="S91" s="324"/>
      <x:c r="T91" s="336" t="str">
        <x:f t="shared" si="22"/>
      </x:c>
      <x:c r="U91" s="325"/>
      <x:c r="V91" s="340" t="str">
        <x:f>IF(OR(D91="",U91="",$C$5="",$C$6=""),"",IF(U91="Target Hit",IF(D91="Buy",(F91-E91)*($C$5/2)*$C$6,(E91-F91)*($C$5/2)*$C$6),IF(U91="Target Hit",IF(D91="Buy",(F91-E91)*($C$5/2)*$C$6,(E91-F91)*($C$5/2)*$C$6),IF(U91="Rollover",IF(D91="Buy",(Z91-E91)*($C$5/2)*$C$6,(E91-Z91)*($C$5/2)*$C$6),IF(U91="Stoploss 1 Hit",IF(K91="","",IF(D91="Buy",(K91-E91)*$C$5*$C$6,(E91-K91)*$C$5*$C$6)),IF(OR(U91="Gap Down Stoploss 1 Hit",U91="Gap Up Stoploss 1 Hit"),IF(Q91="","",IF(D91="Buy",(Q91-E91)*$C$5*$C$6,(E91-Q91)*$C$5*$C$6)),0))))))</x:f>
      </x:c>
      <x:c r="W91" s="326"/>
      <x:c r="X91" s="341" t="str">
        <x:f>IF(D91="","",IF(U91="Target Hit",IF(W91="Stoploss 2 Hit",IF(N91="","",IF(D91="Buy",(N91-E91)*($C$5/2)*$C$6,(E91-N91)*($C$5/2)*$C$6)),IF(U91="Target Hit",IF(W91="Rollover",IF(Z91="","",IF(D91="Buy",(Z91-E91)*($C$5/2)*$C$6,(E91-Z91)*($C$5/2)*$C$6)),IF(W91="Gap Down Stoploss 2 Hit",IF(T91="","",IF(D91="Buy",(T91-E91)*($C$5/2)*$C$6,(E91-T91)*($C$5/2)*$C$6)),IF(W91="Gap Up Stoploss 2 Hit",IF(T91="","",IF(D91="Buy",(T91-E91)*($C$5/2)*$C$6,(E91-T91)*($C$5/2)*$C$6)),0))),0))))</x:f>
      </x:c>
      <x:c r="Y91" s="343" t="str">
        <x:f t="shared" si="17"/>
      </x:c>
      <x:c r="Z91" s="327"/>
    </x:row>
    <x:row r="92">
      <x:c r="A92" s="35">
        <x:v>80</x:v>
      </x:c>
      <x:c r="B92" s="318"/>
      <x:c r="C92" s="319"/>
      <x:c r="D92" s="320"/>
      <x:c r="E92" s="321"/>
      <x:c r="F92" s="322"/>
      <x:c r="G92" s="321"/>
      <x:c r="H92" s="323"/>
      <x:c r="I92" s="337" t="str">
        <x:f t="shared" si="14"/>
      </x:c>
      <x:c r="J92" s="324"/>
      <x:c r="K92" s="336" t="str">
        <x:f t="shared" si="18"/>
      </x:c>
      <x:c r="L92" s="335" t="str">
        <x:f t="shared" si="19"/>
      </x:c>
      <x:c r="M92" s="324"/>
      <x:c r="N92" s="336" t="str">
        <x:f t="shared" si="20"/>
      </x:c>
      <x:c r="O92" s="337" t="str">
        <x:f t="shared" si="15"/>
      </x:c>
      <x:c r="P92" s="324"/>
      <x:c r="Q92" s="336" t="str">
        <x:f t="shared" si="21"/>
      </x:c>
      <x:c r="R92" s="339" t="str">
        <x:f t="shared" si="16"/>
      </x:c>
      <x:c r="S92" s="324"/>
      <x:c r="T92" s="336" t="str">
        <x:f t="shared" si="22"/>
      </x:c>
      <x:c r="U92" s="325"/>
      <x:c r="V92" s="340" t="str">
        <x:f>IF(OR(D92="",U92="",$C$5="",$C$6=""),"",IF(U92="Target Hit",IF(D92="Buy",(F92-E92)*($C$5/2)*$C$6,(E92-F92)*($C$5/2)*$C$6),IF(U92="Target Hit",IF(D92="Buy",(F92-E92)*($C$5/2)*$C$6,(E92-F92)*($C$5/2)*$C$6),IF(U92="Rollover",IF(D92="Buy",(Z92-E92)*($C$5/2)*$C$6,(E92-Z92)*($C$5/2)*$C$6),IF(U92="Stoploss 1 Hit",IF(K92="","",IF(D92="Buy",(K92-E92)*$C$5*$C$6,(E92-K92)*$C$5*$C$6)),IF(OR(U92="Gap Down Stoploss 1 Hit",U92="Gap Up Stoploss 1 Hit"),IF(Q92="","",IF(D92="Buy",(Q92-E92)*$C$5*$C$6,(E92-Q92)*$C$5*$C$6)),0))))))</x:f>
      </x:c>
      <x:c r="W92" s="326"/>
      <x:c r="X92" s="341" t="str">
        <x:f>IF(D92="","",IF(U92="Target Hit",IF(W92="Stoploss 2 Hit",IF(N92="","",IF(D92="Buy",(N92-E92)*($C$5/2)*$C$6,(E92-N92)*($C$5/2)*$C$6)),IF(U92="Target Hit",IF(W92="Rollover",IF(Z92="","",IF(D92="Buy",(Z92-E92)*($C$5/2)*$C$6,(E92-Z92)*($C$5/2)*$C$6)),IF(W92="Gap Down Stoploss 2 Hit",IF(T92="","",IF(D92="Buy",(T92-E92)*($C$5/2)*$C$6,(E92-T92)*($C$5/2)*$C$6)),IF(W92="Gap Up Stoploss 2 Hit",IF(T92="","",IF(D92="Buy",(T92-E92)*($C$5/2)*$C$6,(E92-T92)*($C$5/2)*$C$6)),0))),0))))</x:f>
      </x:c>
      <x:c r="Y92" s="343" t="str">
        <x:f t="shared" si="17"/>
      </x:c>
      <x:c r="Z92" s="327"/>
    </x:row>
    <x:row r="93">
      <x:c r="A93" s="35">
        <x:v>81</x:v>
      </x:c>
      <x:c r="B93" s="318"/>
      <x:c r="C93" s="319"/>
      <x:c r="D93" s="320"/>
      <x:c r="E93" s="321"/>
      <x:c r="F93" s="322"/>
      <x:c r="G93" s="321"/>
      <x:c r="H93" s="323"/>
      <x:c r="I93" s="337" t="str">
        <x:f t="shared" si="14"/>
      </x:c>
      <x:c r="J93" s="324"/>
      <x:c r="K93" s="336" t="str">
        <x:f t="shared" si="18"/>
      </x:c>
      <x:c r="L93" s="335" t="str">
        <x:f t="shared" si="19"/>
      </x:c>
      <x:c r="M93" s="324"/>
      <x:c r="N93" s="336" t="str">
        <x:f t="shared" si="20"/>
      </x:c>
      <x:c r="O93" s="337" t="str">
        <x:f t="shared" si="15"/>
      </x:c>
      <x:c r="P93" s="324"/>
      <x:c r="Q93" s="336" t="str">
        <x:f t="shared" si="21"/>
      </x:c>
      <x:c r="R93" s="339" t="str">
        <x:f t="shared" si="16"/>
      </x:c>
      <x:c r="S93" s="324"/>
      <x:c r="T93" s="336" t="str">
        <x:f t="shared" si="22"/>
      </x:c>
      <x:c r="U93" s="325"/>
      <x:c r="V93" s="340" t="str">
        <x:f>IF(OR(D93="",U93="",$C$5="",$C$6=""),"",IF(U93="Target Hit",IF(D93="Buy",(F93-E93)*($C$5/2)*$C$6,(E93-F93)*($C$5/2)*$C$6),IF(U93="Target Hit",IF(D93="Buy",(F93-E93)*($C$5/2)*$C$6,(E93-F93)*($C$5/2)*$C$6),IF(U93="Rollover",IF(D93="Buy",(Z93-E93)*($C$5/2)*$C$6,(E93-Z93)*($C$5/2)*$C$6),IF(U93="Stoploss 1 Hit",IF(K93="","",IF(D93="Buy",(K93-E93)*$C$5*$C$6,(E93-K93)*$C$5*$C$6)),IF(OR(U93="Gap Down Stoploss 1 Hit",U93="Gap Up Stoploss 1 Hit"),IF(Q93="","",IF(D93="Buy",(Q93-E93)*$C$5*$C$6,(E93-Q93)*$C$5*$C$6)),0))))))</x:f>
      </x:c>
      <x:c r="W93" s="326"/>
      <x:c r="X93" s="341" t="str">
        <x:f>IF(D93="","",IF(U93="Target Hit",IF(W93="Stoploss 2 Hit",IF(N93="","",IF(D93="Buy",(N93-E93)*($C$5/2)*$C$6,(E93-N93)*($C$5/2)*$C$6)),IF(U93="Target Hit",IF(W93="Rollover",IF(Z93="","",IF(D93="Buy",(Z93-E93)*($C$5/2)*$C$6,(E93-Z93)*($C$5/2)*$C$6)),IF(W93="Gap Down Stoploss 2 Hit",IF(T93="","",IF(D93="Buy",(T93-E93)*($C$5/2)*$C$6,(E93-T93)*($C$5/2)*$C$6)),IF(W93="Gap Up Stoploss 2 Hit",IF(T93="","",IF(D93="Buy",(T93-E93)*($C$5/2)*$C$6,(E93-T93)*($C$5/2)*$C$6)),0))),0))))</x:f>
      </x:c>
      <x:c r="Y93" s="343" t="str">
        <x:f t="shared" si="17"/>
      </x:c>
      <x:c r="Z93" s="327"/>
    </x:row>
    <x:row r="94">
      <x:c r="A94" s="35">
        <x:v>82</x:v>
      </x:c>
      <x:c r="B94" s="318"/>
      <x:c r="C94" s="319"/>
      <x:c r="D94" s="320"/>
      <x:c r="E94" s="321"/>
      <x:c r="F94" s="322"/>
      <x:c r="G94" s="321"/>
      <x:c r="H94" s="323"/>
      <x:c r="I94" s="337" t="str">
        <x:f t="shared" si="14"/>
      </x:c>
      <x:c r="J94" s="324"/>
      <x:c r="K94" s="336" t="str">
        <x:f t="shared" si="18"/>
      </x:c>
      <x:c r="L94" s="335" t="str">
        <x:f t="shared" si="19"/>
      </x:c>
      <x:c r="M94" s="324"/>
      <x:c r="N94" s="336" t="str">
        <x:f t="shared" si="20"/>
      </x:c>
      <x:c r="O94" s="337" t="str">
        <x:f t="shared" si="15"/>
      </x:c>
      <x:c r="P94" s="324"/>
      <x:c r="Q94" s="336" t="str">
        <x:f t="shared" si="21"/>
      </x:c>
      <x:c r="R94" s="339" t="str">
        <x:f t="shared" si="16"/>
      </x:c>
      <x:c r="S94" s="324"/>
      <x:c r="T94" s="336" t="str">
        <x:f t="shared" si="22"/>
      </x:c>
      <x:c r="U94" s="325"/>
      <x:c r="V94" s="340" t="str">
        <x:f>IF(OR(D94="",U94="",$C$5="",$C$6=""),"",IF(U94="Target Hit",IF(D94="Buy",(F94-E94)*($C$5/2)*$C$6,(E94-F94)*($C$5/2)*$C$6),IF(U94="Target Hit",IF(D94="Buy",(F94-E94)*($C$5/2)*$C$6,(E94-F94)*($C$5/2)*$C$6),IF(U94="Rollover",IF(D94="Buy",(Z94-E94)*($C$5/2)*$C$6,(E94-Z94)*($C$5/2)*$C$6),IF(U94="Stoploss 1 Hit",IF(K94="","",IF(D94="Buy",(K94-E94)*$C$5*$C$6,(E94-K94)*$C$5*$C$6)),IF(OR(U94="Gap Down Stoploss 1 Hit",U94="Gap Up Stoploss 1 Hit"),IF(Q94="","",IF(D94="Buy",(Q94-E94)*$C$5*$C$6,(E94-Q94)*$C$5*$C$6)),0))))))</x:f>
      </x:c>
      <x:c r="W94" s="326"/>
      <x:c r="X94" s="341" t="str">
        <x:f>IF(D94="","",IF(U94="Target Hit",IF(W94="Stoploss 2 Hit",IF(N94="","",IF(D94="Buy",(N94-E94)*($C$5/2)*$C$6,(E94-N94)*($C$5/2)*$C$6)),IF(U94="Target Hit",IF(W94="Rollover",IF(Z94="","",IF(D94="Buy",(Z94-E94)*($C$5/2)*$C$6,(E94-Z94)*($C$5/2)*$C$6)),IF(W94="Gap Down Stoploss 2 Hit",IF(T94="","",IF(D94="Buy",(T94-E94)*($C$5/2)*$C$6,(E94-T94)*($C$5/2)*$C$6)),IF(W94="Gap Up Stoploss 2 Hit",IF(T94="","",IF(D94="Buy",(T94-E94)*($C$5/2)*$C$6,(E94-T94)*($C$5/2)*$C$6)),0))),0))))</x:f>
      </x:c>
      <x:c r="Y94" s="343" t="str">
        <x:f t="shared" si="17"/>
      </x:c>
      <x:c r="Z94" s="327"/>
    </x:row>
    <x:row r="95">
      <x:c r="A95" s="35">
        <x:v>83</x:v>
      </x:c>
      <x:c r="B95" s="318"/>
      <x:c r="C95" s="319"/>
      <x:c r="D95" s="320"/>
      <x:c r="E95" s="321"/>
      <x:c r="F95" s="322"/>
      <x:c r="G95" s="321"/>
      <x:c r="H95" s="323"/>
      <x:c r="I95" s="337" t="str">
        <x:f t="shared" si="14"/>
      </x:c>
      <x:c r="J95" s="324"/>
      <x:c r="K95" s="336" t="str">
        <x:f t="shared" si="18"/>
      </x:c>
      <x:c r="L95" s="335" t="str">
        <x:f t="shared" si="19"/>
      </x:c>
      <x:c r="M95" s="324"/>
      <x:c r="N95" s="336" t="str">
        <x:f t="shared" si="20"/>
      </x:c>
      <x:c r="O95" s="337" t="str">
        <x:f t="shared" si="15"/>
      </x:c>
      <x:c r="P95" s="324"/>
      <x:c r="Q95" s="336" t="str">
        <x:f t="shared" si="21"/>
      </x:c>
      <x:c r="R95" s="339" t="str">
        <x:f t="shared" si="16"/>
      </x:c>
      <x:c r="S95" s="324"/>
      <x:c r="T95" s="336" t="str">
        <x:f t="shared" si="22"/>
      </x:c>
      <x:c r="U95" s="325"/>
      <x:c r="V95" s="340" t="str">
        <x:f>IF(OR(D95="",U95="",$C$5="",$C$6=""),"",IF(U95="Target Hit",IF(D95="Buy",(F95-E95)*($C$5/2)*$C$6,(E95-F95)*($C$5/2)*$C$6),IF(U95="Target Hit",IF(D95="Buy",(F95-E95)*($C$5/2)*$C$6,(E95-F95)*($C$5/2)*$C$6),IF(U95="Rollover",IF(D95="Buy",(Z95-E95)*($C$5/2)*$C$6,(E95-Z95)*($C$5/2)*$C$6),IF(U95="Stoploss 1 Hit",IF(K95="","",IF(D95="Buy",(K95-E95)*$C$5*$C$6,(E95-K95)*$C$5*$C$6)),IF(OR(U95="Gap Down Stoploss 1 Hit",U95="Gap Up Stoploss 1 Hit"),IF(Q95="","",IF(D95="Buy",(Q95-E95)*$C$5*$C$6,(E95-Q95)*$C$5*$C$6)),0))))))</x:f>
      </x:c>
      <x:c r="W95" s="326"/>
      <x:c r="X95" s="341" t="str">
        <x:f>IF(D95="","",IF(U95="Target Hit",IF(W95="Stoploss 2 Hit",IF(N95="","",IF(D95="Buy",(N95-E95)*($C$5/2)*$C$6,(E95-N95)*($C$5/2)*$C$6)),IF(U95="Target Hit",IF(W95="Rollover",IF(Z95="","",IF(D95="Buy",(Z95-E95)*($C$5/2)*$C$6,(E95-Z95)*($C$5/2)*$C$6)),IF(W95="Gap Down Stoploss 2 Hit",IF(T95="","",IF(D95="Buy",(T95-E95)*($C$5/2)*$C$6,(E95-T95)*($C$5/2)*$C$6)),IF(W95="Gap Up Stoploss 2 Hit",IF(T95="","",IF(D95="Buy",(T95-E95)*($C$5/2)*$C$6,(E95-T95)*($C$5/2)*$C$6)),0))),0))))</x:f>
      </x:c>
      <x:c r="Y95" s="343" t="str">
        <x:f t="shared" si="17"/>
      </x:c>
      <x:c r="Z95" s="327"/>
    </x:row>
    <x:row r="96">
      <x:c r="A96" s="35">
        <x:v>84</x:v>
      </x:c>
      <x:c r="B96" s="318"/>
      <x:c r="C96" s="319"/>
      <x:c r="D96" s="320"/>
      <x:c r="E96" s="321"/>
      <x:c r="F96" s="322"/>
      <x:c r="G96" s="321"/>
      <x:c r="H96" s="323"/>
      <x:c r="I96" s="337" t="str">
        <x:f t="shared" si="14"/>
      </x:c>
      <x:c r="J96" s="324"/>
      <x:c r="K96" s="336" t="str">
        <x:f t="shared" si="18"/>
      </x:c>
      <x:c r="L96" s="335" t="str">
        <x:f t="shared" si="19"/>
      </x:c>
      <x:c r="M96" s="324"/>
      <x:c r="N96" s="336" t="str">
        <x:f t="shared" si="20"/>
      </x:c>
      <x:c r="O96" s="337" t="str">
        <x:f t="shared" si="15"/>
      </x:c>
      <x:c r="P96" s="324"/>
      <x:c r="Q96" s="336" t="str">
        <x:f t="shared" si="21"/>
      </x:c>
      <x:c r="R96" s="339" t="str">
        <x:f t="shared" si="16"/>
      </x:c>
      <x:c r="S96" s="324"/>
      <x:c r="T96" s="336" t="str">
        <x:f t="shared" si="22"/>
      </x:c>
      <x:c r="U96" s="325"/>
      <x:c r="V96" s="340" t="str">
        <x:f>IF(OR(D96="",U96="",$C$5="",$C$6=""),"",IF(U96="Target Hit",IF(D96="Buy",(F96-E96)*($C$5/2)*$C$6,(E96-F96)*($C$5/2)*$C$6),IF(U96="Target Hit",IF(D96="Buy",(F96-E96)*($C$5/2)*$C$6,(E96-F96)*($C$5/2)*$C$6),IF(U96="Rollover",IF(D96="Buy",(Z96-E96)*($C$5/2)*$C$6,(E96-Z96)*($C$5/2)*$C$6),IF(U96="Stoploss 1 Hit",IF(K96="","",IF(D96="Buy",(K96-E96)*$C$5*$C$6,(E96-K96)*$C$5*$C$6)),IF(OR(U96="Gap Down Stoploss 1 Hit",U96="Gap Up Stoploss 1 Hit"),IF(Q96="","",IF(D96="Buy",(Q96-E96)*$C$5*$C$6,(E96-Q96)*$C$5*$C$6)),0))))))</x:f>
      </x:c>
      <x:c r="W96" s="326"/>
      <x:c r="X96" s="341" t="str">
        <x:f>IF(D96="","",IF(U96="Target Hit",IF(W96="Stoploss 2 Hit",IF(N96="","",IF(D96="Buy",(N96-E96)*($C$5/2)*$C$6,(E96-N96)*($C$5/2)*$C$6)),IF(U96="Target Hit",IF(W96="Rollover",IF(Z96="","",IF(D96="Buy",(Z96-E96)*($C$5/2)*$C$6,(E96-Z96)*($C$5/2)*$C$6)),IF(W96="Gap Down Stoploss 2 Hit",IF(T96="","",IF(D96="Buy",(T96-E96)*($C$5/2)*$C$6,(E96-T96)*($C$5/2)*$C$6)),IF(W96="Gap Up Stoploss 2 Hit",IF(T96="","",IF(D96="Buy",(T96-E96)*($C$5/2)*$C$6,(E96-T96)*($C$5/2)*$C$6)),0))),0))))</x:f>
      </x:c>
      <x:c r="Y96" s="343" t="str">
        <x:f t="shared" si="17"/>
      </x:c>
      <x:c r="Z96" s="327"/>
    </x:row>
    <x:row r="97">
      <x:c r="A97" s="35">
        <x:v>85</x:v>
      </x:c>
      <x:c r="B97" s="318"/>
      <x:c r="C97" s="319"/>
      <x:c r="D97" s="320"/>
      <x:c r="E97" s="321"/>
      <x:c r="F97" s="322"/>
      <x:c r="G97" s="321"/>
      <x:c r="H97" s="323"/>
      <x:c r="I97" s="337" t="str">
        <x:f t="shared" si="14"/>
      </x:c>
      <x:c r="J97" s="324"/>
      <x:c r="K97" s="336" t="str">
        <x:f t="shared" si="18"/>
      </x:c>
      <x:c r="L97" s="335" t="str">
        <x:f t="shared" si="19"/>
      </x:c>
      <x:c r="M97" s="324"/>
      <x:c r="N97" s="336" t="str">
        <x:f t="shared" si="20"/>
      </x:c>
      <x:c r="O97" s="337" t="str">
        <x:f t="shared" si="15"/>
      </x:c>
      <x:c r="P97" s="324"/>
      <x:c r="Q97" s="336" t="str">
        <x:f t="shared" si="21"/>
      </x:c>
      <x:c r="R97" s="339" t="str">
        <x:f t="shared" si="16"/>
      </x:c>
      <x:c r="S97" s="324"/>
      <x:c r="T97" s="336" t="str">
        <x:f t="shared" si="22"/>
      </x:c>
      <x:c r="U97" s="325"/>
      <x:c r="V97" s="340" t="str">
        <x:f>IF(OR(D97="",U97="",$C$5="",$C$6=""),"",IF(U97="Target Hit",IF(D97="Buy",(F97-E97)*($C$5/2)*$C$6,(E97-F97)*($C$5/2)*$C$6),IF(U97="Target Hit",IF(D97="Buy",(F97-E97)*($C$5/2)*$C$6,(E97-F97)*($C$5/2)*$C$6),IF(U97="Rollover",IF(D97="Buy",(Z97-E97)*($C$5/2)*$C$6,(E97-Z97)*($C$5/2)*$C$6),IF(U97="Stoploss 1 Hit",IF(K97="","",IF(D97="Buy",(K97-E97)*$C$5*$C$6,(E97-K97)*$C$5*$C$6)),IF(OR(U97="Gap Down Stoploss 1 Hit",U97="Gap Up Stoploss 1 Hit"),IF(Q97="","",IF(D97="Buy",(Q97-E97)*$C$5*$C$6,(E97-Q97)*$C$5*$C$6)),0))))))</x:f>
      </x:c>
      <x:c r="W97" s="326"/>
      <x:c r="X97" s="341" t="str">
        <x:f>IF(D97="","",IF(U97="Target Hit",IF(W97="Stoploss 2 Hit",IF(N97="","",IF(D97="Buy",(N97-E97)*($C$5/2)*$C$6,(E97-N97)*($C$5/2)*$C$6)),IF(U97="Target Hit",IF(W97="Rollover",IF(Z97="","",IF(D97="Buy",(Z97-E97)*($C$5/2)*$C$6,(E97-Z97)*($C$5/2)*$C$6)),IF(W97="Gap Down Stoploss 2 Hit",IF(T97="","",IF(D97="Buy",(T97-E97)*($C$5/2)*$C$6,(E97-T97)*($C$5/2)*$C$6)),IF(W97="Gap Up Stoploss 2 Hit",IF(T97="","",IF(D97="Buy",(T97-E97)*($C$5/2)*$C$6,(E97-T97)*($C$5/2)*$C$6)),0))),0))))</x:f>
      </x:c>
      <x:c r="Y97" s="343" t="str">
        <x:f t="shared" si="17"/>
      </x:c>
      <x:c r="Z97" s="327"/>
    </x:row>
    <x:row r="98">
      <x:c r="A98" s="35">
        <x:v>86</x:v>
      </x:c>
      <x:c r="B98" s="318"/>
      <x:c r="C98" s="319"/>
      <x:c r="D98" s="320"/>
      <x:c r="E98" s="321"/>
      <x:c r="F98" s="322"/>
      <x:c r="G98" s="321"/>
      <x:c r="H98" s="323"/>
      <x:c r="I98" s="337" t="str">
        <x:f t="shared" si="14"/>
      </x:c>
      <x:c r="J98" s="324"/>
      <x:c r="K98" s="336" t="str">
        <x:f t="shared" si="18"/>
      </x:c>
      <x:c r="L98" s="335" t="str">
        <x:f t="shared" si="19"/>
      </x:c>
      <x:c r="M98" s="324"/>
      <x:c r="N98" s="336" t="str">
        <x:f t="shared" si="20"/>
      </x:c>
      <x:c r="O98" s="337" t="str">
        <x:f t="shared" si="15"/>
      </x:c>
      <x:c r="P98" s="324"/>
      <x:c r="Q98" s="336" t="str">
        <x:f t="shared" si="21"/>
      </x:c>
      <x:c r="R98" s="339" t="str">
        <x:f t="shared" si="16"/>
      </x:c>
      <x:c r="S98" s="324"/>
      <x:c r="T98" s="336" t="str">
        <x:f t="shared" si="22"/>
      </x:c>
      <x:c r="U98" s="325"/>
      <x:c r="V98" s="340" t="str">
        <x:f>IF(OR(D98="",U98="",$C$5="",$C$6=""),"",IF(U98="Target Hit",IF(D98="Buy",(F98-E98)*($C$5/2)*$C$6,(E98-F98)*($C$5/2)*$C$6),IF(U98="Target Hit",IF(D98="Buy",(F98-E98)*($C$5/2)*$C$6,(E98-F98)*($C$5/2)*$C$6),IF(U98="Rollover",IF(D98="Buy",(Z98-E98)*($C$5/2)*$C$6,(E98-Z98)*($C$5/2)*$C$6),IF(U98="Stoploss 1 Hit",IF(K98="","",IF(D98="Buy",(K98-E98)*$C$5*$C$6,(E98-K98)*$C$5*$C$6)),IF(OR(U98="Gap Down Stoploss 1 Hit",U98="Gap Up Stoploss 1 Hit"),IF(Q98="","",IF(D98="Buy",(Q98-E98)*$C$5*$C$6,(E98-Q98)*$C$5*$C$6)),0))))))</x:f>
      </x:c>
      <x:c r="W98" s="326"/>
      <x:c r="X98" s="341" t="str">
        <x:f>IF(D98="","",IF(U98="Target Hit",IF(W98="Stoploss 2 Hit",IF(N98="","",IF(D98="Buy",(N98-E98)*($C$5/2)*$C$6,(E98-N98)*($C$5/2)*$C$6)),IF(U98="Target Hit",IF(W98="Rollover",IF(Z98="","",IF(D98="Buy",(Z98-E98)*($C$5/2)*$C$6,(E98-Z98)*($C$5/2)*$C$6)),IF(W98="Gap Down Stoploss 2 Hit",IF(T98="","",IF(D98="Buy",(T98-E98)*($C$5/2)*$C$6,(E98-T98)*($C$5/2)*$C$6)),IF(W98="Gap Up Stoploss 2 Hit",IF(T98="","",IF(D98="Buy",(T98-E98)*($C$5/2)*$C$6,(E98-T98)*($C$5/2)*$C$6)),0))),0))))</x:f>
      </x:c>
      <x:c r="Y98" s="343" t="str">
        <x:f t="shared" si="17"/>
      </x:c>
      <x:c r="Z98" s="327"/>
    </x:row>
    <x:row r="99">
      <x:c r="A99" s="35">
        <x:v>87</x:v>
      </x:c>
      <x:c r="B99" s="318"/>
      <x:c r="C99" s="319"/>
      <x:c r="D99" s="320"/>
      <x:c r="E99" s="321"/>
      <x:c r="F99" s="322"/>
      <x:c r="G99" s="321"/>
      <x:c r="H99" s="323"/>
      <x:c r="I99" s="337" t="str">
        <x:f t="shared" si="14"/>
      </x:c>
      <x:c r="J99" s="324"/>
      <x:c r="K99" s="336" t="str">
        <x:f t="shared" si="18"/>
      </x:c>
      <x:c r="L99" s="335" t="str">
        <x:f t="shared" si="19"/>
      </x:c>
      <x:c r="M99" s="324"/>
      <x:c r="N99" s="336" t="str">
        <x:f t="shared" si="20"/>
      </x:c>
      <x:c r="O99" s="337" t="str">
        <x:f t="shared" si="15"/>
      </x:c>
      <x:c r="P99" s="324"/>
      <x:c r="Q99" s="336" t="str">
        <x:f t="shared" si="21"/>
      </x:c>
      <x:c r="R99" s="339" t="str">
        <x:f t="shared" si="16"/>
      </x:c>
      <x:c r="S99" s="324"/>
      <x:c r="T99" s="336" t="str">
        <x:f t="shared" si="22"/>
      </x:c>
      <x:c r="U99" s="325"/>
      <x:c r="V99" s="340" t="str">
        <x:f>IF(OR(D99="",U99="",$C$5="",$C$6=""),"",IF(U99="Target Hit",IF(D99="Buy",(F99-E99)*($C$5/2)*$C$6,(E99-F99)*($C$5/2)*$C$6),IF(U99="Target Hit",IF(D99="Buy",(F99-E99)*($C$5/2)*$C$6,(E99-F99)*($C$5/2)*$C$6),IF(U99="Rollover",IF(D99="Buy",(Z99-E99)*($C$5/2)*$C$6,(E99-Z99)*($C$5/2)*$C$6),IF(U99="Stoploss 1 Hit",IF(K99="","",IF(D99="Buy",(K99-E99)*$C$5*$C$6,(E99-K99)*$C$5*$C$6)),IF(OR(U99="Gap Down Stoploss 1 Hit",U99="Gap Up Stoploss 1 Hit"),IF(Q99="","",IF(D99="Buy",(Q99-E99)*$C$5*$C$6,(E99-Q99)*$C$5*$C$6)),0))))))</x:f>
      </x:c>
      <x:c r="W99" s="326"/>
      <x:c r="X99" s="341" t="str">
        <x:f>IF(D99="","",IF(U99="Target Hit",IF(W99="Stoploss 2 Hit",IF(N99="","",IF(D99="Buy",(N99-E99)*($C$5/2)*$C$6,(E99-N99)*($C$5/2)*$C$6)),IF(U99="Target Hit",IF(W99="Rollover",IF(Z99="","",IF(D99="Buy",(Z99-E99)*($C$5/2)*$C$6,(E99-Z99)*($C$5/2)*$C$6)),IF(W99="Gap Down Stoploss 2 Hit",IF(T99="","",IF(D99="Buy",(T99-E99)*($C$5/2)*$C$6,(E99-T99)*($C$5/2)*$C$6)),IF(W99="Gap Up Stoploss 2 Hit",IF(T99="","",IF(D99="Buy",(T99-E99)*($C$5/2)*$C$6,(E99-T99)*($C$5/2)*$C$6)),0))),0))))</x:f>
      </x:c>
      <x:c r="Y99" s="343" t="str">
        <x:f t="shared" si="17"/>
      </x:c>
      <x:c r="Z99" s="327"/>
    </x:row>
    <x:row r="100">
      <x:c r="A100" s="35">
        <x:v>88</x:v>
      </x:c>
      <x:c r="B100" s="318"/>
      <x:c r="C100" s="319"/>
      <x:c r="D100" s="320"/>
      <x:c r="E100" s="321"/>
      <x:c r="F100" s="322"/>
      <x:c r="G100" s="321"/>
      <x:c r="H100" s="323"/>
      <x:c r="I100" s="337" t="str">
        <x:f t="shared" si="14"/>
      </x:c>
      <x:c r="J100" s="324"/>
      <x:c r="K100" s="336" t="str">
        <x:f t="shared" si="18"/>
      </x:c>
      <x:c r="L100" s="335" t="str">
        <x:f t="shared" si="19"/>
      </x:c>
      <x:c r="M100" s="324"/>
      <x:c r="N100" s="336" t="str">
        <x:f t="shared" si="20"/>
      </x:c>
      <x:c r="O100" s="337" t="str">
        <x:f t="shared" si="15"/>
      </x:c>
      <x:c r="P100" s="324"/>
      <x:c r="Q100" s="336" t="str">
        <x:f t="shared" si="21"/>
      </x:c>
      <x:c r="R100" s="339" t="str">
        <x:f t="shared" si="16"/>
      </x:c>
      <x:c r="S100" s="324"/>
      <x:c r="T100" s="336" t="str">
        <x:f t="shared" si="22"/>
      </x:c>
      <x:c r="U100" s="325"/>
      <x:c r="V100" s="340" t="str">
        <x:f>IF(OR(D100="",U100="",$C$5="",$C$6=""),"",IF(U100="Target Hit",IF(D100="Buy",(F100-E100)*($C$5/2)*$C$6,(E100-F100)*($C$5/2)*$C$6),IF(U100="Target Hit",IF(D100="Buy",(F100-E100)*($C$5/2)*$C$6,(E100-F100)*($C$5/2)*$C$6),IF(U100="Rollover",IF(D100="Buy",(Z100-E100)*($C$5/2)*$C$6,(E100-Z100)*($C$5/2)*$C$6),IF(U100="Stoploss 1 Hit",IF(K100="","",IF(D100="Buy",(K100-E100)*$C$5*$C$6,(E100-K100)*$C$5*$C$6)),IF(OR(U100="Gap Down Stoploss 1 Hit",U100="Gap Up Stoploss 1 Hit"),IF(Q100="","",IF(D100="Buy",(Q100-E100)*$C$5*$C$6,(E100-Q100)*$C$5*$C$6)),0))))))</x:f>
      </x:c>
      <x:c r="W100" s="326"/>
      <x:c r="X100" s="341" t="str">
        <x:f>IF(D100="","",IF(U100="Target Hit",IF(W100="Stoploss 2 Hit",IF(N100="","",IF(D100="Buy",(N100-E100)*($C$5/2)*$C$6,(E100-N100)*($C$5/2)*$C$6)),IF(U100="Target Hit",IF(W100="Rollover",IF(Z100="","",IF(D100="Buy",(Z100-E100)*($C$5/2)*$C$6,(E100-Z100)*($C$5/2)*$C$6)),IF(W100="Gap Down Stoploss 2 Hit",IF(T100="","",IF(D100="Buy",(T100-E100)*($C$5/2)*$C$6,(E100-T100)*($C$5/2)*$C$6)),IF(W100="Gap Up Stoploss 2 Hit",IF(T100="","",IF(D100="Buy",(T100-E100)*($C$5/2)*$C$6,(E100-T100)*($C$5/2)*$C$6)),0))),0))))</x:f>
      </x:c>
      <x:c r="Y100" s="343" t="str">
        <x:f t="shared" si="17"/>
      </x:c>
      <x:c r="Z100" s="327"/>
    </x:row>
    <x:row r="101">
      <x:c r="A101" s="35">
        <x:v>89</x:v>
      </x:c>
      <x:c r="B101" s="318"/>
      <x:c r="C101" s="319"/>
      <x:c r="D101" s="320"/>
      <x:c r="E101" s="321"/>
      <x:c r="F101" s="322"/>
      <x:c r="G101" s="321"/>
      <x:c r="H101" s="323"/>
      <x:c r="I101" s="337" t="str">
        <x:f t="shared" si="14"/>
      </x:c>
      <x:c r="J101" s="324"/>
      <x:c r="K101" s="336" t="str">
        <x:f t="shared" si="18"/>
      </x:c>
      <x:c r="L101" s="335" t="str">
        <x:f t="shared" si="19"/>
      </x:c>
      <x:c r="M101" s="324"/>
      <x:c r="N101" s="336" t="str">
        <x:f t="shared" si="20"/>
      </x:c>
      <x:c r="O101" s="337" t="str">
        <x:f t="shared" si="15"/>
      </x:c>
      <x:c r="P101" s="324"/>
      <x:c r="Q101" s="336" t="str">
        <x:f t="shared" si="21"/>
      </x:c>
      <x:c r="R101" s="339" t="str">
        <x:f t="shared" si="16"/>
      </x:c>
      <x:c r="S101" s="324"/>
      <x:c r="T101" s="336" t="str">
        <x:f t="shared" si="22"/>
      </x:c>
      <x:c r="U101" s="325"/>
      <x:c r="V101" s="340" t="str">
        <x:f>IF(OR(D101="",U101="",$C$5="",$C$6=""),"",IF(U101="Target Hit",IF(D101="Buy",(F101-E101)*($C$5/2)*$C$6,(E101-F101)*($C$5/2)*$C$6),IF(U101="Target Hit",IF(D101="Buy",(F101-E101)*($C$5/2)*$C$6,(E101-F101)*($C$5/2)*$C$6),IF(U101="Rollover",IF(D101="Buy",(Z101-E101)*($C$5/2)*$C$6,(E101-Z101)*($C$5/2)*$C$6),IF(U101="Stoploss 1 Hit",IF(K101="","",IF(D101="Buy",(K101-E101)*$C$5*$C$6,(E101-K101)*$C$5*$C$6)),IF(OR(U101="Gap Down Stoploss 1 Hit",U101="Gap Up Stoploss 1 Hit"),IF(Q101="","",IF(D101="Buy",(Q101-E101)*$C$5*$C$6,(E101-Q101)*$C$5*$C$6)),0))))))</x:f>
      </x:c>
      <x:c r="W101" s="326"/>
      <x:c r="X101" s="341" t="str">
        <x:f>IF(D101="","",IF(U101="Target Hit",IF(W101="Stoploss 2 Hit",IF(N101="","",IF(D101="Buy",(N101-E101)*($C$5/2)*$C$6,(E101-N101)*($C$5/2)*$C$6)),IF(U101="Target Hit",IF(W101="Rollover",IF(Z101="","",IF(D101="Buy",(Z101-E101)*($C$5/2)*$C$6,(E101-Z101)*($C$5/2)*$C$6)),IF(W101="Gap Down Stoploss 2 Hit",IF(T101="","",IF(D101="Buy",(T101-E101)*($C$5/2)*$C$6,(E101-T101)*($C$5/2)*$C$6)),IF(W101="Gap Up Stoploss 2 Hit",IF(T101="","",IF(D101="Buy",(T101-E101)*($C$5/2)*$C$6,(E101-T101)*($C$5/2)*$C$6)),0))),0))))</x:f>
      </x:c>
      <x:c r="Y101" s="343" t="str">
        <x:f t="shared" si="17"/>
      </x:c>
      <x:c r="Z101" s="327"/>
    </x:row>
    <x:row r="102">
      <x:c r="A102" s="35">
        <x:v>90</x:v>
      </x:c>
      <x:c r="B102" s="318"/>
      <x:c r="C102" s="319"/>
      <x:c r="D102" s="320"/>
      <x:c r="E102" s="321"/>
      <x:c r="F102" s="322"/>
      <x:c r="G102" s="321"/>
      <x:c r="H102" s="323"/>
      <x:c r="I102" s="337" t="str">
        <x:f t="shared" si="14"/>
      </x:c>
      <x:c r="J102" s="324"/>
      <x:c r="K102" s="336" t="str">
        <x:f t="shared" si="18"/>
      </x:c>
      <x:c r="L102" s="335" t="str">
        <x:f t="shared" si="19"/>
      </x:c>
      <x:c r="M102" s="324"/>
      <x:c r="N102" s="336" t="str">
        <x:f t="shared" si="20"/>
      </x:c>
      <x:c r="O102" s="337" t="str">
        <x:f t="shared" si="15"/>
      </x:c>
      <x:c r="P102" s="324"/>
      <x:c r="Q102" s="336" t="str">
        <x:f t="shared" si="21"/>
      </x:c>
      <x:c r="R102" s="339" t="str">
        <x:f t="shared" si="16"/>
      </x:c>
      <x:c r="S102" s="324"/>
      <x:c r="T102" s="336" t="str">
        <x:f t="shared" si="22"/>
      </x:c>
      <x:c r="U102" s="325"/>
      <x:c r="V102" s="340" t="str">
        <x:f>IF(OR(D102="",U102="",$C$5="",$C$6=""),"",IF(U102="Target Hit",IF(D102="Buy",(F102-E102)*($C$5/2)*$C$6,(E102-F102)*($C$5/2)*$C$6),IF(U102="Target Hit",IF(D102="Buy",(F102-E102)*($C$5/2)*$C$6,(E102-F102)*($C$5/2)*$C$6),IF(U102="Rollover",IF(D102="Buy",(Z102-E102)*($C$5/2)*$C$6,(E102-Z102)*($C$5/2)*$C$6),IF(U102="Stoploss 1 Hit",IF(K102="","",IF(D102="Buy",(K102-E102)*$C$5*$C$6,(E102-K102)*$C$5*$C$6)),IF(OR(U102="Gap Down Stoploss 1 Hit",U102="Gap Up Stoploss 1 Hit"),IF(Q102="","",IF(D102="Buy",(Q102-E102)*$C$5*$C$6,(E102-Q102)*$C$5*$C$6)),0))))))</x:f>
      </x:c>
      <x:c r="W102" s="326"/>
      <x:c r="X102" s="341" t="str">
        <x:f>IF(D102="","",IF(U102="Target Hit",IF(W102="Stoploss 2 Hit",IF(N102="","",IF(D102="Buy",(N102-E102)*($C$5/2)*$C$6,(E102-N102)*($C$5/2)*$C$6)),IF(U102="Target Hit",IF(W102="Rollover",IF(Z102="","",IF(D102="Buy",(Z102-E102)*($C$5/2)*$C$6,(E102-Z102)*($C$5/2)*$C$6)),IF(W102="Gap Down Stoploss 2 Hit",IF(T102="","",IF(D102="Buy",(T102-E102)*($C$5/2)*$C$6,(E102-T102)*($C$5/2)*$C$6)),IF(W102="Gap Up Stoploss 2 Hit",IF(T102="","",IF(D102="Buy",(T102-E102)*($C$5/2)*$C$6,(E102-T102)*($C$5/2)*$C$6)),0))),0))))</x:f>
      </x:c>
      <x:c r="Y102" s="343" t="str">
        <x:f t="shared" si="17"/>
      </x:c>
      <x:c r="Z102" s="327"/>
    </x:row>
    <x:row r="103">
      <x:c r="A103" s="35">
        <x:v>91</x:v>
      </x:c>
      <x:c r="B103" s="318"/>
      <x:c r="C103" s="319"/>
      <x:c r="D103" s="320"/>
      <x:c r="E103" s="321"/>
      <x:c r="F103" s="322"/>
      <x:c r="G103" s="321"/>
      <x:c r="H103" s="323"/>
      <x:c r="I103" s="337" t="str">
        <x:f t="shared" si="14"/>
      </x:c>
      <x:c r="J103" s="324"/>
      <x:c r="K103" s="336" t="str">
        <x:f t="shared" si="18"/>
      </x:c>
      <x:c r="L103" s="335" t="str">
        <x:f t="shared" si="19"/>
      </x:c>
      <x:c r="M103" s="324"/>
      <x:c r="N103" s="336" t="str">
        <x:f t="shared" si="20"/>
      </x:c>
      <x:c r="O103" s="337" t="str">
        <x:f t="shared" si="15"/>
      </x:c>
      <x:c r="P103" s="324"/>
      <x:c r="Q103" s="336" t="str">
        <x:f t="shared" si="21"/>
      </x:c>
      <x:c r="R103" s="339" t="str">
        <x:f t="shared" si="16"/>
      </x:c>
      <x:c r="S103" s="324"/>
      <x:c r="T103" s="336" t="str">
        <x:f t="shared" si="22"/>
      </x:c>
      <x:c r="U103" s="325"/>
      <x:c r="V103" s="340" t="str">
        <x:f>IF(OR(D103="",U103="",$C$5="",$C$6=""),"",IF(U103="Target Hit",IF(D103="Buy",(F103-E103)*($C$5/2)*$C$6,(E103-F103)*($C$5/2)*$C$6),IF(U103="Target Hit",IF(D103="Buy",(F103-E103)*($C$5/2)*$C$6,(E103-F103)*($C$5/2)*$C$6),IF(U103="Rollover",IF(D103="Buy",(Z103-E103)*($C$5/2)*$C$6,(E103-Z103)*($C$5/2)*$C$6),IF(U103="Stoploss 1 Hit",IF(K103="","",IF(D103="Buy",(K103-E103)*$C$5*$C$6,(E103-K103)*$C$5*$C$6)),IF(OR(U103="Gap Down Stoploss 1 Hit",U103="Gap Up Stoploss 1 Hit"),IF(Q103="","",IF(D103="Buy",(Q103-E103)*$C$5*$C$6,(E103-Q103)*$C$5*$C$6)),0))))))</x:f>
      </x:c>
      <x:c r="W103" s="326"/>
      <x:c r="X103" s="341" t="str">
        <x:f>IF(D103="","",IF(U103="Target Hit",IF(W103="Stoploss 2 Hit",IF(N103="","",IF(D103="Buy",(N103-E103)*($C$5/2)*$C$6,(E103-N103)*($C$5/2)*$C$6)),IF(U103="Target Hit",IF(W103="Rollover",IF(Z103="","",IF(D103="Buy",(Z103-E103)*($C$5/2)*$C$6,(E103-Z103)*($C$5/2)*$C$6)),IF(W103="Gap Down Stoploss 2 Hit",IF(T103="","",IF(D103="Buy",(T103-E103)*($C$5/2)*$C$6,(E103-T103)*($C$5/2)*$C$6)),IF(W103="Gap Up Stoploss 2 Hit",IF(T103="","",IF(D103="Buy",(T103-E103)*($C$5/2)*$C$6,(E103-T103)*($C$5/2)*$C$6)),0))),0))))</x:f>
      </x:c>
      <x:c r="Y103" s="343" t="str">
        <x:f t="shared" si="17"/>
      </x:c>
      <x:c r="Z103" s="327"/>
    </x:row>
    <x:row r="104">
      <x:c r="A104" s="35">
        <x:v>92</x:v>
      </x:c>
      <x:c r="B104" s="318"/>
      <x:c r="C104" s="319"/>
      <x:c r="D104" s="320"/>
      <x:c r="E104" s="321"/>
      <x:c r="F104" s="322"/>
      <x:c r="G104" s="321"/>
      <x:c r="H104" s="323"/>
      <x:c r="I104" s="337" t="str">
        <x:f t="shared" si="14"/>
      </x:c>
      <x:c r="J104" s="324"/>
      <x:c r="K104" s="336" t="str">
        <x:f t="shared" si="18"/>
      </x:c>
      <x:c r="L104" s="335" t="str">
        <x:f t="shared" si="19"/>
      </x:c>
      <x:c r="M104" s="324"/>
      <x:c r="N104" s="336" t="str">
        <x:f t="shared" si="20"/>
      </x:c>
      <x:c r="O104" s="337" t="str">
        <x:f t="shared" si="15"/>
      </x:c>
      <x:c r="P104" s="324"/>
      <x:c r="Q104" s="336" t="str">
        <x:f t="shared" si="21"/>
      </x:c>
      <x:c r="R104" s="339" t="str">
        <x:f t="shared" si="16"/>
      </x:c>
      <x:c r="S104" s="324"/>
      <x:c r="T104" s="336" t="str">
        <x:f t="shared" si="22"/>
      </x:c>
      <x:c r="U104" s="325"/>
      <x:c r="V104" s="340" t="str">
        <x:f>IF(OR(D104="",U104="",$C$5="",$C$6=""),"",IF(U104="Target Hit",IF(D104="Buy",(F104-E104)*($C$5/2)*$C$6,(E104-F104)*($C$5/2)*$C$6),IF(U104="Target Hit",IF(D104="Buy",(F104-E104)*($C$5/2)*$C$6,(E104-F104)*($C$5/2)*$C$6),IF(U104="Rollover",IF(D104="Buy",(Z104-E104)*($C$5/2)*$C$6,(E104-Z104)*($C$5/2)*$C$6),IF(U104="Stoploss 1 Hit",IF(K104="","",IF(D104="Buy",(K104-E104)*$C$5*$C$6,(E104-K104)*$C$5*$C$6)),IF(OR(U104="Gap Down Stoploss 1 Hit",U104="Gap Up Stoploss 1 Hit"),IF(Q104="","",IF(D104="Buy",(Q104-E104)*$C$5*$C$6,(E104-Q104)*$C$5*$C$6)),0))))))</x:f>
      </x:c>
      <x:c r="W104" s="326"/>
      <x:c r="X104" s="341" t="str">
        <x:f>IF(D104="","",IF(U104="Target Hit",IF(W104="Stoploss 2 Hit",IF(N104="","",IF(D104="Buy",(N104-E104)*($C$5/2)*$C$6,(E104-N104)*($C$5/2)*$C$6)),IF(U104="Target Hit",IF(W104="Rollover",IF(Z104="","",IF(D104="Buy",(Z104-E104)*($C$5/2)*$C$6,(E104-Z104)*($C$5/2)*$C$6)),IF(W104="Gap Down Stoploss 2 Hit",IF(T104="","",IF(D104="Buy",(T104-E104)*($C$5/2)*$C$6,(E104-T104)*($C$5/2)*$C$6)),IF(W104="Gap Up Stoploss 2 Hit",IF(T104="","",IF(D104="Buy",(T104-E104)*($C$5/2)*$C$6,(E104-T104)*($C$5/2)*$C$6)),0))),0))))</x:f>
      </x:c>
      <x:c r="Y104" s="343" t="str">
        <x:f t="shared" si="17"/>
      </x:c>
      <x:c r="Z104" s="327"/>
    </x:row>
    <x:row r="105">
      <x:c r="A105" s="35">
        <x:v>93</x:v>
      </x:c>
      <x:c r="B105" s="318"/>
      <x:c r="C105" s="319"/>
      <x:c r="D105" s="320"/>
      <x:c r="E105" s="321"/>
      <x:c r="F105" s="322"/>
      <x:c r="G105" s="321"/>
      <x:c r="H105" s="323"/>
      <x:c r="I105" s="337" t="str">
        <x:f t="shared" si="14"/>
      </x:c>
      <x:c r="J105" s="324"/>
      <x:c r="K105" s="336" t="str">
        <x:f t="shared" si="18"/>
      </x:c>
      <x:c r="L105" s="335" t="str">
        <x:f t="shared" si="19"/>
      </x:c>
      <x:c r="M105" s="324"/>
      <x:c r="N105" s="336" t="str">
        <x:f t="shared" si="20"/>
      </x:c>
      <x:c r="O105" s="337" t="str">
        <x:f t="shared" si="15"/>
      </x:c>
      <x:c r="P105" s="324"/>
      <x:c r="Q105" s="336" t="str">
        <x:f t="shared" si="21"/>
      </x:c>
      <x:c r="R105" s="339" t="str">
        <x:f t="shared" si="16"/>
      </x:c>
      <x:c r="S105" s="324"/>
      <x:c r="T105" s="336" t="str">
        <x:f t="shared" si="22"/>
      </x:c>
      <x:c r="U105" s="325"/>
      <x:c r="V105" s="340" t="str">
        <x:f>IF(OR(D105="",U105="",$C$5="",$C$6=""),"",IF(U105="Target Hit",IF(D105="Buy",(F105-E105)*($C$5/2)*$C$6,(E105-F105)*($C$5/2)*$C$6),IF(U105="Target Hit",IF(D105="Buy",(F105-E105)*($C$5/2)*$C$6,(E105-F105)*($C$5/2)*$C$6),IF(U105="Rollover",IF(D105="Buy",(Z105-E105)*($C$5/2)*$C$6,(E105-Z105)*($C$5/2)*$C$6),IF(U105="Stoploss 1 Hit",IF(K105="","",IF(D105="Buy",(K105-E105)*$C$5*$C$6,(E105-K105)*$C$5*$C$6)),IF(OR(U105="Gap Down Stoploss 1 Hit",U105="Gap Up Stoploss 1 Hit"),IF(Q105="","",IF(D105="Buy",(Q105-E105)*$C$5*$C$6,(E105-Q105)*$C$5*$C$6)),0))))))</x:f>
      </x:c>
      <x:c r="W105" s="326"/>
      <x:c r="X105" s="341" t="str">
        <x:f>IF(D105="","",IF(U105="Target Hit",IF(W105="Stoploss 2 Hit",IF(N105="","",IF(D105="Buy",(N105-E105)*($C$5/2)*$C$6,(E105-N105)*($C$5/2)*$C$6)),IF(U105="Target Hit",IF(W105="Rollover",IF(Z105="","",IF(D105="Buy",(Z105-E105)*($C$5/2)*$C$6,(E105-Z105)*($C$5/2)*$C$6)),IF(W105="Gap Down Stoploss 2 Hit",IF(T105="","",IF(D105="Buy",(T105-E105)*($C$5/2)*$C$6,(E105-T105)*($C$5/2)*$C$6)),IF(W105="Gap Up Stoploss 2 Hit",IF(T105="","",IF(D105="Buy",(T105-E105)*($C$5/2)*$C$6,(E105-T105)*($C$5/2)*$C$6)),0))),0))))</x:f>
      </x:c>
      <x:c r="Y105" s="343" t="str">
        <x:f t="shared" si="17"/>
      </x:c>
      <x:c r="Z105" s="327"/>
    </x:row>
    <x:row r="106">
      <x:c r="A106" s="35">
        <x:v>94</x:v>
      </x:c>
      <x:c r="B106" s="318"/>
      <x:c r="C106" s="319"/>
      <x:c r="D106" s="320"/>
      <x:c r="E106" s="321"/>
      <x:c r="F106" s="322"/>
      <x:c r="G106" s="321"/>
      <x:c r="H106" s="323"/>
      <x:c r="I106" s="337" t="str">
        <x:f t="shared" si="14"/>
      </x:c>
      <x:c r="J106" s="324"/>
      <x:c r="K106" s="336" t="str">
        <x:f t="shared" si="18"/>
      </x:c>
      <x:c r="L106" s="335" t="str">
        <x:f t="shared" si="19"/>
      </x:c>
      <x:c r="M106" s="324"/>
      <x:c r="N106" s="336" t="str">
        <x:f t="shared" si="20"/>
      </x:c>
      <x:c r="O106" s="337" t="str">
        <x:f t="shared" si="15"/>
      </x:c>
      <x:c r="P106" s="324"/>
      <x:c r="Q106" s="336" t="str">
        <x:f t="shared" si="21"/>
      </x:c>
      <x:c r="R106" s="339" t="str">
        <x:f t="shared" si="16"/>
      </x:c>
      <x:c r="S106" s="324"/>
      <x:c r="T106" s="336" t="str">
        <x:f t="shared" si="22"/>
      </x:c>
      <x:c r="U106" s="325"/>
      <x:c r="V106" s="340" t="str">
        <x:f>IF(OR(D106="",U106="",$C$5="",$C$6=""),"",IF(U106="Target Hit",IF(D106="Buy",(F106-E106)*($C$5/2)*$C$6,(E106-F106)*($C$5/2)*$C$6),IF(U106="Target Hit",IF(D106="Buy",(F106-E106)*($C$5/2)*$C$6,(E106-F106)*($C$5/2)*$C$6),IF(U106="Rollover",IF(D106="Buy",(Z106-E106)*($C$5/2)*$C$6,(E106-Z106)*($C$5/2)*$C$6),IF(U106="Stoploss 1 Hit",IF(K106="","",IF(D106="Buy",(K106-E106)*$C$5*$C$6,(E106-K106)*$C$5*$C$6)),IF(OR(U106="Gap Down Stoploss 1 Hit",U106="Gap Up Stoploss 1 Hit"),IF(Q106="","",IF(D106="Buy",(Q106-E106)*$C$5*$C$6,(E106-Q106)*$C$5*$C$6)),0))))))</x:f>
      </x:c>
      <x:c r="W106" s="326"/>
      <x:c r="X106" s="341" t="str">
        <x:f>IF(D106="","",IF(U106="Target Hit",IF(W106="Stoploss 2 Hit",IF(N106="","",IF(D106="Buy",(N106-E106)*($C$5/2)*$C$6,(E106-N106)*($C$5/2)*$C$6)),IF(U106="Target Hit",IF(W106="Rollover",IF(Z106="","",IF(D106="Buy",(Z106-E106)*($C$5/2)*$C$6,(E106-Z106)*($C$5/2)*$C$6)),IF(W106="Gap Down Stoploss 2 Hit",IF(T106="","",IF(D106="Buy",(T106-E106)*($C$5/2)*$C$6,(E106-T106)*($C$5/2)*$C$6)),IF(W106="Gap Up Stoploss 2 Hit",IF(T106="","",IF(D106="Buy",(T106-E106)*($C$5/2)*$C$6,(E106-T106)*($C$5/2)*$C$6)),0))),0))))</x:f>
      </x:c>
      <x:c r="Y106" s="343" t="str">
        <x:f t="shared" si="17"/>
      </x:c>
      <x:c r="Z106" s="327"/>
    </x:row>
    <x:row r="107">
      <x:c r="A107" s="35">
        <x:v>95</x:v>
      </x:c>
      <x:c r="B107" s="318"/>
      <x:c r="C107" s="319"/>
      <x:c r="D107" s="320"/>
      <x:c r="E107" s="321"/>
      <x:c r="F107" s="322"/>
      <x:c r="G107" s="321"/>
      <x:c r="H107" s="323"/>
      <x:c r="I107" s="337" t="str">
        <x:f t="shared" si="14"/>
      </x:c>
      <x:c r="J107" s="324"/>
      <x:c r="K107" s="336" t="str">
        <x:f t="shared" si="18"/>
      </x:c>
      <x:c r="L107" s="335" t="str">
        <x:f t="shared" si="19"/>
      </x:c>
      <x:c r="M107" s="324"/>
      <x:c r="N107" s="336" t="str">
        <x:f t="shared" si="20"/>
      </x:c>
      <x:c r="O107" s="337" t="str">
        <x:f t="shared" si="15"/>
      </x:c>
      <x:c r="P107" s="324"/>
      <x:c r="Q107" s="336" t="str">
        <x:f t="shared" si="21"/>
      </x:c>
      <x:c r="R107" s="339" t="str">
        <x:f t="shared" si="16"/>
      </x:c>
      <x:c r="S107" s="324"/>
      <x:c r="T107" s="336" t="str">
        <x:f t="shared" si="22"/>
      </x:c>
      <x:c r="U107" s="325"/>
      <x:c r="V107" s="340" t="str">
        <x:f>IF(OR(D107="",U107="",$C$5="",$C$6=""),"",IF(U107="Target Hit",IF(D107="Buy",(F107-E107)*($C$5/2)*$C$6,(E107-F107)*($C$5/2)*$C$6),IF(U107="Target Hit",IF(D107="Buy",(F107-E107)*($C$5/2)*$C$6,(E107-F107)*($C$5/2)*$C$6),IF(U107="Rollover",IF(D107="Buy",(Z107-E107)*($C$5/2)*$C$6,(E107-Z107)*($C$5/2)*$C$6),IF(U107="Stoploss 1 Hit",IF(K107="","",IF(D107="Buy",(K107-E107)*$C$5*$C$6,(E107-K107)*$C$5*$C$6)),IF(OR(U107="Gap Down Stoploss 1 Hit",U107="Gap Up Stoploss 1 Hit"),IF(Q107="","",IF(D107="Buy",(Q107-E107)*$C$5*$C$6,(E107-Q107)*$C$5*$C$6)),0))))))</x:f>
      </x:c>
      <x:c r="W107" s="326"/>
      <x:c r="X107" s="341" t="str">
        <x:f>IF(D107="","",IF(U107="Target Hit",IF(W107="Stoploss 2 Hit",IF(N107="","",IF(D107="Buy",(N107-E107)*($C$5/2)*$C$6,(E107-N107)*($C$5/2)*$C$6)),IF(U107="Target Hit",IF(W107="Rollover",IF(Z107="","",IF(D107="Buy",(Z107-E107)*($C$5/2)*$C$6,(E107-Z107)*($C$5/2)*$C$6)),IF(W107="Gap Down Stoploss 2 Hit",IF(T107="","",IF(D107="Buy",(T107-E107)*($C$5/2)*$C$6,(E107-T107)*($C$5/2)*$C$6)),IF(W107="Gap Up Stoploss 2 Hit",IF(T107="","",IF(D107="Buy",(T107-E107)*($C$5/2)*$C$6,(E107-T107)*($C$5/2)*$C$6)),0))),0))))</x:f>
      </x:c>
      <x:c r="Y107" s="343" t="str">
        <x:f t="shared" si="17"/>
      </x:c>
      <x:c r="Z107" s="327"/>
    </x:row>
    <x:row r="108">
      <x:c r="A108" s="35">
        <x:v>96</x:v>
      </x:c>
      <x:c r="B108" s="318"/>
      <x:c r="C108" s="319"/>
      <x:c r="D108" s="320"/>
      <x:c r="E108" s="321"/>
      <x:c r="F108" s="322"/>
      <x:c r="G108" s="321"/>
      <x:c r="H108" s="323"/>
      <x:c r="I108" s="337" t="str">
        <x:f t="shared" si="14"/>
      </x:c>
      <x:c r="J108" s="324"/>
      <x:c r="K108" s="336" t="str">
        <x:f t="shared" si="18"/>
      </x:c>
      <x:c r="L108" s="335" t="str">
        <x:f t="shared" si="19"/>
      </x:c>
      <x:c r="M108" s="324"/>
      <x:c r="N108" s="336" t="str">
        <x:f t="shared" si="20"/>
      </x:c>
      <x:c r="O108" s="337" t="str">
        <x:f t="shared" si="15"/>
      </x:c>
      <x:c r="P108" s="324"/>
      <x:c r="Q108" s="336" t="str">
        <x:f t="shared" si="21"/>
      </x:c>
      <x:c r="R108" s="339" t="str">
        <x:f t="shared" si="16"/>
      </x:c>
      <x:c r="S108" s="324"/>
      <x:c r="T108" s="336" t="str">
        <x:f t="shared" si="22"/>
      </x:c>
      <x:c r="U108" s="325"/>
      <x:c r="V108" s="340" t="str">
        <x:f>IF(OR(D108="",U108="",$C$5="",$C$6=""),"",IF(U108="Target Hit",IF(D108="Buy",(F108-E108)*($C$5/2)*$C$6,(E108-F108)*($C$5/2)*$C$6),IF(U108="Target Hit",IF(D108="Buy",(F108-E108)*($C$5/2)*$C$6,(E108-F108)*($C$5/2)*$C$6),IF(U108="Rollover",IF(D108="Buy",(Z108-E108)*($C$5/2)*$C$6,(E108-Z108)*($C$5/2)*$C$6),IF(U108="Stoploss 1 Hit",IF(K108="","",IF(D108="Buy",(K108-E108)*$C$5*$C$6,(E108-K108)*$C$5*$C$6)),IF(OR(U108="Gap Down Stoploss 1 Hit",U108="Gap Up Stoploss 1 Hit"),IF(Q108="","",IF(D108="Buy",(Q108-E108)*$C$5*$C$6,(E108-Q108)*$C$5*$C$6)),0))))))</x:f>
      </x:c>
      <x:c r="W108" s="326"/>
      <x:c r="X108" s="341" t="str">
        <x:f>IF(D108="","",IF(U108="Target Hit",IF(W108="Stoploss 2 Hit",IF(N108="","",IF(D108="Buy",(N108-E108)*($C$5/2)*$C$6,(E108-N108)*($C$5/2)*$C$6)),IF(U108="Target Hit",IF(W108="Rollover",IF(Z108="","",IF(D108="Buy",(Z108-E108)*($C$5/2)*$C$6,(E108-Z108)*($C$5/2)*$C$6)),IF(W108="Gap Down Stoploss 2 Hit",IF(T108="","",IF(D108="Buy",(T108-E108)*($C$5/2)*$C$6,(E108-T108)*($C$5/2)*$C$6)),IF(W108="Gap Up Stoploss 2 Hit",IF(T108="","",IF(D108="Buy",(T108-E108)*($C$5/2)*$C$6,(E108-T108)*($C$5/2)*$C$6)),0))),0))))</x:f>
      </x:c>
      <x:c r="Y108" s="343" t="str">
        <x:f t="shared" si="17"/>
      </x:c>
      <x:c r="Z108" s="327"/>
    </x:row>
    <x:row r="109">
      <x:c r="A109" s="35">
        <x:v>97</x:v>
      </x:c>
      <x:c r="B109" s="318"/>
      <x:c r="C109" s="319"/>
      <x:c r="D109" s="320"/>
      <x:c r="E109" s="321"/>
      <x:c r="F109" s="322"/>
      <x:c r="G109" s="321"/>
      <x:c r="H109" s="323"/>
      <x:c r="I109" s="337" t="str">
        <x:f t="shared" si="14"/>
      </x:c>
      <x:c r="J109" s="324"/>
      <x:c r="K109" s="336" t="str">
        <x:f t="shared" si="18"/>
      </x:c>
      <x:c r="L109" s="335" t="str">
        <x:f t="shared" si="19"/>
      </x:c>
      <x:c r="M109" s="324"/>
      <x:c r="N109" s="336" t="str">
        <x:f t="shared" si="20"/>
      </x:c>
      <x:c r="O109" s="337" t="str">
        <x:f t="shared" si="15"/>
      </x:c>
      <x:c r="P109" s="324"/>
      <x:c r="Q109" s="336" t="str">
        <x:f t="shared" si="21"/>
      </x:c>
      <x:c r="R109" s="339" t="str">
        <x:f t="shared" si="16"/>
      </x:c>
      <x:c r="S109" s="324"/>
      <x:c r="T109" s="336" t="str">
        <x:f t="shared" si="22"/>
      </x:c>
      <x:c r="U109" s="325"/>
      <x:c r="V109" s="340" t="str">
        <x:f>IF(OR(D109="",U109="",$C$5="",$C$6=""),"",IF(U109="Target Hit",IF(D109="Buy",(F109-E109)*($C$5/2)*$C$6,(E109-F109)*($C$5/2)*$C$6),IF(U109="Target Hit",IF(D109="Buy",(F109-E109)*($C$5/2)*$C$6,(E109-F109)*($C$5/2)*$C$6),IF(U109="Rollover",IF(D109="Buy",(Z109-E109)*($C$5/2)*$C$6,(E109-Z109)*($C$5/2)*$C$6),IF(U109="Stoploss 1 Hit",IF(K109="","",IF(D109="Buy",(K109-E109)*$C$5*$C$6,(E109-K109)*$C$5*$C$6)),IF(OR(U109="Gap Down Stoploss 1 Hit",U109="Gap Up Stoploss 1 Hit"),IF(Q109="","",IF(D109="Buy",(Q109-E109)*$C$5*$C$6,(E109-Q109)*$C$5*$C$6)),0))))))</x:f>
      </x:c>
      <x:c r="W109" s="326"/>
      <x:c r="X109" s="341" t="str">
        <x:f>IF(D109="","",IF(U109="Target Hit",IF(W109="Stoploss 2 Hit",IF(N109="","",IF(D109="Buy",(N109-E109)*($C$5/2)*$C$6,(E109-N109)*($C$5/2)*$C$6)),IF(U109="Target Hit",IF(W109="Rollover",IF(Z109="","",IF(D109="Buy",(Z109-E109)*($C$5/2)*$C$6,(E109-Z109)*($C$5/2)*$C$6)),IF(W109="Gap Down Stoploss 2 Hit",IF(T109="","",IF(D109="Buy",(T109-E109)*($C$5/2)*$C$6,(E109-T109)*($C$5/2)*$C$6)),IF(W109="Gap Up Stoploss 2 Hit",IF(T109="","",IF(D109="Buy",(T109-E109)*($C$5/2)*$C$6,(E109-T109)*($C$5/2)*$C$6)),0))),0))))</x:f>
      </x:c>
      <x:c r="Y109" s="343" t="str">
        <x:f t="shared" si="17"/>
      </x:c>
      <x:c r="Z109" s="327"/>
    </x:row>
    <x:row r="110">
      <x:c r="A110" s="35">
        <x:v>98</x:v>
      </x:c>
      <x:c r="B110" s="318"/>
      <x:c r="C110" s="319"/>
      <x:c r="D110" s="320"/>
      <x:c r="E110" s="321"/>
      <x:c r="F110" s="322"/>
      <x:c r="G110" s="321"/>
      <x:c r="H110" s="323"/>
      <x:c r="I110" s="337" t="str">
        <x:f t="shared" si="14"/>
      </x:c>
      <x:c r="J110" s="324"/>
      <x:c r="K110" s="336" t="str">
        <x:f t="shared" ref="K110:K141" si="23">IF(OR(D110="",E110="",J110=""),"",IF(D110="Buy",MROUND(MAX(E110*(1-1.25%),J110*(1-0.125%)),1),MROUND(MIN(E110*(1+1.25%),J110*(1+0.125%)),1)))</x:f>
      </x:c>
      <x:c r="L110" s="335" t="str">
        <x:f t="shared" ref="L110:L141" si="24">IF(D110="Buy","Enter New 3DLL",IF(D110="Sell","Enter New 3DHH",""))</x:f>
      </x:c>
      <x:c r="M110" s="324"/>
      <x:c r="N110" s="336" t="str">
        <x:f t="shared" ref="N110:N141" si="25">IF(OR(D110="",E110="",M110=""),"",IF(D110="Buy",MROUND(MAX(E110*(1-1.25%),M110*(1-0.125%)),1),MROUND(MIN(E110*(1+1.25%),M110*(1+0.125%)),1)))</x:f>
      </x:c>
      <x:c r="O110" s="337" t="str">
        <x:f t="shared" si="15"/>
      </x:c>
      <x:c r="P110" s="324"/>
      <x:c r="Q110" s="336" t="str">
        <x:f t="shared" ref="Q110:Q141" si="26">IF(OR(D110="",P110=""),"",IF(D110="Buy",MROUND(P110*(1-0.125%),1),MROUND(P110*(1+0.125%),1)))</x:f>
      </x:c>
      <x:c r="R110" s="339" t="str">
        <x:f t="shared" si="16"/>
      </x:c>
      <x:c r="S110" s="324"/>
      <x:c r="T110" s="336" t="str">
        <x:f t="shared" ref="T110:T141" si="27">IF(OR(D110="",S110=""),"",IF(D110="Buy",MROUND(S110*(1-0.125%),1),MROUND(S110*(1+0.125%),1)))</x:f>
      </x:c>
      <x:c r="U110" s="325"/>
      <x:c r="V110" s="340" t="str">
        <x:f>IF(OR(D110="",U110="",$C$5="",$C$6=""),"",IF(U110="Target Hit",IF(D110="Buy",(F110-E110)*($C$5/2)*$C$6,(E110-F110)*($C$5/2)*$C$6),IF(U110="Target Hit",IF(D110="Buy",(F110-E110)*($C$5/2)*$C$6,(E110-F110)*($C$5/2)*$C$6),IF(U110="Rollover",IF(D110="Buy",(Z110-E110)*($C$5/2)*$C$6,(E110-Z110)*($C$5/2)*$C$6),IF(U110="Stoploss 1 Hit",IF(K110="","",IF(D110="Buy",(K110-E110)*$C$5*$C$6,(E110-K110)*$C$5*$C$6)),IF(OR(U110="Gap Down Stoploss 1 Hit",U110="Gap Up Stoploss 1 Hit"),IF(Q110="","",IF(D110="Buy",(Q110-E110)*$C$5*$C$6,(E110-Q110)*$C$5*$C$6)),0))))))</x:f>
      </x:c>
      <x:c r="W110" s="326"/>
      <x:c r="X110" s="341" t="str">
        <x:f>IF(D110="","",IF(U110="Target Hit",IF(W110="Stoploss 2 Hit",IF(N110="","",IF(D110="Buy",(N110-E110)*($C$5/2)*$C$6,(E110-N110)*($C$5/2)*$C$6)),IF(U110="Target Hit",IF(W110="Rollover",IF(Z110="","",IF(D110="Buy",(Z110-E110)*($C$5/2)*$C$6,(E110-Z110)*($C$5/2)*$C$6)),IF(W110="Gap Down Stoploss 2 Hit",IF(T110="","",IF(D110="Buy",(T110-E110)*($C$5/2)*$C$6,(E110-T110)*($C$5/2)*$C$6)),IF(W110="Gap Up Stoploss 2 Hit",IF(T110="","",IF(D110="Buy",(T110-E110)*($C$5/2)*$C$6,(E110-T110)*($C$5/2)*$C$6)),0))),0))))</x:f>
      </x:c>
      <x:c r="Y110" s="343" t="str">
        <x:f t="shared" si="17"/>
      </x:c>
      <x:c r="Z110" s="327"/>
    </x:row>
    <x:row r="111">
      <x:c r="A111" s="35">
        <x:v>99</x:v>
      </x:c>
      <x:c r="B111" s="318"/>
      <x:c r="C111" s="319"/>
      <x:c r="D111" s="320"/>
      <x:c r="E111" s="321"/>
      <x:c r="F111" s="322"/>
      <x:c r="G111" s="321"/>
      <x:c r="H111" s="323"/>
      <x:c r="I111" s="337" t="str">
        <x:f t="shared" si="14"/>
      </x:c>
      <x:c r="J111" s="324"/>
      <x:c r="K111" s="336" t="str">
        <x:f t="shared" si="23"/>
      </x:c>
      <x:c r="L111" s="335" t="str">
        <x:f t="shared" si="24"/>
      </x:c>
      <x:c r="M111" s="324"/>
      <x:c r="N111" s="336" t="str">
        <x:f t="shared" si="25"/>
      </x:c>
      <x:c r="O111" s="337" t="str">
        <x:f t="shared" si="15"/>
      </x:c>
      <x:c r="P111" s="324"/>
      <x:c r="Q111" s="336" t="str">
        <x:f t="shared" si="26"/>
      </x:c>
      <x:c r="R111" s="339" t="str">
        <x:f t="shared" si="16"/>
      </x:c>
      <x:c r="S111" s="324"/>
      <x:c r="T111" s="336" t="str">
        <x:f t="shared" si="27"/>
      </x:c>
      <x:c r="U111" s="325"/>
      <x:c r="V111" s="340" t="str">
        <x:f>IF(OR(D111="",U111="",$C$5="",$C$6=""),"",IF(U111="Target Hit",IF(D111="Buy",(F111-E111)*($C$5/2)*$C$6,(E111-F111)*($C$5/2)*$C$6),IF(U111="Target Hit",IF(D111="Buy",(F111-E111)*($C$5/2)*$C$6,(E111-F111)*($C$5/2)*$C$6),IF(U111="Rollover",IF(D111="Buy",(Z111-E111)*($C$5/2)*$C$6,(E111-Z111)*($C$5/2)*$C$6),IF(U111="Stoploss 1 Hit",IF(K111="","",IF(D111="Buy",(K111-E111)*$C$5*$C$6,(E111-K111)*$C$5*$C$6)),IF(OR(U111="Gap Down Stoploss 1 Hit",U111="Gap Up Stoploss 1 Hit"),IF(Q111="","",IF(D111="Buy",(Q111-E111)*$C$5*$C$6,(E111-Q111)*$C$5*$C$6)),0))))))</x:f>
      </x:c>
      <x:c r="W111" s="326"/>
      <x:c r="X111" s="341" t="str">
        <x:f>IF(D111="","",IF(U111="Target Hit",IF(W111="Stoploss 2 Hit",IF(N111="","",IF(D111="Buy",(N111-E111)*($C$5/2)*$C$6,(E111-N111)*($C$5/2)*$C$6)),IF(U111="Target Hit",IF(W111="Rollover",IF(Z111="","",IF(D111="Buy",(Z111-E111)*($C$5/2)*$C$6,(E111-Z111)*($C$5/2)*$C$6)),IF(W111="Gap Down Stoploss 2 Hit",IF(T111="","",IF(D111="Buy",(T111-E111)*($C$5/2)*$C$6,(E111-T111)*($C$5/2)*$C$6)),IF(W111="Gap Up Stoploss 2 Hit",IF(T111="","",IF(D111="Buy",(T111-E111)*($C$5/2)*$C$6,(E111-T111)*($C$5/2)*$C$6)),0))),0))))</x:f>
      </x:c>
      <x:c r="Y111" s="343" t="str">
        <x:f t="shared" si="17"/>
      </x:c>
      <x:c r="Z111" s="327"/>
    </x:row>
    <x:row r="112">
      <x:c r="A112" s="35">
        <x:v>100</x:v>
      </x:c>
      <x:c r="B112" s="318"/>
      <x:c r="C112" s="319"/>
      <x:c r="D112" s="320"/>
      <x:c r="E112" s="321"/>
      <x:c r="F112" s="322"/>
      <x:c r="G112" s="321"/>
      <x:c r="H112" s="323"/>
      <x:c r="I112" s="337" t="str">
        <x:f t="shared" si="14"/>
      </x:c>
      <x:c r="J112" s="324"/>
      <x:c r="K112" s="336" t="str">
        <x:f t="shared" si="23"/>
      </x:c>
      <x:c r="L112" s="335" t="str">
        <x:f t="shared" si="24"/>
      </x:c>
      <x:c r="M112" s="324"/>
      <x:c r="N112" s="336" t="str">
        <x:f t="shared" si="25"/>
      </x:c>
      <x:c r="O112" s="337" t="str">
        <x:f t="shared" si="15"/>
      </x:c>
      <x:c r="P112" s="324"/>
      <x:c r="Q112" s="336" t="str">
        <x:f t="shared" si="26"/>
      </x:c>
      <x:c r="R112" s="339" t="str">
        <x:f t="shared" si="16"/>
      </x:c>
      <x:c r="S112" s="324"/>
      <x:c r="T112" s="336" t="str">
        <x:f t="shared" si="27"/>
      </x:c>
      <x:c r="U112" s="325"/>
      <x:c r="V112" s="340" t="str">
        <x:f>IF(OR(D112="",U112="",$C$5="",$C$6=""),"",IF(U112="Target Hit",IF(D112="Buy",(F112-E112)*($C$5/2)*$C$6,(E112-F112)*($C$5/2)*$C$6),IF(U112="Target Hit",IF(D112="Buy",(F112-E112)*($C$5/2)*$C$6,(E112-F112)*($C$5/2)*$C$6),IF(U112="Rollover",IF(D112="Buy",(Z112-E112)*($C$5/2)*$C$6,(E112-Z112)*($C$5/2)*$C$6),IF(U112="Stoploss 1 Hit",IF(K112="","",IF(D112="Buy",(K112-E112)*$C$5*$C$6,(E112-K112)*$C$5*$C$6)),IF(OR(U112="Gap Down Stoploss 1 Hit",U112="Gap Up Stoploss 1 Hit"),IF(Q112="","",IF(D112="Buy",(Q112-E112)*$C$5*$C$6,(E112-Q112)*$C$5*$C$6)),0))))))</x:f>
      </x:c>
      <x:c r="W112" s="326"/>
      <x:c r="X112" s="341" t="str">
        <x:f>IF(D112="","",IF(U112="Target Hit",IF(W112="Stoploss 2 Hit",IF(N112="","",IF(D112="Buy",(N112-E112)*($C$5/2)*$C$6,(E112-N112)*($C$5/2)*$C$6)),IF(U112="Target Hit",IF(W112="Rollover",IF(Z112="","",IF(D112="Buy",(Z112-E112)*($C$5/2)*$C$6,(E112-Z112)*($C$5/2)*$C$6)),IF(W112="Gap Down Stoploss 2 Hit",IF(T112="","",IF(D112="Buy",(T112-E112)*($C$5/2)*$C$6,(E112-T112)*($C$5/2)*$C$6)),IF(W112="Gap Up Stoploss 2 Hit",IF(T112="","",IF(D112="Buy",(T112-E112)*($C$5/2)*$C$6,(E112-T112)*($C$5/2)*$C$6)),0))),0))))</x:f>
      </x:c>
      <x:c r="Y112" s="343" t="str">
        <x:f t="shared" si="17"/>
      </x:c>
      <x:c r="Z112" s="327"/>
    </x:row>
    <x:row r="113">
      <x:c r="A113" s="35">
        <x:v>101</x:v>
      </x:c>
      <x:c r="B113" s="318"/>
      <x:c r="C113" s="319"/>
      <x:c r="D113" s="320"/>
      <x:c r="E113" s="321"/>
      <x:c r="F113" s="322"/>
      <x:c r="G113" s="321"/>
      <x:c r="H113" s="323"/>
      <x:c r="I113" s="337" t="str">
        <x:f t="shared" si="14"/>
      </x:c>
      <x:c r="J113" s="324"/>
      <x:c r="K113" s="336" t="str">
        <x:f t="shared" si="23"/>
      </x:c>
      <x:c r="L113" s="335" t="str">
        <x:f t="shared" si="24"/>
      </x:c>
      <x:c r="M113" s="324"/>
      <x:c r="N113" s="336" t="str">
        <x:f t="shared" si="25"/>
      </x:c>
      <x:c r="O113" s="337" t="str">
        <x:f t="shared" si="15"/>
      </x:c>
      <x:c r="P113" s="324"/>
      <x:c r="Q113" s="336" t="str">
        <x:f t="shared" si="26"/>
      </x:c>
      <x:c r="R113" s="339" t="str">
        <x:f t="shared" si="16"/>
      </x:c>
      <x:c r="S113" s="324"/>
      <x:c r="T113" s="336" t="str">
        <x:f t="shared" si="27"/>
      </x:c>
      <x:c r="U113" s="325"/>
      <x:c r="V113" s="340" t="str">
        <x:f>IF(OR(D113="",U113="",$C$5="",$C$6=""),"",IF(U113="Target Hit",IF(D113="Buy",(F113-E113)*($C$5/2)*$C$6,(E113-F113)*($C$5/2)*$C$6),IF(U113="Target Hit",IF(D113="Buy",(F113-E113)*($C$5/2)*$C$6,(E113-F113)*($C$5/2)*$C$6),IF(U113="Rollover",IF(D113="Buy",(Z113-E113)*($C$5/2)*$C$6,(E113-Z113)*($C$5/2)*$C$6),IF(U113="Stoploss 1 Hit",IF(K113="","",IF(D113="Buy",(K113-E113)*$C$5*$C$6,(E113-K113)*$C$5*$C$6)),IF(OR(U113="Gap Down Stoploss 1 Hit",U113="Gap Up Stoploss 1 Hit"),IF(Q113="","",IF(D113="Buy",(Q113-E113)*$C$5*$C$6,(E113-Q113)*$C$5*$C$6)),0))))))</x:f>
      </x:c>
      <x:c r="W113" s="326"/>
      <x:c r="X113" s="341" t="str">
        <x:f>IF(D113="","",IF(U113="Target Hit",IF(W113="Stoploss 2 Hit",IF(N113="","",IF(D113="Buy",(N113-E113)*($C$5/2)*$C$6,(E113-N113)*($C$5/2)*$C$6)),IF(U113="Target Hit",IF(W113="Rollover",IF(Z113="","",IF(D113="Buy",(Z113-E113)*($C$5/2)*$C$6,(E113-Z113)*($C$5/2)*$C$6)),IF(W113="Gap Down Stoploss 2 Hit",IF(T113="","",IF(D113="Buy",(T113-E113)*($C$5/2)*$C$6,(E113-T113)*($C$5/2)*$C$6)),IF(W113="Gap Up Stoploss 2 Hit",IF(T113="","",IF(D113="Buy",(T113-E113)*($C$5/2)*$C$6,(E113-T113)*($C$5/2)*$C$6)),0))),0))))</x:f>
      </x:c>
      <x:c r="Y113" s="343" t="str">
        <x:f t="shared" si="17"/>
      </x:c>
      <x:c r="Z113" s="327"/>
    </x:row>
    <x:row r="114">
      <x:c r="A114" s="35">
        <x:v>102</x:v>
      </x:c>
      <x:c r="B114" s="318"/>
      <x:c r="C114" s="319"/>
      <x:c r="D114" s="320"/>
      <x:c r="E114" s="321"/>
      <x:c r="F114" s="322"/>
      <x:c r="G114" s="321"/>
      <x:c r="H114" s="323"/>
      <x:c r="I114" s="337" t="str">
        <x:f t="shared" si="14"/>
      </x:c>
      <x:c r="J114" s="324"/>
      <x:c r="K114" s="336" t="str">
        <x:f t="shared" si="23"/>
      </x:c>
      <x:c r="L114" s="335" t="str">
        <x:f t="shared" si="24"/>
      </x:c>
      <x:c r="M114" s="324"/>
      <x:c r="N114" s="336" t="str">
        <x:f t="shared" si="25"/>
      </x:c>
      <x:c r="O114" s="337" t="str">
        <x:f t="shared" si="15"/>
      </x:c>
      <x:c r="P114" s="324"/>
      <x:c r="Q114" s="336" t="str">
        <x:f t="shared" si="26"/>
      </x:c>
      <x:c r="R114" s="339" t="str">
        <x:f t="shared" si="16"/>
      </x:c>
      <x:c r="S114" s="324"/>
      <x:c r="T114" s="336" t="str">
        <x:f t="shared" si="27"/>
      </x:c>
      <x:c r="U114" s="325"/>
      <x:c r="V114" s="340" t="str">
        <x:f>IF(OR(D114="",U114="",$C$5="",$C$6=""),"",IF(U114="Target Hit",IF(D114="Buy",(F114-E114)*($C$5/2)*$C$6,(E114-F114)*($C$5/2)*$C$6),IF(U114="Target Hit",IF(D114="Buy",(F114-E114)*($C$5/2)*$C$6,(E114-F114)*($C$5/2)*$C$6),IF(U114="Rollover",IF(D114="Buy",(Z114-E114)*($C$5/2)*$C$6,(E114-Z114)*($C$5/2)*$C$6),IF(U114="Stoploss 1 Hit",IF(K114="","",IF(D114="Buy",(K114-E114)*$C$5*$C$6,(E114-K114)*$C$5*$C$6)),IF(OR(U114="Gap Down Stoploss 1 Hit",U114="Gap Up Stoploss 1 Hit"),IF(Q114="","",IF(D114="Buy",(Q114-E114)*$C$5*$C$6,(E114-Q114)*$C$5*$C$6)),0))))))</x:f>
      </x:c>
      <x:c r="W114" s="326"/>
      <x:c r="X114" s="341" t="str">
        <x:f>IF(D114="","",IF(U114="Target Hit",IF(W114="Stoploss 2 Hit",IF(N114="","",IF(D114="Buy",(N114-E114)*($C$5/2)*$C$6,(E114-N114)*($C$5/2)*$C$6)),IF(U114="Target Hit",IF(W114="Rollover",IF(Z114="","",IF(D114="Buy",(Z114-E114)*($C$5/2)*$C$6,(E114-Z114)*($C$5/2)*$C$6)),IF(W114="Gap Down Stoploss 2 Hit",IF(T114="","",IF(D114="Buy",(T114-E114)*($C$5/2)*$C$6,(E114-T114)*($C$5/2)*$C$6)),IF(W114="Gap Up Stoploss 2 Hit",IF(T114="","",IF(D114="Buy",(T114-E114)*($C$5/2)*$C$6,(E114-T114)*($C$5/2)*$C$6)),0))),0))))</x:f>
      </x:c>
      <x:c r="Y114" s="343" t="str">
        <x:f t="shared" si="17"/>
      </x:c>
      <x:c r="Z114" s="327"/>
    </x:row>
    <x:row r="115">
      <x:c r="A115" s="35">
        <x:v>103</x:v>
      </x:c>
      <x:c r="B115" s="318"/>
      <x:c r="C115" s="319"/>
      <x:c r="D115" s="320"/>
      <x:c r="E115" s="321"/>
      <x:c r="F115" s="322"/>
      <x:c r="G115" s="321"/>
      <x:c r="H115" s="323"/>
      <x:c r="I115" s="337" t="str">
        <x:f t="shared" si="14"/>
      </x:c>
      <x:c r="J115" s="324"/>
      <x:c r="K115" s="336" t="str">
        <x:f t="shared" si="23"/>
      </x:c>
      <x:c r="L115" s="335" t="str">
        <x:f t="shared" si="24"/>
      </x:c>
      <x:c r="M115" s="324"/>
      <x:c r="N115" s="336" t="str">
        <x:f t="shared" si="25"/>
      </x:c>
      <x:c r="O115" s="337" t="str">
        <x:f t="shared" si="15"/>
      </x:c>
      <x:c r="P115" s="324"/>
      <x:c r="Q115" s="336" t="str">
        <x:f t="shared" si="26"/>
      </x:c>
      <x:c r="R115" s="339" t="str">
        <x:f t="shared" si="16"/>
      </x:c>
      <x:c r="S115" s="324"/>
      <x:c r="T115" s="336" t="str">
        <x:f t="shared" si="27"/>
      </x:c>
      <x:c r="U115" s="325"/>
      <x:c r="V115" s="340" t="str">
        <x:f>IF(OR(D115="",U115="",$C$5="",$C$6=""),"",IF(U115="Target Hit",IF(D115="Buy",(F115-E115)*($C$5/2)*$C$6,(E115-F115)*($C$5/2)*$C$6),IF(U115="Target Hit",IF(D115="Buy",(F115-E115)*($C$5/2)*$C$6,(E115-F115)*($C$5/2)*$C$6),IF(U115="Rollover",IF(D115="Buy",(Z115-E115)*($C$5/2)*$C$6,(E115-Z115)*($C$5/2)*$C$6),IF(U115="Stoploss 1 Hit",IF(K115="","",IF(D115="Buy",(K115-E115)*$C$5*$C$6,(E115-K115)*$C$5*$C$6)),IF(OR(U115="Gap Down Stoploss 1 Hit",U115="Gap Up Stoploss 1 Hit"),IF(Q115="","",IF(D115="Buy",(Q115-E115)*$C$5*$C$6,(E115-Q115)*$C$5*$C$6)),0))))))</x:f>
      </x:c>
      <x:c r="W115" s="326"/>
      <x:c r="X115" s="341" t="str">
        <x:f>IF(D115="","",IF(U115="Target Hit",IF(W115="Stoploss 2 Hit",IF(N115="","",IF(D115="Buy",(N115-E115)*($C$5/2)*$C$6,(E115-N115)*($C$5/2)*$C$6)),IF(U115="Target Hit",IF(W115="Rollover",IF(Z115="","",IF(D115="Buy",(Z115-E115)*($C$5/2)*$C$6,(E115-Z115)*($C$5/2)*$C$6)),IF(W115="Gap Down Stoploss 2 Hit",IF(T115="","",IF(D115="Buy",(T115-E115)*($C$5/2)*$C$6,(E115-T115)*($C$5/2)*$C$6)),IF(W115="Gap Up Stoploss 2 Hit",IF(T115="","",IF(D115="Buy",(T115-E115)*($C$5/2)*$C$6,(E115-T115)*($C$5/2)*$C$6)),0))),0))))</x:f>
      </x:c>
      <x:c r="Y115" s="343" t="str">
        <x:f t="shared" si="17"/>
      </x:c>
      <x:c r="Z115" s="327"/>
    </x:row>
    <x:row r="116">
      <x:c r="A116" s="35">
        <x:v>104</x:v>
      </x:c>
      <x:c r="B116" s="318"/>
      <x:c r="C116" s="319"/>
      <x:c r="D116" s="320"/>
      <x:c r="E116" s="321"/>
      <x:c r="F116" s="322"/>
      <x:c r="G116" s="321"/>
      <x:c r="H116" s="323"/>
      <x:c r="I116" s="337" t="str">
        <x:f t="shared" si="14"/>
      </x:c>
      <x:c r="J116" s="324"/>
      <x:c r="K116" s="336" t="str">
        <x:f t="shared" si="23"/>
      </x:c>
      <x:c r="L116" s="335" t="str">
        <x:f t="shared" si="24"/>
      </x:c>
      <x:c r="M116" s="324"/>
      <x:c r="N116" s="336" t="str">
        <x:f t="shared" si="25"/>
      </x:c>
      <x:c r="O116" s="337" t="str">
        <x:f t="shared" si="15"/>
      </x:c>
      <x:c r="P116" s="324"/>
      <x:c r="Q116" s="336" t="str">
        <x:f t="shared" si="26"/>
      </x:c>
      <x:c r="R116" s="339" t="str">
        <x:f t="shared" si="16"/>
      </x:c>
      <x:c r="S116" s="324"/>
      <x:c r="T116" s="336" t="str">
        <x:f t="shared" si="27"/>
      </x:c>
      <x:c r="U116" s="325"/>
      <x:c r="V116" s="340" t="str">
        <x:f>IF(OR(D116="",U116="",$C$5="",$C$6=""),"",IF(U116="Target Hit",IF(D116="Buy",(F116-E116)*($C$5/2)*$C$6,(E116-F116)*($C$5/2)*$C$6),IF(U116="Target Hit",IF(D116="Buy",(F116-E116)*($C$5/2)*$C$6,(E116-F116)*($C$5/2)*$C$6),IF(U116="Rollover",IF(D116="Buy",(Z116-E116)*($C$5/2)*$C$6,(E116-Z116)*($C$5/2)*$C$6),IF(U116="Stoploss 1 Hit",IF(K116="","",IF(D116="Buy",(K116-E116)*$C$5*$C$6,(E116-K116)*$C$5*$C$6)),IF(OR(U116="Gap Down Stoploss 1 Hit",U116="Gap Up Stoploss 1 Hit"),IF(Q116="","",IF(D116="Buy",(Q116-E116)*$C$5*$C$6,(E116-Q116)*$C$5*$C$6)),0))))))</x:f>
      </x:c>
      <x:c r="W116" s="326"/>
      <x:c r="X116" s="341" t="str">
        <x:f>IF(D116="","",IF(U116="Target Hit",IF(W116="Stoploss 2 Hit",IF(N116="","",IF(D116="Buy",(N116-E116)*($C$5/2)*$C$6,(E116-N116)*($C$5/2)*$C$6)),IF(U116="Target Hit",IF(W116="Rollover",IF(Z116="","",IF(D116="Buy",(Z116-E116)*($C$5/2)*$C$6,(E116-Z116)*($C$5/2)*$C$6)),IF(W116="Gap Down Stoploss 2 Hit",IF(T116="","",IF(D116="Buy",(T116-E116)*($C$5/2)*$C$6,(E116-T116)*($C$5/2)*$C$6)),IF(W116="Gap Up Stoploss 2 Hit",IF(T116="","",IF(D116="Buy",(T116-E116)*($C$5/2)*$C$6,(E116-T116)*($C$5/2)*$C$6)),0))),0))))</x:f>
      </x:c>
      <x:c r="Y116" s="343" t="str">
        <x:f t="shared" si="17"/>
      </x:c>
      <x:c r="Z116" s="327"/>
    </x:row>
    <x:row r="117">
      <x:c r="A117" s="35">
        <x:v>105</x:v>
      </x:c>
      <x:c r="B117" s="318"/>
      <x:c r="C117" s="319"/>
      <x:c r="D117" s="320"/>
      <x:c r="E117" s="321"/>
      <x:c r="F117" s="322"/>
      <x:c r="G117" s="321"/>
      <x:c r="H117" s="323"/>
      <x:c r="I117" s="337" t="str">
        <x:f t="shared" si="14"/>
      </x:c>
      <x:c r="J117" s="324"/>
      <x:c r="K117" s="336" t="str">
        <x:f t="shared" si="23"/>
      </x:c>
      <x:c r="L117" s="335" t="str">
        <x:f t="shared" si="24"/>
      </x:c>
      <x:c r="M117" s="324"/>
      <x:c r="N117" s="336" t="str">
        <x:f t="shared" si="25"/>
      </x:c>
      <x:c r="O117" s="337" t="str">
        <x:f t="shared" si="15"/>
      </x:c>
      <x:c r="P117" s="324"/>
      <x:c r="Q117" s="336" t="str">
        <x:f t="shared" si="26"/>
      </x:c>
      <x:c r="R117" s="339" t="str">
        <x:f t="shared" si="16"/>
      </x:c>
      <x:c r="S117" s="324"/>
      <x:c r="T117" s="336" t="str">
        <x:f t="shared" si="27"/>
      </x:c>
      <x:c r="U117" s="325"/>
      <x:c r="V117" s="340" t="str">
        <x:f>IF(OR(D117="",U117="",$C$5="",$C$6=""),"",IF(U117="Target Hit",IF(D117="Buy",(F117-E117)*($C$5/2)*$C$6,(E117-F117)*($C$5/2)*$C$6),IF(U117="Target Hit",IF(D117="Buy",(F117-E117)*($C$5/2)*$C$6,(E117-F117)*($C$5/2)*$C$6),IF(U117="Rollover",IF(D117="Buy",(Z117-E117)*($C$5/2)*$C$6,(E117-Z117)*($C$5/2)*$C$6),IF(U117="Stoploss 1 Hit",IF(K117="","",IF(D117="Buy",(K117-E117)*$C$5*$C$6,(E117-K117)*$C$5*$C$6)),IF(OR(U117="Gap Down Stoploss 1 Hit",U117="Gap Up Stoploss 1 Hit"),IF(Q117="","",IF(D117="Buy",(Q117-E117)*$C$5*$C$6,(E117-Q117)*$C$5*$C$6)),0))))))</x:f>
      </x:c>
      <x:c r="W117" s="326"/>
      <x:c r="X117" s="341" t="str">
        <x:f>IF(D117="","",IF(U117="Target Hit",IF(W117="Stoploss 2 Hit",IF(N117="","",IF(D117="Buy",(N117-E117)*($C$5/2)*$C$6,(E117-N117)*($C$5/2)*$C$6)),IF(U117="Target Hit",IF(W117="Rollover",IF(Z117="","",IF(D117="Buy",(Z117-E117)*($C$5/2)*$C$6,(E117-Z117)*($C$5/2)*$C$6)),IF(W117="Gap Down Stoploss 2 Hit",IF(T117="","",IF(D117="Buy",(T117-E117)*($C$5/2)*$C$6,(E117-T117)*($C$5/2)*$C$6)),IF(W117="Gap Up Stoploss 2 Hit",IF(T117="","",IF(D117="Buy",(T117-E117)*($C$5/2)*$C$6,(E117-T117)*($C$5/2)*$C$6)),0))),0))))</x:f>
      </x:c>
      <x:c r="Y117" s="343" t="str">
        <x:f t="shared" si="17"/>
      </x:c>
      <x:c r="Z117" s="327"/>
    </x:row>
    <x:row r="118">
      <x:c r="A118" s="35">
        <x:v>106</x:v>
      </x:c>
      <x:c r="B118" s="318"/>
      <x:c r="C118" s="319"/>
      <x:c r="D118" s="320"/>
      <x:c r="E118" s="321"/>
      <x:c r="F118" s="322"/>
      <x:c r="G118" s="321"/>
      <x:c r="H118" s="323"/>
      <x:c r="I118" s="337" t="str">
        <x:f t="shared" si="14"/>
      </x:c>
      <x:c r="J118" s="324"/>
      <x:c r="K118" s="336" t="str">
        <x:f t="shared" si="23"/>
      </x:c>
      <x:c r="L118" s="335" t="str">
        <x:f t="shared" si="24"/>
      </x:c>
      <x:c r="M118" s="324"/>
      <x:c r="N118" s="336" t="str">
        <x:f t="shared" si="25"/>
      </x:c>
      <x:c r="O118" s="337" t="str">
        <x:f t="shared" si="15"/>
      </x:c>
      <x:c r="P118" s="324"/>
      <x:c r="Q118" s="336" t="str">
        <x:f t="shared" si="26"/>
      </x:c>
      <x:c r="R118" s="339" t="str">
        <x:f t="shared" si="16"/>
      </x:c>
      <x:c r="S118" s="324"/>
      <x:c r="T118" s="336" t="str">
        <x:f t="shared" si="27"/>
      </x:c>
      <x:c r="U118" s="325"/>
      <x:c r="V118" s="340" t="str">
        <x:f>IF(OR(D118="",U118="",$C$5="",$C$6=""),"",IF(U118="Target Hit",IF(D118="Buy",(F118-E118)*($C$5/2)*$C$6,(E118-F118)*($C$5/2)*$C$6),IF(U118="Target Hit",IF(D118="Buy",(F118-E118)*($C$5/2)*$C$6,(E118-F118)*($C$5/2)*$C$6),IF(U118="Rollover",IF(D118="Buy",(Z118-E118)*($C$5/2)*$C$6,(E118-Z118)*($C$5/2)*$C$6),IF(U118="Stoploss 1 Hit",IF(K118="","",IF(D118="Buy",(K118-E118)*$C$5*$C$6,(E118-K118)*$C$5*$C$6)),IF(OR(U118="Gap Down Stoploss 1 Hit",U118="Gap Up Stoploss 1 Hit"),IF(Q118="","",IF(D118="Buy",(Q118-E118)*$C$5*$C$6,(E118-Q118)*$C$5*$C$6)),0))))))</x:f>
      </x:c>
      <x:c r="W118" s="326"/>
      <x:c r="X118" s="341" t="str">
        <x:f>IF(D118="","",IF(U118="Target Hit",IF(W118="Stoploss 2 Hit",IF(N118="","",IF(D118="Buy",(N118-E118)*($C$5/2)*$C$6,(E118-N118)*($C$5/2)*$C$6)),IF(U118="Target Hit",IF(W118="Rollover",IF(Z118="","",IF(D118="Buy",(Z118-E118)*($C$5/2)*$C$6,(E118-Z118)*($C$5/2)*$C$6)),IF(W118="Gap Down Stoploss 2 Hit",IF(T118="","",IF(D118="Buy",(T118-E118)*($C$5/2)*$C$6,(E118-T118)*($C$5/2)*$C$6)),IF(W118="Gap Up Stoploss 2 Hit",IF(T118="","",IF(D118="Buy",(T118-E118)*($C$5/2)*$C$6,(E118-T118)*($C$5/2)*$C$6)),0))),0))))</x:f>
      </x:c>
      <x:c r="Y118" s="343" t="str">
        <x:f t="shared" si="17"/>
      </x:c>
      <x:c r="Z118" s="327"/>
    </x:row>
    <x:row r="119">
      <x:c r="A119" s="35">
        <x:v>107</x:v>
      </x:c>
      <x:c r="B119" s="318"/>
      <x:c r="C119" s="319"/>
      <x:c r="D119" s="320"/>
      <x:c r="E119" s="321"/>
      <x:c r="F119" s="322"/>
      <x:c r="G119" s="321"/>
      <x:c r="H119" s="323"/>
      <x:c r="I119" s="337" t="str">
        <x:f t="shared" si="14"/>
      </x:c>
      <x:c r="J119" s="324"/>
      <x:c r="K119" s="336" t="str">
        <x:f t="shared" si="23"/>
      </x:c>
      <x:c r="L119" s="335" t="str">
        <x:f t="shared" si="24"/>
      </x:c>
      <x:c r="M119" s="324"/>
      <x:c r="N119" s="336" t="str">
        <x:f t="shared" si="25"/>
      </x:c>
      <x:c r="O119" s="337" t="str">
        <x:f t="shared" si="15"/>
      </x:c>
      <x:c r="P119" s="324"/>
      <x:c r="Q119" s="336" t="str">
        <x:f t="shared" si="26"/>
      </x:c>
      <x:c r="R119" s="339" t="str">
        <x:f t="shared" si="16"/>
      </x:c>
      <x:c r="S119" s="324"/>
      <x:c r="T119" s="336" t="str">
        <x:f t="shared" si="27"/>
      </x:c>
      <x:c r="U119" s="325"/>
      <x:c r="V119" s="340" t="str">
        <x:f>IF(OR(D119="",U119="",$C$5="",$C$6=""),"",IF(U119="Target Hit",IF(D119="Buy",(F119-E119)*($C$5/2)*$C$6,(E119-F119)*($C$5/2)*$C$6),IF(U119="Target Hit",IF(D119="Buy",(F119-E119)*($C$5/2)*$C$6,(E119-F119)*($C$5/2)*$C$6),IF(U119="Rollover",IF(D119="Buy",(Z119-E119)*($C$5/2)*$C$6,(E119-Z119)*($C$5/2)*$C$6),IF(U119="Stoploss 1 Hit",IF(K119="","",IF(D119="Buy",(K119-E119)*$C$5*$C$6,(E119-K119)*$C$5*$C$6)),IF(OR(U119="Gap Down Stoploss 1 Hit",U119="Gap Up Stoploss 1 Hit"),IF(Q119="","",IF(D119="Buy",(Q119-E119)*$C$5*$C$6,(E119-Q119)*$C$5*$C$6)),0))))))</x:f>
      </x:c>
      <x:c r="W119" s="326"/>
      <x:c r="X119" s="341" t="str">
        <x:f>IF(D119="","",IF(U119="Target Hit",IF(W119="Stoploss 2 Hit",IF(N119="","",IF(D119="Buy",(N119-E119)*($C$5/2)*$C$6,(E119-N119)*($C$5/2)*$C$6)),IF(U119="Target Hit",IF(W119="Rollover",IF(Z119="","",IF(D119="Buy",(Z119-E119)*($C$5/2)*$C$6,(E119-Z119)*($C$5/2)*$C$6)),IF(W119="Gap Down Stoploss 2 Hit",IF(T119="","",IF(D119="Buy",(T119-E119)*($C$5/2)*$C$6,(E119-T119)*($C$5/2)*$C$6)),IF(W119="Gap Up Stoploss 2 Hit",IF(T119="","",IF(D119="Buy",(T119-E119)*($C$5/2)*$C$6,(E119-T119)*($C$5/2)*$C$6)),0))),0))))</x:f>
      </x:c>
      <x:c r="Y119" s="343" t="str">
        <x:f t="shared" si="17"/>
      </x:c>
      <x:c r="Z119" s="327"/>
    </x:row>
    <x:row r="120">
      <x:c r="A120" s="35">
        <x:v>108</x:v>
      </x:c>
      <x:c r="B120" s="318"/>
      <x:c r="C120" s="319"/>
      <x:c r="D120" s="320"/>
      <x:c r="E120" s="321"/>
      <x:c r="F120" s="322"/>
      <x:c r="G120" s="321"/>
      <x:c r="H120" s="323"/>
      <x:c r="I120" s="337" t="str">
        <x:f t="shared" si="14"/>
      </x:c>
      <x:c r="J120" s="324"/>
      <x:c r="K120" s="336" t="str">
        <x:f t="shared" si="23"/>
      </x:c>
      <x:c r="L120" s="335" t="str">
        <x:f t="shared" si="24"/>
      </x:c>
      <x:c r="M120" s="324"/>
      <x:c r="N120" s="336" t="str">
        <x:f t="shared" si="25"/>
      </x:c>
      <x:c r="O120" s="337" t="str">
        <x:f t="shared" si="15"/>
      </x:c>
      <x:c r="P120" s="324"/>
      <x:c r="Q120" s="336" t="str">
        <x:f t="shared" si="26"/>
      </x:c>
      <x:c r="R120" s="339" t="str">
        <x:f t="shared" si="16"/>
      </x:c>
      <x:c r="S120" s="324"/>
      <x:c r="T120" s="336" t="str">
        <x:f t="shared" si="27"/>
      </x:c>
      <x:c r="U120" s="325"/>
      <x:c r="V120" s="340" t="str">
        <x:f>IF(OR(D120="",U120="",$C$5="",$C$6=""),"",IF(U120="Target Hit",IF(D120="Buy",(F120-E120)*($C$5/2)*$C$6,(E120-F120)*($C$5/2)*$C$6),IF(U120="Target Hit",IF(D120="Buy",(F120-E120)*($C$5/2)*$C$6,(E120-F120)*($C$5/2)*$C$6),IF(U120="Rollover",IF(D120="Buy",(Z120-E120)*($C$5/2)*$C$6,(E120-Z120)*($C$5/2)*$C$6),IF(U120="Stoploss 1 Hit",IF(K120="","",IF(D120="Buy",(K120-E120)*$C$5*$C$6,(E120-K120)*$C$5*$C$6)),IF(OR(U120="Gap Down Stoploss 1 Hit",U120="Gap Up Stoploss 1 Hit"),IF(Q120="","",IF(D120="Buy",(Q120-E120)*$C$5*$C$6,(E120-Q120)*$C$5*$C$6)),0))))))</x:f>
      </x:c>
      <x:c r="W120" s="326"/>
      <x:c r="X120" s="341" t="str">
        <x:f>IF(D120="","",IF(U120="Target Hit",IF(W120="Stoploss 2 Hit",IF(N120="","",IF(D120="Buy",(N120-E120)*($C$5/2)*$C$6,(E120-N120)*($C$5/2)*$C$6)),IF(U120="Target Hit",IF(W120="Rollover",IF(Z120="","",IF(D120="Buy",(Z120-E120)*($C$5/2)*$C$6,(E120-Z120)*($C$5/2)*$C$6)),IF(W120="Gap Down Stoploss 2 Hit",IF(T120="","",IF(D120="Buy",(T120-E120)*($C$5/2)*$C$6,(E120-T120)*($C$5/2)*$C$6)),IF(W120="Gap Up Stoploss 2 Hit",IF(T120="","",IF(D120="Buy",(T120-E120)*($C$5/2)*$C$6,(E120-T120)*($C$5/2)*$C$6)),0))),0))))</x:f>
      </x:c>
      <x:c r="Y120" s="343" t="str">
        <x:f t="shared" si="17"/>
      </x:c>
      <x:c r="Z120" s="327"/>
    </x:row>
    <x:row r="121">
      <x:c r="A121" s="35">
        <x:v>109</x:v>
      </x:c>
      <x:c r="B121" s="318"/>
      <x:c r="C121" s="319"/>
      <x:c r="D121" s="320"/>
      <x:c r="E121" s="321"/>
      <x:c r="F121" s="322"/>
      <x:c r="G121" s="321"/>
      <x:c r="H121" s="323"/>
      <x:c r="I121" s="337" t="str">
        <x:f t="shared" si="14"/>
      </x:c>
      <x:c r="J121" s="324"/>
      <x:c r="K121" s="336" t="str">
        <x:f t="shared" si="23"/>
      </x:c>
      <x:c r="L121" s="335" t="str">
        <x:f t="shared" si="24"/>
      </x:c>
      <x:c r="M121" s="324"/>
      <x:c r="N121" s="336" t="str">
        <x:f t="shared" si="25"/>
      </x:c>
      <x:c r="O121" s="337" t="str">
        <x:f t="shared" si="15"/>
      </x:c>
      <x:c r="P121" s="324"/>
      <x:c r="Q121" s="336" t="str">
        <x:f t="shared" si="26"/>
      </x:c>
      <x:c r="R121" s="339" t="str">
        <x:f t="shared" si="16"/>
      </x:c>
      <x:c r="S121" s="324"/>
      <x:c r="T121" s="336" t="str">
        <x:f t="shared" si="27"/>
      </x:c>
      <x:c r="U121" s="325"/>
      <x:c r="V121" s="340" t="str">
        <x:f>IF(OR(D121="",U121="",$C$5="",$C$6=""),"",IF(U121="Target Hit",IF(D121="Buy",(F121-E121)*($C$5/2)*$C$6,(E121-F121)*($C$5/2)*$C$6),IF(U121="Target Hit",IF(D121="Buy",(F121-E121)*($C$5/2)*$C$6,(E121-F121)*($C$5/2)*$C$6),IF(U121="Rollover",IF(D121="Buy",(Z121-E121)*($C$5/2)*$C$6,(E121-Z121)*($C$5/2)*$C$6),IF(U121="Stoploss 1 Hit",IF(K121="","",IF(D121="Buy",(K121-E121)*$C$5*$C$6,(E121-K121)*$C$5*$C$6)),IF(OR(U121="Gap Down Stoploss 1 Hit",U121="Gap Up Stoploss 1 Hit"),IF(Q121="","",IF(D121="Buy",(Q121-E121)*$C$5*$C$6,(E121-Q121)*$C$5*$C$6)),0))))))</x:f>
      </x:c>
      <x:c r="W121" s="326"/>
      <x:c r="X121" s="341" t="str">
        <x:f>IF(D121="","",IF(U121="Target Hit",IF(W121="Stoploss 2 Hit",IF(N121="","",IF(D121="Buy",(N121-E121)*($C$5/2)*$C$6,(E121-N121)*($C$5/2)*$C$6)),IF(U121="Target Hit",IF(W121="Rollover",IF(Z121="","",IF(D121="Buy",(Z121-E121)*($C$5/2)*$C$6,(E121-Z121)*($C$5/2)*$C$6)),IF(W121="Gap Down Stoploss 2 Hit",IF(T121="","",IF(D121="Buy",(T121-E121)*($C$5/2)*$C$6,(E121-T121)*($C$5/2)*$C$6)),IF(W121="Gap Up Stoploss 2 Hit",IF(T121="","",IF(D121="Buy",(T121-E121)*($C$5/2)*$C$6,(E121-T121)*($C$5/2)*$C$6)),0))),0))))</x:f>
      </x:c>
      <x:c r="Y121" s="343" t="str">
        <x:f t="shared" si="17"/>
      </x:c>
      <x:c r="Z121" s="327"/>
    </x:row>
    <x:row r="122">
      <x:c r="A122" s="35">
        <x:v>110</x:v>
      </x:c>
      <x:c r="B122" s="318"/>
      <x:c r="C122" s="319"/>
      <x:c r="D122" s="320"/>
      <x:c r="E122" s="321"/>
      <x:c r="F122" s="322"/>
      <x:c r="G122" s="321"/>
      <x:c r="H122" s="323"/>
      <x:c r="I122" s="337" t="str">
        <x:f t="shared" si="14"/>
      </x:c>
      <x:c r="J122" s="324"/>
      <x:c r="K122" s="336" t="str">
        <x:f t="shared" si="23"/>
      </x:c>
      <x:c r="L122" s="335" t="str">
        <x:f t="shared" si="24"/>
      </x:c>
      <x:c r="M122" s="324"/>
      <x:c r="N122" s="336" t="str">
        <x:f t="shared" si="25"/>
      </x:c>
      <x:c r="O122" s="337" t="str">
        <x:f t="shared" si="15"/>
      </x:c>
      <x:c r="P122" s="324"/>
      <x:c r="Q122" s="336" t="str">
        <x:f t="shared" si="26"/>
      </x:c>
      <x:c r="R122" s="339" t="str">
        <x:f t="shared" si="16"/>
      </x:c>
      <x:c r="S122" s="324"/>
      <x:c r="T122" s="336" t="str">
        <x:f t="shared" si="27"/>
      </x:c>
      <x:c r="U122" s="325"/>
      <x:c r="V122" s="340" t="str">
        <x:f>IF(OR(D122="",U122="",$C$5="",$C$6=""),"",IF(U122="Target Hit",IF(D122="Buy",(F122-E122)*($C$5/2)*$C$6,(E122-F122)*($C$5/2)*$C$6),IF(U122="Target Hit",IF(D122="Buy",(F122-E122)*($C$5/2)*$C$6,(E122-F122)*($C$5/2)*$C$6),IF(U122="Rollover",IF(D122="Buy",(Z122-E122)*($C$5/2)*$C$6,(E122-Z122)*($C$5/2)*$C$6),IF(U122="Stoploss 1 Hit",IF(K122="","",IF(D122="Buy",(K122-E122)*$C$5*$C$6,(E122-K122)*$C$5*$C$6)),IF(OR(U122="Gap Down Stoploss 1 Hit",U122="Gap Up Stoploss 1 Hit"),IF(Q122="","",IF(D122="Buy",(Q122-E122)*$C$5*$C$6,(E122-Q122)*$C$5*$C$6)),0))))))</x:f>
      </x:c>
      <x:c r="W122" s="326"/>
      <x:c r="X122" s="341" t="str">
        <x:f>IF(D122="","",IF(U122="Target Hit",IF(W122="Stoploss 2 Hit",IF(N122="","",IF(D122="Buy",(N122-E122)*($C$5/2)*$C$6,(E122-N122)*($C$5/2)*$C$6)),IF(U122="Target Hit",IF(W122="Rollover",IF(Z122="","",IF(D122="Buy",(Z122-E122)*($C$5/2)*$C$6,(E122-Z122)*($C$5/2)*$C$6)),IF(W122="Gap Down Stoploss 2 Hit",IF(T122="","",IF(D122="Buy",(T122-E122)*($C$5/2)*$C$6,(E122-T122)*($C$5/2)*$C$6)),IF(W122="Gap Up Stoploss 2 Hit",IF(T122="","",IF(D122="Buy",(T122-E122)*($C$5/2)*$C$6,(E122-T122)*($C$5/2)*$C$6)),0))),0))))</x:f>
      </x:c>
      <x:c r="Y122" s="343" t="str">
        <x:f t="shared" si="17"/>
      </x:c>
      <x:c r="Z122" s="327"/>
    </x:row>
    <x:row r="123">
      <x:c r="A123" s="35">
        <x:v>111</x:v>
      </x:c>
      <x:c r="B123" s="318"/>
      <x:c r="C123" s="319"/>
      <x:c r="D123" s="320"/>
      <x:c r="E123" s="321"/>
      <x:c r="F123" s="322"/>
      <x:c r="G123" s="321"/>
      <x:c r="H123" s="323"/>
      <x:c r="I123" s="337" t="str">
        <x:f t="shared" si="14"/>
      </x:c>
      <x:c r="J123" s="324"/>
      <x:c r="K123" s="336" t="str">
        <x:f t="shared" si="23"/>
      </x:c>
      <x:c r="L123" s="335" t="str">
        <x:f t="shared" si="24"/>
      </x:c>
      <x:c r="M123" s="324"/>
      <x:c r="N123" s="336" t="str">
        <x:f t="shared" si="25"/>
      </x:c>
      <x:c r="O123" s="337" t="str">
        <x:f t="shared" si="15"/>
      </x:c>
      <x:c r="P123" s="324"/>
      <x:c r="Q123" s="336" t="str">
        <x:f t="shared" si="26"/>
      </x:c>
      <x:c r="R123" s="339" t="str">
        <x:f t="shared" si="16"/>
      </x:c>
      <x:c r="S123" s="324"/>
      <x:c r="T123" s="336" t="str">
        <x:f t="shared" si="27"/>
      </x:c>
      <x:c r="U123" s="325"/>
      <x:c r="V123" s="340" t="str">
        <x:f>IF(OR(D123="",U123="",$C$5="",$C$6=""),"",IF(U123="Target Hit",IF(D123="Buy",(F123-E123)*($C$5/2)*$C$6,(E123-F123)*($C$5/2)*$C$6),IF(U123="Target Hit",IF(D123="Buy",(F123-E123)*($C$5/2)*$C$6,(E123-F123)*($C$5/2)*$C$6),IF(U123="Rollover",IF(D123="Buy",(Z123-E123)*($C$5/2)*$C$6,(E123-Z123)*($C$5/2)*$C$6),IF(U123="Stoploss 1 Hit",IF(K123="","",IF(D123="Buy",(K123-E123)*$C$5*$C$6,(E123-K123)*$C$5*$C$6)),IF(OR(U123="Gap Down Stoploss 1 Hit",U123="Gap Up Stoploss 1 Hit"),IF(Q123="","",IF(D123="Buy",(Q123-E123)*$C$5*$C$6,(E123-Q123)*$C$5*$C$6)),0))))))</x:f>
      </x:c>
      <x:c r="W123" s="326"/>
      <x:c r="X123" s="341" t="str">
        <x:f>IF(D123="","",IF(U123="Target Hit",IF(W123="Stoploss 2 Hit",IF(N123="","",IF(D123="Buy",(N123-E123)*($C$5/2)*$C$6,(E123-N123)*($C$5/2)*$C$6)),IF(U123="Target Hit",IF(W123="Rollover",IF(Z123="","",IF(D123="Buy",(Z123-E123)*($C$5/2)*$C$6,(E123-Z123)*($C$5/2)*$C$6)),IF(W123="Gap Down Stoploss 2 Hit",IF(T123="","",IF(D123="Buy",(T123-E123)*($C$5/2)*$C$6,(E123-T123)*($C$5/2)*$C$6)),IF(W123="Gap Up Stoploss 2 Hit",IF(T123="","",IF(D123="Buy",(T123-E123)*($C$5/2)*$C$6,(E123-T123)*($C$5/2)*$C$6)),0))),0))))</x:f>
      </x:c>
      <x:c r="Y123" s="343" t="str">
        <x:f t="shared" si="17"/>
      </x:c>
      <x:c r="Z123" s="327"/>
    </x:row>
    <x:row r="124">
      <x:c r="A124" s="35">
        <x:v>112</x:v>
      </x:c>
      <x:c r="B124" s="318"/>
      <x:c r="C124" s="319"/>
      <x:c r="D124" s="320"/>
      <x:c r="E124" s="321"/>
      <x:c r="F124" s="322"/>
      <x:c r="G124" s="321"/>
      <x:c r="H124" s="323"/>
      <x:c r="I124" s="337" t="str">
        <x:f t="shared" si="14"/>
      </x:c>
      <x:c r="J124" s="324"/>
      <x:c r="K124" s="336" t="str">
        <x:f t="shared" si="23"/>
      </x:c>
      <x:c r="L124" s="335" t="str">
        <x:f t="shared" si="24"/>
      </x:c>
      <x:c r="M124" s="324"/>
      <x:c r="N124" s="336" t="str">
        <x:f t="shared" si="25"/>
      </x:c>
      <x:c r="O124" s="337" t="str">
        <x:f t="shared" si="15"/>
      </x:c>
      <x:c r="P124" s="324"/>
      <x:c r="Q124" s="336" t="str">
        <x:f t="shared" si="26"/>
      </x:c>
      <x:c r="R124" s="339" t="str">
        <x:f t="shared" si="16"/>
      </x:c>
      <x:c r="S124" s="324"/>
      <x:c r="T124" s="336" t="str">
        <x:f t="shared" si="27"/>
      </x:c>
      <x:c r="U124" s="325"/>
      <x:c r="V124" s="340" t="str">
        <x:f>IF(OR(D124="",U124="",$C$5="",$C$6=""),"",IF(U124="Target Hit",IF(D124="Buy",(F124-E124)*($C$5/2)*$C$6,(E124-F124)*($C$5/2)*$C$6),IF(U124="Target Hit",IF(D124="Buy",(F124-E124)*($C$5/2)*$C$6,(E124-F124)*($C$5/2)*$C$6),IF(U124="Rollover",IF(D124="Buy",(Z124-E124)*($C$5/2)*$C$6,(E124-Z124)*($C$5/2)*$C$6),IF(U124="Stoploss 1 Hit",IF(K124="","",IF(D124="Buy",(K124-E124)*$C$5*$C$6,(E124-K124)*$C$5*$C$6)),IF(OR(U124="Gap Down Stoploss 1 Hit",U124="Gap Up Stoploss 1 Hit"),IF(Q124="","",IF(D124="Buy",(Q124-E124)*$C$5*$C$6,(E124-Q124)*$C$5*$C$6)),0))))))</x:f>
      </x:c>
      <x:c r="W124" s="326"/>
      <x:c r="X124" s="341" t="str">
        <x:f>IF(D124="","",IF(U124="Target Hit",IF(W124="Stoploss 2 Hit",IF(N124="","",IF(D124="Buy",(N124-E124)*($C$5/2)*$C$6,(E124-N124)*($C$5/2)*$C$6)),IF(U124="Target Hit",IF(W124="Rollover",IF(Z124="","",IF(D124="Buy",(Z124-E124)*($C$5/2)*$C$6,(E124-Z124)*($C$5/2)*$C$6)),IF(W124="Gap Down Stoploss 2 Hit",IF(T124="","",IF(D124="Buy",(T124-E124)*($C$5/2)*$C$6,(E124-T124)*($C$5/2)*$C$6)),IF(W124="Gap Up Stoploss 2 Hit",IF(T124="","",IF(D124="Buy",(T124-E124)*($C$5/2)*$C$6,(E124-T124)*($C$5/2)*$C$6)),0))),0))))</x:f>
      </x:c>
      <x:c r="Y124" s="343" t="str">
        <x:f t="shared" si="17"/>
      </x:c>
      <x:c r="Z124" s="327"/>
    </x:row>
    <x:row r="125">
      <x:c r="A125" s="35">
        <x:v>113</x:v>
      </x:c>
      <x:c r="B125" s="318"/>
      <x:c r="C125" s="319"/>
      <x:c r="D125" s="320"/>
      <x:c r="E125" s="321"/>
      <x:c r="F125" s="322"/>
      <x:c r="G125" s="321"/>
      <x:c r="H125" s="323"/>
      <x:c r="I125" s="337" t="str">
        <x:f t="shared" si="14"/>
      </x:c>
      <x:c r="J125" s="324"/>
      <x:c r="K125" s="336" t="str">
        <x:f t="shared" si="23"/>
      </x:c>
      <x:c r="L125" s="335" t="str">
        <x:f t="shared" si="24"/>
      </x:c>
      <x:c r="M125" s="324"/>
      <x:c r="N125" s="336" t="str">
        <x:f t="shared" si="25"/>
      </x:c>
      <x:c r="O125" s="337" t="str">
        <x:f t="shared" si="15"/>
      </x:c>
      <x:c r="P125" s="324"/>
      <x:c r="Q125" s="336" t="str">
        <x:f t="shared" si="26"/>
      </x:c>
      <x:c r="R125" s="339" t="str">
        <x:f t="shared" si="16"/>
      </x:c>
      <x:c r="S125" s="324"/>
      <x:c r="T125" s="336" t="str">
        <x:f t="shared" si="27"/>
      </x:c>
      <x:c r="U125" s="325"/>
      <x:c r="V125" s="340" t="str">
        <x:f>IF(OR(D125="",U125="",$C$5="",$C$6=""),"",IF(U125="Target Hit",IF(D125="Buy",(F125-E125)*($C$5/2)*$C$6,(E125-F125)*($C$5/2)*$C$6),IF(U125="Target Hit",IF(D125="Buy",(F125-E125)*($C$5/2)*$C$6,(E125-F125)*($C$5/2)*$C$6),IF(U125="Rollover",IF(D125="Buy",(Z125-E125)*($C$5/2)*$C$6,(E125-Z125)*($C$5/2)*$C$6),IF(U125="Stoploss 1 Hit",IF(K125="","",IF(D125="Buy",(K125-E125)*$C$5*$C$6,(E125-K125)*$C$5*$C$6)),IF(OR(U125="Gap Down Stoploss 1 Hit",U125="Gap Up Stoploss 1 Hit"),IF(Q125="","",IF(D125="Buy",(Q125-E125)*$C$5*$C$6,(E125-Q125)*$C$5*$C$6)),0))))))</x:f>
      </x:c>
      <x:c r="W125" s="326"/>
      <x:c r="X125" s="341" t="str">
        <x:f>IF(D125="","",IF(U125="Target Hit",IF(W125="Stoploss 2 Hit",IF(N125="","",IF(D125="Buy",(N125-E125)*($C$5/2)*$C$6,(E125-N125)*($C$5/2)*$C$6)),IF(U125="Target Hit",IF(W125="Rollover",IF(Z125="","",IF(D125="Buy",(Z125-E125)*($C$5/2)*$C$6,(E125-Z125)*($C$5/2)*$C$6)),IF(W125="Gap Down Stoploss 2 Hit",IF(T125="","",IF(D125="Buy",(T125-E125)*($C$5/2)*$C$6,(E125-T125)*($C$5/2)*$C$6)),IF(W125="Gap Up Stoploss 2 Hit",IF(T125="","",IF(D125="Buy",(T125-E125)*($C$5/2)*$C$6,(E125-T125)*($C$5/2)*$C$6)),0))),0))))</x:f>
      </x:c>
      <x:c r="Y125" s="343" t="str">
        <x:f t="shared" si="17"/>
      </x:c>
      <x:c r="Z125" s="327"/>
    </x:row>
    <x:row r="126">
      <x:c r="A126" s="35">
        <x:v>114</x:v>
      </x:c>
      <x:c r="B126" s="318"/>
      <x:c r="C126" s="319"/>
      <x:c r="D126" s="320"/>
      <x:c r="E126" s="321"/>
      <x:c r="F126" s="322"/>
      <x:c r="G126" s="321"/>
      <x:c r="H126" s="323"/>
      <x:c r="I126" s="337" t="str">
        <x:f t="shared" si="14"/>
      </x:c>
      <x:c r="J126" s="324"/>
      <x:c r="K126" s="336" t="str">
        <x:f t="shared" si="23"/>
      </x:c>
      <x:c r="L126" s="335" t="str">
        <x:f t="shared" si="24"/>
      </x:c>
      <x:c r="M126" s="324"/>
      <x:c r="N126" s="336" t="str">
        <x:f t="shared" si="25"/>
      </x:c>
      <x:c r="O126" s="337" t="str">
        <x:f t="shared" si="15"/>
      </x:c>
      <x:c r="P126" s="324"/>
      <x:c r="Q126" s="336" t="str">
        <x:f t="shared" si="26"/>
      </x:c>
      <x:c r="R126" s="339" t="str">
        <x:f t="shared" si="16"/>
      </x:c>
      <x:c r="S126" s="324"/>
      <x:c r="T126" s="336" t="str">
        <x:f t="shared" si="27"/>
      </x:c>
      <x:c r="U126" s="325"/>
      <x:c r="V126" s="340" t="str">
        <x:f>IF(OR(D126="",U126="",$C$5="",$C$6=""),"",IF(U126="Target Hit",IF(D126="Buy",(F126-E126)*($C$5/2)*$C$6,(E126-F126)*($C$5/2)*$C$6),IF(U126="Target Hit",IF(D126="Buy",(F126-E126)*($C$5/2)*$C$6,(E126-F126)*($C$5/2)*$C$6),IF(U126="Rollover",IF(D126="Buy",(Z126-E126)*($C$5/2)*$C$6,(E126-Z126)*($C$5/2)*$C$6),IF(U126="Stoploss 1 Hit",IF(K126="","",IF(D126="Buy",(K126-E126)*$C$5*$C$6,(E126-K126)*$C$5*$C$6)),IF(OR(U126="Gap Down Stoploss 1 Hit",U126="Gap Up Stoploss 1 Hit"),IF(Q126="","",IF(D126="Buy",(Q126-E126)*$C$5*$C$6,(E126-Q126)*$C$5*$C$6)),0))))))</x:f>
      </x:c>
      <x:c r="W126" s="326"/>
      <x:c r="X126" s="341" t="str">
        <x:f>IF(D126="","",IF(U126="Target Hit",IF(W126="Stoploss 2 Hit",IF(N126="","",IF(D126="Buy",(N126-E126)*($C$5/2)*$C$6,(E126-N126)*($C$5/2)*$C$6)),IF(U126="Target Hit",IF(W126="Rollover",IF(Z126="","",IF(D126="Buy",(Z126-E126)*($C$5/2)*$C$6,(E126-Z126)*($C$5/2)*$C$6)),IF(W126="Gap Down Stoploss 2 Hit",IF(T126="","",IF(D126="Buy",(T126-E126)*($C$5/2)*$C$6,(E126-T126)*($C$5/2)*$C$6)),IF(W126="Gap Up Stoploss 2 Hit",IF(T126="","",IF(D126="Buy",(T126-E126)*($C$5/2)*$C$6,(E126-T126)*($C$5/2)*$C$6)),0))),0))))</x:f>
      </x:c>
      <x:c r="Y126" s="343" t="str">
        <x:f t="shared" si="17"/>
      </x:c>
      <x:c r="Z126" s="327"/>
    </x:row>
    <x:row r="127">
      <x:c r="A127" s="35">
        <x:v>115</x:v>
      </x:c>
      <x:c r="B127" s="318"/>
      <x:c r="C127" s="319"/>
      <x:c r="D127" s="320"/>
      <x:c r="E127" s="321"/>
      <x:c r="F127" s="322"/>
      <x:c r="G127" s="321"/>
      <x:c r="H127" s="323"/>
      <x:c r="I127" s="337" t="str">
        <x:f t="shared" si="14"/>
      </x:c>
      <x:c r="J127" s="324"/>
      <x:c r="K127" s="336" t="str">
        <x:f t="shared" si="23"/>
      </x:c>
      <x:c r="L127" s="335" t="str">
        <x:f t="shared" si="24"/>
      </x:c>
      <x:c r="M127" s="324"/>
      <x:c r="N127" s="336" t="str">
        <x:f t="shared" si="25"/>
      </x:c>
      <x:c r="O127" s="337" t="str">
        <x:f t="shared" si="15"/>
      </x:c>
      <x:c r="P127" s="324"/>
      <x:c r="Q127" s="336" t="str">
        <x:f t="shared" si="26"/>
      </x:c>
      <x:c r="R127" s="339" t="str">
        <x:f t="shared" si="16"/>
      </x:c>
      <x:c r="S127" s="324"/>
      <x:c r="T127" s="336" t="str">
        <x:f t="shared" si="27"/>
      </x:c>
      <x:c r="U127" s="325"/>
      <x:c r="V127" s="340" t="str">
        <x:f>IF(OR(D127="",U127="",$C$5="",$C$6=""),"",IF(U127="Target Hit",IF(D127="Buy",(F127-E127)*($C$5/2)*$C$6,(E127-F127)*($C$5/2)*$C$6),IF(U127="Target Hit",IF(D127="Buy",(F127-E127)*($C$5/2)*$C$6,(E127-F127)*($C$5/2)*$C$6),IF(U127="Rollover",IF(D127="Buy",(Z127-E127)*($C$5/2)*$C$6,(E127-Z127)*($C$5/2)*$C$6),IF(U127="Stoploss 1 Hit",IF(K127="","",IF(D127="Buy",(K127-E127)*$C$5*$C$6,(E127-K127)*$C$5*$C$6)),IF(OR(U127="Gap Down Stoploss 1 Hit",U127="Gap Up Stoploss 1 Hit"),IF(Q127="","",IF(D127="Buy",(Q127-E127)*$C$5*$C$6,(E127-Q127)*$C$5*$C$6)),0))))))</x:f>
      </x:c>
      <x:c r="W127" s="326"/>
      <x:c r="X127" s="341" t="str">
        <x:f>IF(D127="","",IF(U127="Target Hit",IF(W127="Stoploss 2 Hit",IF(N127="","",IF(D127="Buy",(N127-E127)*($C$5/2)*$C$6,(E127-N127)*($C$5/2)*$C$6)),IF(U127="Target Hit",IF(W127="Rollover",IF(Z127="","",IF(D127="Buy",(Z127-E127)*($C$5/2)*$C$6,(E127-Z127)*($C$5/2)*$C$6)),IF(W127="Gap Down Stoploss 2 Hit",IF(T127="","",IF(D127="Buy",(T127-E127)*($C$5/2)*$C$6,(E127-T127)*($C$5/2)*$C$6)),IF(W127="Gap Up Stoploss 2 Hit",IF(T127="","",IF(D127="Buy",(T127-E127)*($C$5/2)*$C$6,(E127-T127)*($C$5/2)*$C$6)),0))),0))))</x:f>
      </x:c>
      <x:c r="Y127" s="343" t="str">
        <x:f t="shared" si="17"/>
      </x:c>
      <x:c r="Z127" s="327"/>
    </x:row>
    <x:row r="128">
      <x:c r="A128" s="35">
        <x:v>116</x:v>
      </x:c>
      <x:c r="B128" s="318"/>
      <x:c r="C128" s="319"/>
      <x:c r="D128" s="320"/>
      <x:c r="E128" s="321"/>
      <x:c r="F128" s="322"/>
      <x:c r="G128" s="321"/>
      <x:c r="H128" s="323"/>
      <x:c r="I128" s="337" t="str">
        <x:f t="shared" si="14"/>
      </x:c>
      <x:c r="J128" s="324"/>
      <x:c r="K128" s="336" t="str">
        <x:f t="shared" si="23"/>
      </x:c>
      <x:c r="L128" s="335" t="str">
        <x:f t="shared" si="24"/>
      </x:c>
      <x:c r="M128" s="324"/>
      <x:c r="N128" s="336" t="str">
        <x:f t="shared" si="25"/>
      </x:c>
      <x:c r="O128" s="337" t="str">
        <x:f t="shared" si="15"/>
      </x:c>
      <x:c r="P128" s="324"/>
      <x:c r="Q128" s="336" t="str">
        <x:f t="shared" si="26"/>
      </x:c>
      <x:c r="R128" s="339" t="str">
        <x:f t="shared" si="16"/>
      </x:c>
      <x:c r="S128" s="324"/>
      <x:c r="T128" s="336" t="str">
        <x:f t="shared" si="27"/>
      </x:c>
      <x:c r="U128" s="325"/>
      <x:c r="V128" s="340" t="str">
        <x:f>IF(OR(D128="",U128="",$C$5="",$C$6=""),"",IF(U128="Target Hit",IF(D128="Buy",(F128-E128)*($C$5/2)*$C$6,(E128-F128)*($C$5/2)*$C$6),IF(U128="Target Hit",IF(D128="Buy",(F128-E128)*($C$5/2)*$C$6,(E128-F128)*($C$5/2)*$C$6),IF(U128="Rollover",IF(D128="Buy",(Z128-E128)*($C$5/2)*$C$6,(E128-Z128)*($C$5/2)*$C$6),IF(U128="Stoploss 1 Hit",IF(K128="","",IF(D128="Buy",(K128-E128)*$C$5*$C$6,(E128-K128)*$C$5*$C$6)),IF(OR(U128="Gap Down Stoploss 1 Hit",U128="Gap Up Stoploss 1 Hit"),IF(Q128="","",IF(D128="Buy",(Q128-E128)*$C$5*$C$6,(E128-Q128)*$C$5*$C$6)),0))))))</x:f>
      </x:c>
      <x:c r="W128" s="326"/>
      <x:c r="X128" s="341" t="str">
        <x:f>IF(D128="","",IF(U128="Target Hit",IF(W128="Stoploss 2 Hit",IF(N128="","",IF(D128="Buy",(N128-E128)*($C$5/2)*$C$6,(E128-N128)*($C$5/2)*$C$6)),IF(U128="Target Hit",IF(W128="Rollover",IF(Z128="","",IF(D128="Buy",(Z128-E128)*($C$5/2)*$C$6,(E128-Z128)*($C$5/2)*$C$6)),IF(W128="Gap Down Stoploss 2 Hit",IF(T128="","",IF(D128="Buy",(T128-E128)*($C$5/2)*$C$6,(E128-T128)*($C$5/2)*$C$6)),IF(W128="Gap Up Stoploss 2 Hit",IF(T128="","",IF(D128="Buy",(T128-E128)*($C$5/2)*$C$6,(E128-T128)*($C$5/2)*$C$6)),0))),0))))</x:f>
      </x:c>
      <x:c r="Y128" s="343" t="str">
        <x:f t="shared" si="17"/>
      </x:c>
      <x:c r="Z128" s="327"/>
    </x:row>
    <x:row r="129">
      <x:c r="A129" s="35">
        <x:v>117</x:v>
      </x:c>
      <x:c r="B129" s="318"/>
      <x:c r="C129" s="319"/>
      <x:c r="D129" s="320"/>
      <x:c r="E129" s="321"/>
      <x:c r="F129" s="322"/>
      <x:c r="G129" s="321"/>
      <x:c r="H129" s="323"/>
      <x:c r="I129" s="337" t="str">
        <x:f t="shared" si="14"/>
      </x:c>
      <x:c r="J129" s="324"/>
      <x:c r="K129" s="336" t="str">
        <x:f t="shared" si="23"/>
      </x:c>
      <x:c r="L129" s="335" t="str">
        <x:f t="shared" si="24"/>
      </x:c>
      <x:c r="M129" s="324"/>
      <x:c r="N129" s="336" t="str">
        <x:f t="shared" si="25"/>
      </x:c>
      <x:c r="O129" s="337" t="str">
        <x:f t="shared" si="15"/>
      </x:c>
      <x:c r="P129" s="324"/>
      <x:c r="Q129" s="336" t="str">
        <x:f t="shared" si="26"/>
      </x:c>
      <x:c r="R129" s="339" t="str">
        <x:f t="shared" si="16"/>
      </x:c>
      <x:c r="S129" s="324"/>
      <x:c r="T129" s="336" t="str">
        <x:f t="shared" si="27"/>
      </x:c>
      <x:c r="U129" s="325"/>
      <x:c r="V129" s="340" t="str">
        <x:f>IF(OR(D129="",U129="",$C$5="",$C$6=""),"",IF(U129="Target Hit",IF(D129="Buy",(F129-E129)*($C$5/2)*$C$6,(E129-F129)*($C$5/2)*$C$6),IF(U129="Target Hit",IF(D129="Buy",(F129-E129)*($C$5/2)*$C$6,(E129-F129)*($C$5/2)*$C$6),IF(U129="Rollover",IF(D129="Buy",(Z129-E129)*($C$5/2)*$C$6,(E129-Z129)*($C$5/2)*$C$6),IF(U129="Stoploss 1 Hit",IF(K129="","",IF(D129="Buy",(K129-E129)*$C$5*$C$6,(E129-K129)*$C$5*$C$6)),IF(OR(U129="Gap Down Stoploss 1 Hit",U129="Gap Up Stoploss 1 Hit"),IF(Q129="","",IF(D129="Buy",(Q129-E129)*$C$5*$C$6,(E129-Q129)*$C$5*$C$6)),0))))))</x:f>
      </x:c>
      <x:c r="W129" s="326"/>
      <x:c r="X129" s="341" t="str">
        <x:f>IF(D129="","",IF(U129="Target Hit",IF(W129="Stoploss 2 Hit",IF(N129="","",IF(D129="Buy",(N129-E129)*($C$5/2)*$C$6,(E129-N129)*($C$5/2)*$C$6)),IF(U129="Target Hit",IF(W129="Rollover",IF(Z129="","",IF(D129="Buy",(Z129-E129)*($C$5/2)*$C$6,(E129-Z129)*($C$5/2)*$C$6)),IF(W129="Gap Down Stoploss 2 Hit",IF(T129="","",IF(D129="Buy",(T129-E129)*($C$5/2)*$C$6,(E129-T129)*($C$5/2)*$C$6)),IF(W129="Gap Up Stoploss 2 Hit",IF(T129="","",IF(D129="Buy",(T129-E129)*($C$5/2)*$C$6,(E129-T129)*($C$5/2)*$C$6)),0))),0))))</x:f>
      </x:c>
      <x:c r="Y129" s="343" t="str">
        <x:f t="shared" si="17"/>
      </x:c>
      <x:c r="Z129" s="327"/>
    </x:row>
    <x:row r="130">
      <x:c r="A130" s="35">
        <x:v>118</x:v>
      </x:c>
      <x:c r="B130" s="318"/>
      <x:c r="C130" s="319"/>
      <x:c r="D130" s="320"/>
      <x:c r="E130" s="321"/>
      <x:c r="F130" s="322"/>
      <x:c r="G130" s="321"/>
      <x:c r="H130" s="323"/>
      <x:c r="I130" s="337" t="str">
        <x:f t="shared" si="14"/>
      </x:c>
      <x:c r="J130" s="324"/>
      <x:c r="K130" s="336" t="str">
        <x:f t="shared" si="23"/>
      </x:c>
      <x:c r="L130" s="335" t="str">
        <x:f t="shared" si="24"/>
      </x:c>
      <x:c r="M130" s="324"/>
      <x:c r="N130" s="336" t="str">
        <x:f t="shared" si="25"/>
      </x:c>
      <x:c r="O130" s="337" t="str">
        <x:f t="shared" si="15"/>
      </x:c>
      <x:c r="P130" s="324"/>
      <x:c r="Q130" s="336" t="str">
        <x:f t="shared" si="26"/>
      </x:c>
      <x:c r="R130" s="339" t="str">
        <x:f t="shared" si="16"/>
      </x:c>
      <x:c r="S130" s="324"/>
      <x:c r="T130" s="336" t="str">
        <x:f t="shared" si="27"/>
      </x:c>
      <x:c r="U130" s="325"/>
      <x:c r="V130" s="340" t="str">
        <x:f>IF(OR(D130="",U130="",$C$5="",$C$6=""),"",IF(U130="Target Hit",IF(D130="Buy",(F130-E130)*($C$5/2)*$C$6,(E130-F130)*($C$5/2)*$C$6),IF(U130="Target Hit",IF(D130="Buy",(F130-E130)*($C$5/2)*$C$6,(E130-F130)*($C$5/2)*$C$6),IF(U130="Rollover",IF(D130="Buy",(Z130-E130)*($C$5/2)*$C$6,(E130-Z130)*($C$5/2)*$C$6),IF(U130="Stoploss 1 Hit",IF(K130="","",IF(D130="Buy",(K130-E130)*$C$5*$C$6,(E130-K130)*$C$5*$C$6)),IF(OR(U130="Gap Down Stoploss 1 Hit",U130="Gap Up Stoploss 1 Hit"),IF(Q130="","",IF(D130="Buy",(Q130-E130)*$C$5*$C$6,(E130-Q130)*$C$5*$C$6)),0))))))</x:f>
      </x:c>
      <x:c r="W130" s="326"/>
      <x:c r="X130" s="341" t="str">
        <x:f>IF(D130="","",IF(U130="Target Hit",IF(W130="Stoploss 2 Hit",IF(N130="","",IF(D130="Buy",(N130-E130)*($C$5/2)*$C$6,(E130-N130)*($C$5/2)*$C$6)),IF(U130="Target Hit",IF(W130="Rollover",IF(Z130="","",IF(D130="Buy",(Z130-E130)*($C$5/2)*$C$6,(E130-Z130)*($C$5/2)*$C$6)),IF(W130="Gap Down Stoploss 2 Hit",IF(T130="","",IF(D130="Buy",(T130-E130)*($C$5/2)*$C$6,(E130-T130)*($C$5/2)*$C$6)),IF(W130="Gap Up Stoploss 2 Hit",IF(T130="","",IF(D130="Buy",(T130-E130)*($C$5/2)*$C$6,(E130-T130)*($C$5/2)*$C$6)),0))),0))))</x:f>
      </x:c>
      <x:c r="Y130" s="343" t="str">
        <x:f t="shared" si="17"/>
      </x:c>
      <x:c r="Z130" s="327"/>
    </x:row>
    <x:row r="131">
      <x:c r="A131" s="35">
        <x:v>119</x:v>
      </x:c>
      <x:c r="B131" s="318"/>
      <x:c r="C131" s="319"/>
      <x:c r="D131" s="320"/>
      <x:c r="E131" s="321"/>
      <x:c r="F131" s="322"/>
      <x:c r="G131" s="321"/>
      <x:c r="H131" s="323"/>
      <x:c r="I131" s="337" t="str">
        <x:f t="shared" si="14"/>
      </x:c>
      <x:c r="J131" s="324"/>
      <x:c r="K131" s="336" t="str">
        <x:f t="shared" si="23"/>
      </x:c>
      <x:c r="L131" s="335" t="str">
        <x:f t="shared" si="24"/>
      </x:c>
      <x:c r="M131" s="324"/>
      <x:c r="N131" s="336" t="str">
        <x:f t="shared" si="25"/>
      </x:c>
      <x:c r="O131" s="337" t="str">
        <x:f t="shared" si="15"/>
      </x:c>
      <x:c r="P131" s="324"/>
      <x:c r="Q131" s="336" t="str">
        <x:f t="shared" si="26"/>
      </x:c>
      <x:c r="R131" s="339" t="str">
        <x:f t="shared" si="16"/>
      </x:c>
      <x:c r="S131" s="324"/>
      <x:c r="T131" s="336" t="str">
        <x:f t="shared" si="27"/>
      </x:c>
      <x:c r="U131" s="325"/>
      <x:c r="V131" s="340" t="str">
        <x:f>IF(OR(D131="",U131="",$C$5="",$C$6=""),"",IF(U131="Target Hit",IF(D131="Buy",(F131-E131)*($C$5/2)*$C$6,(E131-F131)*($C$5/2)*$C$6),IF(U131="Target Hit",IF(D131="Buy",(F131-E131)*($C$5/2)*$C$6,(E131-F131)*($C$5/2)*$C$6),IF(U131="Rollover",IF(D131="Buy",(Z131-E131)*($C$5/2)*$C$6,(E131-Z131)*($C$5/2)*$C$6),IF(U131="Stoploss 1 Hit",IF(K131="","",IF(D131="Buy",(K131-E131)*$C$5*$C$6,(E131-K131)*$C$5*$C$6)),IF(OR(U131="Gap Down Stoploss 1 Hit",U131="Gap Up Stoploss 1 Hit"),IF(Q131="","",IF(D131="Buy",(Q131-E131)*$C$5*$C$6,(E131-Q131)*$C$5*$C$6)),0))))))</x:f>
      </x:c>
      <x:c r="W131" s="326"/>
      <x:c r="X131" s="341" t="str">
        <x:f>IF(D131="","",IF(U131="Target Hit",IF(W131="Stoploss 2 Hit",IF(N131="","",IF(D131="Buy",(N131-E131)*($C$5/2)*$C$6,(E131-N131)*($C$5/2)*$C$6)),IF(U131="Target Hit",IF(W131="Rollover",IF(Z131="","",IF(D131="Buy",(Z131-E131)*($C$5/2)*$C$6,(E131-Z131)*($C$5/2)*$C$6)),IF(W131="Gap Down Stoploss 2 Hit",IF(T131="","",IF(D131="Buy",(T131-E131)*($C$5/2)*$C$6,(E131-T131)*($C$5/2)*$C$6)),IF(W131="Gap Up Stoploss 2 Hit",IF(T131="","",IF(D131="Buy",(T131-E131)*($C$5/2)*$C$6,(E131-T131)*($C$5/2)*$C$6)),0))),0))))</x:f>
      </x:c>
      <x:c r="Y131" s="343" t="str">
        <x:f t="shared" si="17"/>
      </x:c>
      <x:c r="Z131" s="327"/>
    </x:row>
    <x:row r="132">
      <x:c r="A132" s="35">
        <x:v>120</x:v>
      </x:c>
      <x:c r="B132" s="318"/>
      <x:c r="C132" s="319"/>
      <x:c r="D132" s="320"/>
      <x:c r="E132" s="321"/>
      <x:c r="F132" s="322"/>
      <x:c r="G132" s="321"/>
      <x:c r="H132" s="323"/>
      <x:c r="I132" s="337" t="str">
        <x:f t="shared" si="14"/>
      </x:c>
      <x:c r="J132" s="324"/>
      <x:c r="K132" s="336" t="str">
        <x:f t="shared" si="23"/>
      </x:c>
      <x:c r="L132" s="335" t="str">
        <x:f t="shared" si="24"/>
      </x:c>
      <x:c r="M132" s="324"/>
      <x:c r="N132" s="336" t="str">
        <x:f t="shared" si="25"/>
      </x:c>
      <x:c r="O132" s="337" t="str">
        <x:f t="shared" si="15"/>
      </x:c>
      <x:c r="P132" s="324"/>
      <x:c r="Q132" s="336" t="str">
        <x:f t="shared" si="26"/>
      </x:c>
      <x:c r="R132" s="339" t="str">
        <x:f t="shared" si="16"/>
      </x:c>
      <x:c r="S132" s="324"/>
      <x:c r="T132" s="336" t="str">
        <x:f t="shared" si="27"/>
      </x:c>
      <x:c r="U132" s="325"/>
      <x:c r="V132" s="340" t="str">
        <x:f>IF(OR(D132="",U132="",$C$5="",$C$6=""),"",IF(U132="Target Hit",IF(D132="Buy",(F132-E132)*($C$5/2)*$C$6,(E132-F132)*($C$5/2)*$C$6),IF(U132="Target Hit",IF(D132="Buy",(F132-E132)*($C$5/2)*$C$6,(E132-F132)*($C$5/2)*$C$6),IF(U132="Rollover",IF(D132="Buy",(Z132-E132)*($C$5/2)*$C$6,(E132-Z132)*($C$5/2)*$C$6),IF(U132="Stoploss 1 Hit",IF(K132="","",IF(D132="Buy",(K132-E132)*$C$5*$C$6,(E132-K132)*$C$5*$C$6)),IF(OR(U132="Gap Down Stoploss 1 Hit",U132="Gap Up Stoploss 1 Hit"),IF(Q132="","",IF(D132="Buy",(Q132-E132)*$C$5*$C$6,(E132-Q132)*$C$5*$C$6)),0))))))</x:f>
      </x:c>
      <x:c r="W132" s="326"/>
      <x:c r="X132" s="341" t="str">
        <x:f>IF(D132="","",IF(U132="Target Hit",IF(W132="Stoploss 2 Hit",IF(N132="","",IF(D132="Buy",(N132-E132)*($C$5/2)*$C$6,(E132-N132)*($C$5/2)*$C$6)),IF(U132="Target Hit",IF(W132="Rollover",IF(Z132="","",IF(D132="Buy",(Z132-E132)*($C$5/2)*$C$6,(E132-Z132)*($C$5/2)*$C$6)),IF(W132="Gap Down Stoploss 2 Hit",IF(T132="","",IF(D132="Buy",(T132-E132)*($C$5/2)*$C$6,(E132-T132)*($C$5/2)*$C$6)),IF(W132="Gap Up Stoploss 2 Hit",IF(T132="","",IF(D132="Buy",(T132-E132)*($C$5/2)*$C$6,(E132-T132)*($C$5/2)*$C$6)),0))),0))))</x:f>
      </x:c>
      <x:c r="Y132" s="343" t="str">
        <x:f t="shared" si="17"/>
      </x:c>
      <x:c r="Z132" s="327"/>
    </x:row>
    <x:row r="133">
      <x:c r="A133" s="35">
        <x:v>121</x:v>
      </x:c>
      <x:c r="B133" s="318"/>
      <x:c r="C133" s="319"/>
      <x:c r="D133" s="320"/>
      <x:c r="E133" s="321"/>
      <x:c r="F133" s="322"/>
      <x:c r="G133" s="321"/>
      <x:c r="H133" s="323"/>
      <x:c r="I133" s="337" t="str">
        <x:f t="shared" si="14"/>
      </x:c>
      <x:c r="J133" s="324"/>
      <x:c r="K133" s="336" t="str">
        <x:f t="shared" si="23"/>
      </x:c>
      <x:c r="L133" s="335" t="str">
        <x:f t="shared" si="24"/>
      </x:c>
      <x:c r="M133" s="324"/>
      <x:c r="N133" s="336" t="str">
        <x:f t="shared" si="25"/>
      </x:c>
      <x:c r="O133" s="337" t="str">
        <x:f t="shared" si="15"/>
      </x:c>
      <x:c r="P133" s="324"/>
      <x:c r="Q133" s="336" t="str">
        <x:f t="shared" si="26"/>
      </x:c>
      <x:c r="R133" s="339" t="str">
        <x:f t="shared" si="16"/>
      </x:c>
      <x:c r="S133" s="324"/>
      <x:c r="T133" s="336" t="str">
        <x:f t="shared" si="27"/>
      </x:c>
      <x:c r="U133" s="325"/>
      <x:c r="V133" s="340" t="str">
        <x:f>IF(OR(D133="",U133="",$C$5="",$C$6=""),"",IF(U133="Target Hit",IF(D133="Buy",(F133-E133)*($C$5/2)*$C$6,(E133-F133)*($C$5/2)*$C$6),IF(U133="Target Hit",IF(D133="Buy",(F133-E133)*($C$5/2)*$C$6,(E133-F133)*($C$5/2)*$C$6),IF(U133="Rollover",IF(D133="Buy",(Z133-E133)*($C$5/2)*$C$6,(E133-Z133)*($C$5/2)*$C$6),IF(U133="Stoploss 1 Hit",IF(K133="","",IF(D133="Buy",(K133-E133)*$C$5*$C$6,(E133-K133)*$C$5*$C$6)),IF(OR(U133="Gap Down Stoploss 1 Hit",U133="Gap Up Stoploss 1 Hit"),IF(Q133="","",IF(D133="Buy",(Q133-E133)*$C$5*$C$6,(E133-Q133)*$C$5*$C$6)),0))))))</x:f>
      </x:c>
      <x:c r="W133" s="326"/>
      <x:c r="X133" s="341" t="str">
        <x:f>IF(D133="","",IF(U133="Target Hit",IF(W133="Stoploss 2 Hit",IF(N133="","",IF(D133="Buy",(N133-E133)*($C$5/2)*$C$6,(E133-N133)*($C$5/2)*$C$6)),IF(U133="Target Hit",IF(W133="Rollover",IF(Z133="","",IF(D133="Buy",(Z133-E133)*($C$5/2)*$C$6,(E133-Z133)*($C$5/2)*$C$6)),IF(W133="Gap Down Stoploss 2 Hit",IF(T133="","",IF(D133="Buy",(T133-E133)*($C$5/2)*$C$6,(E133-T133)*($C$5/2)*$C$6)),IF(W133="Gap Up Stoploss 2 Hit",IF(T133="","",IF(D133="Buy",(T133-E133)*($C$5/2)*$C$6,(E133-T133)*($C$5/2)*$C$6)),0))),0))))</x:f>
      </x:c>
      <x:c r="Y133" s="343" t="str">
        <x:f t="shared" si="17"/>
      </x:c>
      <x:c r="Z133" s="327"/>
    </x:row>
    <x:row r="134">
      <x:c r="A134" s="35">
        <x:v>122</x:v>
      </x:c>
      <x:c r="B134" s="318"/>
      <x:c r="C134" s="319"/>
      <x:c r="D134" s="320"/>
      <x:c r="E134" s="321"/>
      <x:c r="F134" s="322"/>
      <x:c r="G134" s="321"/>
      <x:c r="H134" s="323"/>
      <x:c r="I134" s="337" t="str">
        <x:f t="shared" si="14"/>
      </x:c>
      <x:c r="J134" s="324"/>
      <x:c r="K134" s="336" t="str">
        <x:f t="shared" si="23"/>
      </x:c>
      <x:c r="L134" s="335" t="str">
        <x:f t="shared" si="24"/>
      </x:c>
      <x:c r="M134" s="324"/>
      <x:c r="N134" s="336" t="str">
        <x:f t="shared" si="25"/>
      </x:c>
      <x:c r="O134" s="337" t="str">
        <x:f t="shared" si="15"/>
      </x:c>
      <x:c r="P134" s="324"/>
      <x:c r="Q134" s="336" t="str">
        <x:f t="shared" si="26"/>
      </x:c>
      <x:c r="R134" s="339" t="str">
        <x:f t="shared" si="16"/>
      </x:c>
      <x:c r="S134" s="324"/>
      <x:c r="T134" s="336" t="str">
        <x:f t="shared" si="27"/>
      </x:c>
      <x:c r="U134" s="325"/>
      <x:c r="V134" s="340" t="str">
        <x:f>IF(OR(D134="",U134="",$C$5="",$C$6=""),"",IF(U134="Target Hit",IF(D134="Buy",(F134-E134)*($C$5/2)*$C$6,(E134-F134)*($C$5/2)*$C$6),IF(U134="Target Hit",IF(D134="Buy",(F134-E134)*($C$5/2)*$C$6,(E134-F134)*($C$5/2)*$C$6),IF(U134="Rollover",IF(D134="Buy",(Z134-E134)*($C$5/2)*$C$6,(E134-Z134)*($C$5/2)*$C$6),IF(U134="Stoploss 1 Hit",IF(K134="","",IF(D134="Buy",(K134-E134)*$C$5*$C$6,(E134-K134)*$C$5*$C$6)),IF(OR(U134="Gap Down Stoploss 1 Hit",U134="Gap Up Stoploss 1 Hit"),IF(Q134="","",IF(D134="Buy",(Q134-E134)*$C$5*$C$6,(E134-Q134)*$C$5*$C$6)),0))))))</x:f>
      </x:c>
      <x:c r="W134" s="326"/>
      <x:c r="X134" s="341" t="str">
        <x:f>IF(D134="","",IF(U134="Target Hit",IF(W134="Stoploss 2 Hit",IF(N134="","",IF(D134="Buy",(N134-E134)*($C$5/2)*$C$6,(E134-N134)*($C$5/2)*$C$6)),IF(U134="Target Hit",IF(W134="Rollover",IF(Z134="","",IF(D134="Buy",(Z134-E134)*($C$5/2)*$C$6,(E134-Z134)*($C$5/2)*$C$6)),IF(W134="Gap Down Stoploss 2 Hit",IF(T134="","",IF(D134="Buy",(T134-E134)*($C$5/2)*$C$6,(E134-T134)*($C$5/2)*$C$6)),IF(W134="Gap Up Stoploss 2 Hit",IF(T134="","",IF(D134="Buy",(T134-E134)*($C$5/2)*$C$6,(E134-T134)*($C$5/2)*$C$6)),0))),0))))</x:f>
      </x:c>
      <x:c r="Y134" s="343" t="str">
        <x:f t="shared" si="17"/>
      </x:c>
      <x:c r="Z134" s="327"/>
    </x:row>
    <x:row r="135">
      <x:c r="A135" s="35">
        <x:v>123</x:v>
      </x:c>
      <x:c r="B135" s="318"/>
      <x:c r="C135" s="319"/>
      <x:c r="D135" s="320"/>
      <x:c r="E135" s="321"/>
      <x:c r="F135" s="322"/>
      <x:c r="G135" s="321"/>
      <x:c r="H135" s="323"/>
      <x:c r="I135" s="337" t="str">
        <x:f t="shared" si="14"/>
      </x:c>
      <x:c r="J135" s="324"/>
      <x:c r="K135" s="336" t="str">
        <x:f t="shared" si="23"/>
      </x:c>
      <x:c r="L135" s="335" t="str">
        <x:f t="shared" si="24"/>
      </x:c>
      <x:c r="M135" s="324"/>
      <x:c r="N135" s="336" t="str">
        <x:f t="shared" si="25"/>
      </x:c>
      <x:c r="O135" s="337" t="str">
        <x:f t="shared" si="15"/>
      </x:c>
      <x:c r="P135" s="324"/>
      <x:c r="Q135" s="336" t="str">
        <x:f t="shared" si="26"/>
      </x:c>
      <x:c r="R135" s="339" t="str">
        <x:f t="shared" si="16"/>
      </x:c>
      <x:c r="S135" s="324"/>
      <x:c r="T135" s="336" t="str">
        <x:f t="shared" si="27"/>
      </x:c>
      <x:c r="U135" s="325"/>
      <x:c r="V135" s="340" t="str">
        <x:f>IF(OR(D135="",U135="",$C$5="",$C$6=""),"",IF(U135="Target Hit",IF(D135="Buy",(F135-E135)*($C$5/2)*$C$6,(E135-F135)*($C$5/2)*$C$6),IF(U135="Target Hit",IF(D135="Buy",(F135-E135)*($C$5/2)*$C$6,(E135-F135)*($C$5/2)*$C$6),IF(U135="Rollover",IF(D135="Buy",(Z135-E135)*($C$5/2)*$C$6,(E135-Z135)*($C$5/2)*$C$6),IF(U135="Stoploss 1 Hit",IF(K135="","",IF(D135="Buy",(K135-E135)*$C$5*$C$6,(E135-K135)*$C$5*$C$6)),IF(OR(U135="Gap Down Stoploss 1 Hit",U135="Gap Up Stoploss 1 Hit"),IF(Q135="","",IF(D135="Buy",(Q135-E135)*$C$5*$C$6,(E135-Q135)*$C$5*$C$6)),0))))))</x:f>
      </x:c>
      <x:c r="W135" s="326"/>
      <x:c r="X135" s="341" t="str">
        <x:f>IF(D135="","",IF(U135="Target Hit",IF(W135="Stoploss 2 Hit",IF(N135="","",IF(D135="Buy",(N135-E135)*($C$5/2)*$C$6,(E135-N135)*($C$5/2)*$C$6)),IF(U135="Target Hit",IF(W135="Rollover",IF(Z135="","",IF(D135="Buy",(Z135-E135)*($C$5/2)*$C$6,(E135-Z135)*($C$5/2)*$C$6)),IF(W135="Gap Down Stoploss 2 Hit",IF(T135="","",IF(D135="Buy",(T135-E135)*($C$5/2)*$C$6,(E135-T135)*($C$5/2)*$C$6)),IF(W135="Gap Up Stoploss 2 Hit",IF(T135="","",IF(D135="Buy",(T135-E135)*($C$5/2)*$C$6,(E135-T135)*($C$5/2)*$C$6)),0))),0))))</x:f>
      </x:c>
      <x:c r="Y135" s="343" t="str">
        <x:f t="shared" si="17"/>
      </x:c>
      <x:c r="Z135" s="327"/>
    </x:row>
    <x:row r="136">
      <x:c r="A136" s="35">
        <x:v>124</x:v>
      </x:c>
      <x:c r="B136" s="318"/>
      <x:c r="C136" s="319"/>
      <x:c r="D136" s="320"/>
      <x:c r="E136" s="321"/>
      <x:c r="F136" s="322"/>
      <x:c r="G136" s="321"/>
      <x:c r="H136" s="323"/>
      <x:c r="I136" s="337" t="str">
        <x:f t="shared" si="14"/>
      </x:c>
      <x:c r="J136" s="324"/>
      <x:c r="K136" s="336" t="str">
        <x:f t="shared" si="23"/>
      </x:c>
      <x:c r="L136" s="335" t="str">
        <x:f t="shared" si="24"/>
      </x:c>
      <x:c r="M136" s="324"/>
      <x:c r="N136" s="336" t="str">
        <x:f t="shared" si="25"/>
      </x:c>
      <x:c r="O136" s="337" t="str">
        <x:f t="shared" si="15"/>
      </x:c>
      <x:c r="P136" s="324"/>
      <x:c r="Q136" s="336" t="str">
        <x:f t="shared" si="26"/>
      </x:c>
      <x:c r="R136" s="339" t="str">
        <x:f t="shared" si="16"/>
      </x:c>
      <x:c r="S136" s="324"/>
      <x:c r="T136" s="336" t="str">
        <x:f t="shared" si="27"/>
      </x:c>
      <x:c r="U136" s="325"/>
      <x:c r="V136" s="340" t="str">
        <x:f>IF(OR(D136="",U136="",$C$5="",$C$6=""),"",IF(U136="Target Hit",IF(D136="Buy",(F136-E136)*($C$5/2)*$C$6,(E136-F136)*($C$5/2)*$C$6),IF(U136="Target Hit",IF(D136="Buy",(F136-E136)*($C$5/2)*$C$6,(E136-F136)*($C$5/2)*$C$6),IF(U136="Rollover",IF(D136="Buy",(Z136-E136)*($C$5/2)*$C$6,(E136-Z136)*($C$5/2)*$C$6),IF(U136="Stoploss 1 Hit",IF(K136="","",IF(D136="Buy",(K136-E136)*$C$5*$C$6,(E136-K136)*$C$5*$C$6)),IF(OR(U136="Gap Down Stoploss 1 Hit",U136="Gap Up Stoploss 1 Hit"),IF(Q136="","",IF(D136="Buy",(Q136-E136)*$C$5*$C$6,(E136-Q136)*$C$5*$C$6)),0))))))</x:f>
      </x:c>
      <x:c r="W136" s="326"/>
      <x:c r="X136" s="341" t="str">
        <x:f>IF(D136="","",IF(U136="Target Hit",IF(W136="Stoploss 2 Hit",IF(N136="","",IF(D136="Buy",(N136-E136)*($C$5/2)*$C$6,(E136-N136)*($C$5/2)*$C$6)),IF(U136="Target Hit",IF(W136="Rollover",IF(Z136="","",IF(D136="Buy",(Z136-E136)*($C$5/2)*$C$6,(E136-Z136)*($C$5/2)*$C$6)),IF(W136="Gap Down Stoploss 2 Hit",IF(T136="","",IF(D136="Buy",(T136-E136)*($C$5/2)*$C$6,(E136-T136)*($C$5/2)*$C$6)),IF(W136="Gap Up Stoploss 2 Hit",IF(T136="","",IF(D136="Buy",(T136-E136)*($C$5/2)*$C$6,(E136-T136)*($C$5/2)*$C$6)),0))),0))))</x:f>
      </x:c>
      <x:c r="Y136" s="343" t="str">
        <x:f t="shared" si="17"/>
      </x:c>
      <x:c r="Z136" s="327"/>
    </x:row>
    <x:row r="137">
      <x:c r="A137" s="35">
        <x:v>125</x:v>
      </x:c>
      <x:c r="B137" s="318"/>
      <x:c r="C137" s="319"/>
      <x:c r="D137" s="320"/>
      <x:c r="E137" s="321"/>
      <x:c r="F137" s="322"/>
      <x:c r="G137" s="321"/>
      <x:c r="H137" s="323"/>
      <x:c r="I137" s="337" t="str">
        <x:f t="shared" si="14"/>
      </x:c>
      <x:c r="J137" s="324"/>
      <x:c r="K137" s="336" t="str">
        <x:f t="shared" si="23"/>
      </x:c>
      <x:c r="L137" s="335" t="str">
        <x:f t="shared" si="24"/>
      </x:c>
      <x:c r="M137" s="324"/>
      <x:c r="N137" s="336" t="str">
        <x:f t="shared" si="25"/>
      </x:c>
      <x:c r="O137" s="337" t="str">
        <x:f t="shared" si="15"/>
      </x:c>
      <x:c r="P137" s="324"/>
      <x:c r="Q137" s="336" t="str">
        <x:f t="shared" si="26"/>
      </x:c>
      <x:c r="R137" s="339" t="str">
        <x:f t="shared" si="16"/>
      </x:c>
      <x:c r="S137" s="324"/>
      <x:c r="T137" s="336" t="str">
        <x:f t="shared" si="27"/>
      </x:c>
      <x:c r="U137" s="325"/>
      <x:c r="V137" s="340" t="str">
        <x:f>IF(OR(D137="",U137="",$C$5="",$C$6=""),"",IF(U137="Target Hit",IF(D137="Buy",(F137-E137)*($C$5/2)*$C$6,(E137-F137)*($C$5/2)*$C$6),IF(U137="Target Hit",IF(D137="Buy",(F137-E137)*($C$5/2)*$C$6,(E137-F137)*($C$5/2)*$C$6),IF(U137="Rollover",IF(D137="Buy",(Z137-E137)*($C$5/2)*$C$6,(E137-Z137)*($C$5/2)*$C$6),IF(U137="Stoploss 1 Hit",IF(K137="","",IF(D137="Buy",(K137-E137)*$C$5*$C$6,(E137-K137)*$C$5*$C$6)),IF(OR(U137="Gap Down Stoploss 1 Hit",U137="Gap Up Stoploss 1 Hit"),IF(Q137="","",IF(D137="Buy",(Q137-E137)*$C$5*$C$6,(E137-Q137)*$C$5*$C$6)),0))))))</x:f>
      </x:c>
      <x:c r="W137" s="326"/>
      <x:c r="X137" s="341" t="str">
        <x:f>IF(D137="","",IF(U137="Target Hit",IF(W137="Stoploss 2 Hit",IF(N137="","",IF(D137="Buy",(N137-E137)*($C$5/2)*$C$6,(E137-N137)*($C$5/2)*$C$6)),IF(U137="Target Hit",IF(W137="Rollover",IF(Z137="","",IF(D137="Buy",(Z137-E137)*($C$5/2)*$C$6,(E137-Z137)*($C$5/2)*$C$6)),IF(W137="Gap Down Stoploss 2 Hit",IF(T137="","",IF(D137="Buy",(T137-E137)*($C$5/2)*$C$6,(E137-T137)*($C$5/2)*$C$6)),IF(W137="Gap Up Stoploss 2 Hit",IF(T137="","",IF(D137="Buy",(T137-E137)*($C$5/2)*$C$6,(E137-T137)*($C$5/2)*$C$6)),0))),0))))</x:f>
      </x:c>
      <x:c r="Y137" s="343" t="str">
        <x:f t="shared" si="17"/>
      </x:c>
      <x:c r="Z137" s="327"/>
    </x:row>
    <x:row r="138">
      <x:c r="A138" s="35">
        <x:v>126</x:v>
      </x:c>
      <x:c r="B138" s="318"/>
      <x:c r="C138" s="319"/>
      <x:c r="D138" s="320"/>
      <x:c r="E138" s="321"/>
      <x:c r="F138" s="322"/>
      <x:c r="G138" s="321"/>
      <x:c r="H138" s="323"/>
      <x:c r="I138" s="337" t="str">
        <x:f t="shared" si="14"/>
      </x:c>
      <x:c r="J138" s="324"/>
      <x:c r="K138" s="336" t="str">
        <x:f t="shared" si="23"/>
      </x:c>
      <x:c r="L138" s="335" t="str">
        <x:f t="shared" si="24"/>
      </x:c>
      <x:c r="M138" s="324"/>
      <x:c r="N138" s="336" t="str">
        <x:f t="shared" si="25"/>
      </x:c>
      <x:c r="O138" s="337" t="str">
        <x:f t="shared" si="15"/>
      </x:c>
      <x:c r="P138" s="324"/>
      <x:c r="Q138" s="336" t="str">
        <x:f t="shared" si="26"/>
      </x:c>
      <x:c r="R138" s="339" t="str">
        <x:f t="shared" si="16"/>
      </x:c>
      <x:c r="S138" s="324"/>
      <x:c r="T138" s="336" t="str">
        <x:f t="shared" si="27"/>
      </x:c>
      <x:c r="U138" s="325"/>
      <x:c r="V138" s="340" t="str">
        <x:f>IF(OR(D138="",U138="",$C$5="",$C$6=""),"",IF(U138="Target Hit",IF(D138="Buy",(F138-E138)*($C$5/2)*$C$6,(E138-F138)*($C$5/2)*$C$6),IF(U138="Target Hit",IF(D138="Buy",(F138-E138)*($C$5/2)*$C$6,(E138-F138)*($C$5/2)*$C$6),IF(U138="Rollover",IF(D138="Buy",(Z138-E138)*($C$5/2)*$C$6,(E138-Z138)*($C$5/2)*$C$6),IF(U138="Stoploss 1 Hit",IF(K138="","",IF(D138="Buy",(K138-E138)*$C$5*$C$6,(E138-K138)*$C$5*$C$6)),IF(OR(U138="Gap Down Stoploss 1 Hit",U138="Gap Up Stoploss 1 Hit"),IF(Q138="","",IF(D138="Buy",(Q138-E138)*$C$5*$C$6,(E138-Q138)*$C$5*$C$6)),0))))))</x:f>
      </x:c>
      <x:c r="W138" s="326"/>
      <x:c r="X138" s="341" t="str">
        <x:f>IF(D138="","",IF(U138="Target Hit",IF(W138="Stoploss 2 Hit",IF(N138="","",IF(D138="Buy",(N138-E138)*($C$5/2)*$C$6,(E138-N138)*($C$5/2)*$C$6)),IF(U138="Target Hit",IF(W138="Rollover",IF(Z138="","",IF(D138="Buy",(Z138-E138)*($C$5/2)*$C$6,(E138-Z138)*($C$5/2)*$C$6)),IF(W138="Gap Down Stoploss 2 Hit",IF(T138="","",IF(D138="Buy",(T138-E138)*($C$5/2)*$C$6,(E138-T138)*($C$5/2)*$C$6)),IF(W138="Gap Up Stoploss 2 Hit",IF(T138="","",IF(D138="Buy",(T138-E138)*($C$5/2)*$C$6,(E138-T138)*($C$5/2)*$C$6)),0))),0))))</x:f>
      </x:c>
      <x:c r="Y138" s="343" t="str">
        <x:f t="shared" si="17"/>
      </x:c>
      <x:c r="Z138" s="327"/>
    </x:row>
    <x:row r="139">
      <x:c r="A139" s="35">
        <x:v>127</x:v>
      </x:c>
      <x:c r="B139" s="318"/>
      <x:c r="C139" s="319"/>
      <x:c r="D139" s="320"/>
      <x:c r="E139" s="321"/>
      <x:c r="F139" s="322"/>
      <x:c r="G139" s="321"/>
      <x:c r="H139" s="323"/>
      <x:c r="I139" s="337" t="str">
        <x:f t="shared" si="14"/>
      </x:c>
      <x:c r="J139" s="324"/>
      <x:c r="K139" s="336" t="str">
        <x:f t="shared" si="23"/>
      </x:c>
      <x:c r="L139" s="335" t="str">
        <x:f t="shared" si="24"/>
      </x:c>
      <x:c r="M139" s="324"/>
      <x:c r="N139" s="336" t="str">
        <x:f t="shared" si="25"/>
      </x:c>
      <x:c r="O139" s="337" t="str">
        <x:f t="shared" si="15"/>
      </x:c>
      <x:c r="P139" s="324"/>
      <x:c r="Q139" s="336" t="str">
        <x:f t="shared" si="26"/>
      </x:c>
      <x:c r="R139" s="339" t="str">
        <x:f t="shared" si="16"/>
      </x:c>
      <x:c r="S139" s="324"/>
      <x:c r="T139" s="336" t="str">
        <x:f t="shared" si="27"/>
      </x:c>
      <x:c r="U139" s="325"/>
      <x:c r="V139" s="340" t="str">
        <x:f>IF(OR(D139="",U139="",$C$5="",$C$6=""),"",IF(U139="Target Hit",IF(D139="Buy",(F139-E139)*($C$5/2)*$C$6,(E139-F139)*($C$5/2)*$C$6),IF(U139="Target Hit",IF(D139="Buy",(F139-E139)*($C$5/2)*$C$6,(E139-F139)*($C$5/2)*$C$6),IF(U139="Rollover",IF(D139="Buy",(Z139-E139)*($C$5/2)*$C$6,(E139-Z139)*($C$5/2)*$C$6),IF(U139="Stoploss 1 Hit",IF(K139="","",IF(D139="Buy",(K139-E139)*$C$5*$C$6,(E139-K139)*$C$5*$C$6)),IF(OR(U139="Gap Down Stoploss 1 Hit",U139="Gap Up Stoploss 1 Hit"),IF(Q139="","",IF(D139="Buy",(Q139-E139)*$C$5*$C$6,(E139-Q139)*$C$5*$C$6)),0))))))</x:f>
      </x:c>
      <x:c r="W139" s="326"/>
      <x:c r="X139" s="341" t="str">
        <x:f>IF(D139="","",IF(U139="Target Hit",IF(W139="Stoploss 2 Hit",IF(N139="","",IF(D139="Buy",(N139-E139)*($C$5/2)*$C$6,(E139-N139)*($C$5/2)*$C$6)),IF(U139="Target Hit",IF(W139="Rollover",IF(Z139="","",IF(D139="Buy",(Z139-E139)*($C$5/2)*$C$6,(E139-Z139)*($C$5/2)*$C$6)),IF(W139="Gap Down Stoploss 2 Hit",IF(T139="","",IF(D139="Buy",(T139-E139)*($C$5/2)*$C$6,(E139-T139)*($C$5/2)*$C$6)),IF(W139="Gap Up Stoploss 2 Hit",IF(T139="","",IF(D139="Buy",(T139-E139)*($C$5/2)*$C$6,(E139-T139)*($C$5/2)*$C$6)),0))),0))))</x:f>
      </x:c>
      <x:c r="Y139" s="343" t="str">
        <x:f t="shared" si="17"/>
      </x:c>
      <x:c r="Z139" s="327"/>
    </x:row>
    <x:row r="140">
      <x:c r="A140" s="35">
        <x:v>128</x:v>
      </x:c>
      <x:c r="B140" s="318"/>
      <x:c r="C140" s="319"/>
      <x:c r="D140" s="320"/>
      <x:c r="E140" s="321"/>
      <x:c r="F140" s="322"/>
      <x:c r="G140" s="321"/>
      <x:c r="H140" s="323"/>
      <x:c r="I140" s="337" t="str">
        <x:f t="shared" si="14"/>
      </x:c>
      <x:c r="J140" s="324"/>
      <x:c r="K140" s="336" t="str">
        <x:f t="shared" si="23"/>
      </x:c>
      <x:c r="L140" s="335" t="str">
        <x:f t="shared" si="24"/>
      </x:c>
      <x:c r="M140" s="324"/>
      <x:c r="N140" s="336" t="str">
        <x:f t="shared" si="25"/>
      </x:c>
      <x:c r="O140" s="337" t="str">
        <x:f t="shared" si="15"/>
      </x:c>
      <x:c r="P140" s="324"/>
      <x:c r="Q140" s="336" t="str">
        <x:f t="shared" si="26"/>
      </x:c>
      <x:c r="R140" s="339" t="str">
        <x:f t="shared" si="16"/>
      </x:c>
      <x:c r="S140" s="324"/>
      <x:c r="T140" s="336" t="str">
        <x:f t="shared" si="27"/>
      </x:c>
      <x:c r="U140" s="325"/>
      <x:c r="V140" s="340" t="str">
        <x:f>IF(OR(D140="",U140="",$C$5="",$C$6=""),"",IF(U140="Target Hit",IF(D140="Buy",(F140-E140)*($C$5/2)*$C$6,(E140-F140)*($C$5/2)*$C$6),IF(U140="Target Hit",IF(D140="Buy",(F140-E140)*($C$5/2)*$C$6,(E140-F140)*($C$5/2)*$C$6),IF(U140="Rollover",IF(D140="Buy",(Z140-E140)*($C$5/2)*$C$6,(E140-Z140)*($C$5/2)*$C$6),IF(U140="Stoploss 1 Hit",IF(K140="","",IF(D140="Buy",(K140-E140)*$C$5*$C$6,(E140-K140)*$C$5*$C$6)),IF(OR(U140="Gap Down Stoploss 1 Hit",U140="Gap Up Stoploss 1 Hit"),IF(Q140="","",IF(D140="Buy",(Q140-E140)*$C$5*$C$6,(E140-Q140)*$C$5*$C$6)),0))))))</x:f>
      </x:c>
      <x:c r="W140" s="326"/>
      <x:c r="X140" s="341" t="str">
        <x:f>IF(D140="","",IF(U140="Target Hit",IF(W140="Stoploss 2 Hit",IF(N140="","",IF(D140="Buy",(N140-E140)*($C$5/2)*$C$6,(E140-N140)*($C$5/2)*$C$6)),IF(U140="Target Hit",IF(W140="Rollover",IF(Z140="","",IF(D140="Buy",(Z140-E140)*($C$5/2)*$C$6,(E140-Z140)*($C$5/2)*$C$6)),IF(W140="Gap Down Stoploss 2 Hit",IF(T140="","",IF(D140="Buy",(T140-E140)*($C$5/2)*$C$6,(E140-T140)*($C$5/2)*$C$6)),IF(W140="Gap Up Stoploss 2 Hit",IF(T140="","",IF(D140="Buy",(T140-E140)*($C$5/2)*$C$6,(E140-T140)*($C$5/2)*$C$6)),0))),0))))</x:f>
      </x:c>
      <x:c r="Y140" s="343" t="str">
        <x:f t="shared" si="17"/>
      </x:c>
      <x:c r="Z140" s="327"/>
    </x:row>
    <x:row r="141">
      <x:c r="A141" s="35">
        <x:v>129</x:v>
      </x:c>
      <x:c r="B141" s="318"/>
      <x:c r="C141" s="319"/>
      <x:c r="D141" s="320"/>
      <x:c r="E141" s="321"/>
      <x:c r="F141" s="322"/>
      <x:c r="G141" s="321"/>
      <x:c r="H141" s="323"/>
      <x:c r="I141" s="337" t="str">
        <x:f t="shared" ref="I141:I204" si="28">IF(D141="Buy","Enter New 2DLL",IF(D141="Sell","Enter New 2DHH",""))</x:f>
      </x:c>
      <x:c r="J141" s="324"/>
      <x:c r="K141" s="336" t="str">
        <x:f t="shared" si="23"/>
      </x:c>
      <x:c r="L141" s="335" t="str">
        <x:f t="shared" si="24"/>
      </x:c>
      <x:c r="M141" s="324"/>
      <x:c r="N141" s="336" t="str">
        <x:f t="shared" si="25"/>
      </x:c>
      <x:c r="O141" s="337" t="str">
        <x:f t="shared" ref="O141:O204" si="29">IF(D141="Buy","Enter First 15-Minute Low",IF(D141="Sell","Enter First 15-Minute High",""))</x:f>
      </x:c>
      <x:c r="P141" s="324"/>
      <x:c r="Q141" s="336" t="str">
        <x:f t="shared" si="26"/>
      </x:c>
      <x:c r="R141" s="339" t="str">
        <x:f t="shared" ref="R141:R204" si="30">IF(D141="Buy","Enter First 15-Minute Low",IF(D141="Sell","Enter First 15-Minute High",""))</x:f>
      </x:c>
      <x:c r="S141" s="324"/>
      <x:c r="T141" s="336" t="str">
        <x:f t="shared" si="27"/>
      </x:c>
      <x:c r="U141" s="325"/>
      <x:c r="V141" s="340" t="str">
        <x:f>IF(OR(D141="",U141="",$C$5="",$C$6=""),"",IF(U141="Target Hit",IF(D141="Buy",(F141-E141)*($C$5/2)*$C$6,(E141-F141)*($C$5/2)*$C$6),IF(U141="Target Hit",IF(D141="Buy",(F141-E141)*($C$5/2)*$C$6,(E141-F141)*($C$5/2)*$C$6),IF(U141="Rollover",IF(D141="Buy",(Z141-E141)*($C$5/2)*$C$6,(E141-Z141)*($C$5/2)*$C$6),IF(U141="Stoploss 1 Hit",IF(K141="","",IF(D141="Buy",(K141-E141)*$C$5*$C$6,(E141-K141)*$C$5*$C$6)),IF(OR(U141="Gap Down Stoploss 1 Hit",U141="Gap Up Stoploss 1 Hit"),IF(Q141="","",IF(D141="Buy",(Q141-E141)*$C$5*$C$6,(E141-Q141)*$C$5*$C$6)),0))))))</x:f>
      </x:c>
      <x:c r="W141" s="326"/>
      <x:c r="X141" s="341" t="str">
        <x:f>IF(D141="","",IF(U141="Target Hit",IF(W141="Stoploss 2 Hit",IF(N141="","",IF(D141="Buy",(N141-E141)*($C$5/2)*$C$6,(E141-N141)*($C$5/2)*$C$6)),IF(U141="Target Hit",IF(W141="Rollover",IF(Z141="","",IF(D141="Buy",(Z141-E141)*($C$5/2)*$C$6,(E141-Z141)*($C$5/2)*$C$6)),IF(W141="Gap Down Stoploss 2 Hit",IF(T141="","",IF(D141="Buy",(T141-E141)*($C$5/2)*$C$6,(E141-T141)*($C$5/2)*$C$6)),IF(W141="Gap Up Stoploss 2 Hit",IF(T141="","",IF(D141="Buy",(T141-E141)*($C$5/2)*$C$6,(E141-T141)*($C$5/2)*$C$6)),0))),0))))</x:f>
      </x:c>
      <x:c r="Y141" s="343" t="str">
        <x:f t="shared" ref="Y141:Y204" si="31">IF(AND(V141="",X141=""),"",IF(V141="",0,V141)+IF(X141="",0,X141))</x:f>
      </x:c>
      <x:c r="Z141" s="327"/>
    </x:row>
    <x:row r="142">
      <x:c r="A142" s="35">
        <x:v>130</x:v>
      </x:c>
      <x:c r="B142" s="318"/>
      <x:c r="C142" s="319"/>
      <x:c r="D142" s="320"/>
      <x:c r="E142" s="321"/>
      <x:c r="F142" s="322"/>
      <x:c r="G142" s="321"/>
      <x:c r="H142" s="323"/>
      <x:c r="I142" s="337" t="str">
        <x:f t="shared" si="28"/>
      </x:c>
      <x:c r="J142" s="324"/>
      <x:c r="K142" s="336" t="str">
        <x:f t="shared" ref="K142:K173" si="32">IF(OR(D142="",E142="",J142=""),"",IF(D142="Buy",MROUND(MAX(E142*(1-1.25%),J142*(1-0.125%)),1),MROUND(MIN(E142*(1+1.25%),J142*(1+0.125%)),1)))</x:f>
      </x:c>
      <x:c r="L142" s="335" t="str">
        <x:f t="shared" ref="L142:L173" si="33">IF(D142="Buy","Enter New 3DLL",IF(D142="Sell","Enter New 3DHH",""))</x:f>
      </x:c>
      <x:c r="M142" s="324"/>
      <x:c r="N142" s="336" t="str">
        <x:f t="shared" ref="N142:N173" si="34">IF(OR(D142="",E142="",M142=""),"",IF(D142="Buy",MROUND(MAX(E142*(1-1.25%),M142*(1-0.125%)),1),MROUND(MIN(E142*(1+1.25%),M142*(1+0.125%)),1)))</x:f>
      </x:c>
      <x:c r="O142" s="337" t="str">
        <x:f t="shared" si="29"/>
      </x:c>
      <x:c r="P142" s="324"/>
      <x:c r="Q142" s="336" t="str">
        <x:f t="shared" ref="Q142:Q173" si="35">IF(OR(D142="",P142=""),"",IF(D142="Buy",MROUND(P142*(1-0.125%),1),MROUND(P142*(1+0.125%),1)))</x:f>
      </x:c>
      <x:c r="R142" s="339" t="str">
        <x:f t="shared" si="30"/>
      </x:c>
      <x:c r="S142" s="324"/>
      <x:c r="T142" s="336" t="str">
        <x:f t="shared" ref="T142:T173" si="36">IF(OR(D142="",S142=""),"",IF(D142="Buy",MROUND(S142*(1-0.125%),1),MROUND(S142*(1+0.125%),1)))</x:f>
      </x:c>
      <x:c r="U142" s="325"/>
      <x:c r="V142" s="340" t="str">
        <x:f>IF(OR(D142="",U142="",$C$5="",$C$6=""),"",IF(U142="Target Hit",IF(D142="Buy",(F142-E142)*($C$5/2)*$C$6,(E142-F142)*($C$5/2)*$C$6),IF(U142="Target Hit",IF(D142="Buy",(F142-E142)*($C$5/2)*$C$6,(E142-F142)*($C$5/2)*$C$6),IF(U142="Rollover",IF(D142="Buy",(Z142-E142)*($C$5/2)*$C$6,(E142-Z142)*($C$5/2)*$C$6),IF(U142="Stoploss 1 Hit",IF(K142="","",IF(D142="Buy",(K142-E142)*$C$5*$C$6,(E142-K142)*$C$5*$C$6)),IF(OR(U142="Gap Down Stoploss 1 Hit",U142="Gap Up Stoploss 1 Hit"),IF(Q142="","",IF(D142="Buy",(Q142-E142)*$C$5*$C$6,(E142-Q142)*$C$5*$C$6)),0))))))</x:f>
      </x:c>
      <x:c r="W142" s="326"/>
      <x:c r="X142" s="341" t="str">
        <x:f>IF(D142="","",IF(U142="Target Hit",IF(W142="Stoploss 2 Hit",IF(N142="","",IF(D142="Buy",(N142-E142)*($C$5/2)*$C$6,(E142-N142)*($C$5/2)*$C$6)),IF(U142="Target Hit",IF(W142="Rollover",IF(Z142="","",IF(D142="Buy",(Z142-E142)*($C$5/2)*$C$6,(E142-Z142)*($C$5/2)*$C$6)),IF(W142="Gap Down Stoploss 2 Hit",IF(T142="","",IF(D142="Buy",(T142-E142)*($C$5/2)*$C$6,(E142-T142)*($C$5/2)*$C$6)),IF(W142="Gap Up Stoploss 2 Hit",IF(T142="","",IF(D142="Buy",(T142-E142)*($C$5/2)*$C$6,(E142-T142)*($C$5/2)*$C$6)),0))),0))))</x:f>
      </x:c>
      <x:c r="Y142" s="343" t="str">
        <x:f t="shared" si="31"/>
      </x:c>
      <x:c r="Z142" s="327"/>
    </x:row>
    <x:row r="143">
      <x:c r="A143" s="35">
        <x:v>131</x:v>
      </x:c>
      <x:c r="B143" s="318"/>
      <x:c r="C143" s="319"/>
      <x:c r="D143" s="320"/>
      <x:c r="E143" s="321"/>
      <x:c r="F143" s="322"/>
      <x:c r="G143" s="321"/>
      <x:c r="H143" s="323"/>
      <x:c r="I143" s="337" t="str">
        <x:f t="shared" si="28"/>
      </x:c>
      <x:c r="J143" s="324"/>
      <x:c r="K143" s="336" t="str">
        <x:f t="shared" si="32"/>
      </x:c>
      <x:c r="L143" s="335" t="str">
        <x:f t="shared" si="33"/>
      </x:c>
      <x:c r="M143" s="324"/>
      <x:c r="N143" s="336" t="str">
        <x:f t="shared" si="34"/>
      </x:c>
      <x:c r="O143" s="337" t="str">
        <x:f t="shared" si="29"/>
      </x:c>
      <x:c r="P143" s="324"/>
      <x:c r="Q143" s="336" t="str">
        <x:f t="shared" si="35"/>
      </x:c>
      <x:c r="R143" s="339" t="str">
        <x:f t="shared" si="30"/>
      </x:c>
      <x:c r="S143" s="324"/>
      <x:c r="T143" s="336" t="str">
        <x:f t="shared" si="36"/>
      </x:c>
      <x:c r="U143" s="325"/>
      <x:c r="V143" s="340" t="str">
        <x:f>IF(OR(D143="",U143="",$C$5="",$C$6=""),"",IF(U143="Target Hit",IF(D143="Buy",(F143-E143)*($C$5/2)*$C$6,(E143-F143)*($C$5/2)*$C$6),IF(U143="Target Hit",IF(D143="Buy",(F143-E143)*($C$5/2)*$C$6,(E143-F143)*($C$5/2)*$C$6),IF(U143="Rollover",IF(D143="Buy",(Z143-E143)*($C$5/2)*$C$6,(E143-Z143)*($C$5/2)*$C$6),IF(U143="Stoploss 1 Hit",IF(K143="","",IF(D143="Buy",(K143-E143)*$C$5*$C$6,(E143-K143)*$C$5*$C$6)),IF(OR(U143="Gap Down Stoploss 1 Hit",U143="Gap Up Stoploss 1 Hit"),IF(Q143="","",IF(D143="Buy",(Q143-E143)*$C$5*$C$6,(E143-Q143)*$C$5*$C$6)),0))))))</x:f>
      </x:c>
      <x:c r="W143" s="326"/>
      <x:c r="X143" s="341" t="str">
        <x:f>IF(D143="","",IF(U143="Target Hit",IF(W143="Stoploss 2 Hit",IF(N143="","",IF(D143="Buy",(N143-E143)*($C$5/2)*$C$6,(E143-N143)*($C$5/2)*$C$6)),IF(U143="Target Hit",IF(W143="Rollover",IF(Z143="","",IF(D143="Buy",(Z143-E143)*($C$5/2)*$C$6,(E143-Z143)*($C$5/2)*$C$6)),IF(W143="Gap Down Stoploss 2 Hit",IF(T143="","",IF(D143="Buy",(T143-E143)*($C$5/2)*$C$6,(E143-T143)*($C$5/2)*$C$6)),IF(W143="Gap Up Stoploss 2 Hit",IF(T143="","",IF(D143="Buy",(T143-E143)*($C$5/2)*$C$6,(E143-T143)*($C$5/2)*$C$6)),0))),0))))</x:f>
      </x:c>
      <x:c r="Y143" s="343" t="str">
        <x:f t="shared" si="31"/>
      </x:c>
      <x:c r="Z143" s="327"/>
    </x:row>
    <x:row r="144">
      <x:c r="A144" s="35">
        <x:v>132</x:v>
      </x:c>
      <x:c r="B144" s="318"/>
      <x:c r="C144" s="319"/>
      <x:c r="D144" s="320"/>
      <x:c r="E144" s="321"/>
      <x:c r="F144" s="322"/>
      <x:c r="G144" s="321"/>
      <x:c r="H144" s="323"/>
      <x:c r="I144" s="337" t="str">
        <x:f t="shared" si="28"/>
      </x:c>
      <x:c r="J144" s="324"/>
      <x:c r="K144" s="336" t="str">
        <x:f t="shared" si="32"/>
      </x:c>
      <x:c r="L144" s="335" t="str">
        <x:f t="shared" si="33"/>
      </x:c>
      <x:c r="M144" s="324"/>
      <x:c r="N144" s="336" t="str">
        <x:f t="shared" si="34"/>
      </x:c>
      <x:c r="O144" s="337" t="str">
        <x:f t="shared" si="29"/>
      </x:c>
      <x:c r="P144" s="324"/>
      <x:c r="Q144" s="336" t="str">
        <x:f t="shared" si="35"/>
      </x:c>
      <x:c r="R144" s="339" t="str">
        <x:f t="shared" si="30"/>
      </x:c>
      <x:c r="S144" s="324"/>
      <x:c r="T144" s="336" t="str">
        <x:f t="shared" si="36"/>
      </x:c>
      <x:c r="U144" s="325"/>
      <x:c r="V144" s="340" t="str">
        <x:f>IF(OR(D144="",U144="",$C$5="",$C$6=""),"",IF(U144="Target Hit",IF(D144="Buy",(F144-E144)*($C$5/2)*$C$6,(E144-F144)*($C$5/2)*$C$6),IF(U144="Target Hit",IF(D144="Buy",(F144-E144)*($C$5/2)*$C$6,(E144-F144)*($C$5/2)*$C$6),IF(U144="Rollover",IF(D144="Buy",(Z144-E144)*($C$5/2)*$C$6,(E144-Z144)*($C$5/2)*$C$6),IF(U144="Stoploss 1 Hit",IF(K144="","",IF(D144="Buy",(K144-E144)*$C$5*$C$6,(E144-K144)*$C$5*$C$6)),IF(OR(U144="Gap Down Stoploss 1 Hit",U144="Gap Up Stoploss 1 Hit"),IF(Q144="","",IF(D144="Buy",(Q144-E144)*$C$5*$C$6,(E144-Q144)*$C$5*$C$6)),0))))))</x:f>
      </x:c>
      <x:c r="W144" s="326"/>
      <x:c r="X144" s="341" t="str">
        <x:f>IF(D144="","",IF(U144="Target Hit",IF(W144="Stoploss 2 Hit",IF(N144="","",IF(D144="Buy",(N144-E144)*($C$5/2)*$C$6,(E144-N144)*($C$5/2)*$C$6)),IF(U144="Target Hit",IF(W144="Rollover",IF(Z144="","",IF(D144="Buy",(Z144-E144)*($C$5/2)*$C$6,(E144-Z144)*($C$5/2)*$C$6)),IF(W144="Gap Down Stoploss 2 Hit",IF(T144="","",IF(D144="Buy",(T144-E144)*($C$5/2)*$C$6,(E144-T144)*($C$5/2)*$C$6)),IF(W144="Gap Up Stoploss 2 Hit",IF(T144="","",IF(D144="Buy",(T144-E144)*($C$5/2)*$C$6,(E144-T144)*($C$5/2)*$C$6)),0))),0))))</x:f>
      </x:c>
      <x:c r="Y144" s="343" t="str">
        <x:f t="shared" si="31"/>
      </x:c>
      <x:c r="Z144" s="327"/>
    </x:row>
    <x:row r="145">
      <x:c r="A145" s="35">
        <x:v>133</x:v>
      </x:c>
      <x:c r="B145" s="318"/>
      <x:c r="C145" s="319"/>
      <x:c r="D145" s="320"/>
      <x:c r="E145" s="321"/>
      <x:c r="F145" s="322"/>
      <x:c r="G145" s="321"/>
      <x:c r="H145" s="323"/>
      <x:c r="I145" s="337" t="str">
        <x:f t="shared" si="28"/>
      </x:c>
      <x:c r="J145" s="324"/>
      <x:c r="K145" s="336" t="str">
        <x:f t="shared" si="32"/>
      </x:c>
      <x:c r="L145" s="335" t="str">
        <x:f t="shared" si="33"/>
      </x:c>
      <x:c r="M145" s="324"/>
      <x:c r="N145" s="336" t="str">
        <x:f t="shared" si="34"/>
      </x:c>
      <x:c r="O145" s="337" t="str">
        <x:f t="shared" si="29"/>
      </x:c>
      <x:c r="P145" s="324"/>
      <x:c r="Q145" s="336" t="str">
        <x:f t="shared" si="35"/>
      </x:c>
      <x:c r="R145" s="339" t="str">
        <x:f t="shared" si="30"/>
      </x:c>
      <x:c r="S145" s="324"/>
      <x:c r="T145" s="336" t="str">
        <x:f t="shared" si="36"/>
      </x:c>
      <x:c r="U145" s="325"/>
      <x:c r="V145" s="340" t="str">
        <x:f>IF(OR(D145="",U145="",$C$5="",$C$6=""),"",IF(U145="Target Hit",IF(D145="Buy",(F145-E145)*($C$5/2)*$C$6,(E145-F145)*($C$5/2)*$C$6),IF(U145="Target Hit",IF(D145="Buy",(F145-E145)*($C$5/2)*$C$6,(E145-F145)*($C$5/2)*$C$6),IF(U145="Rollover",IF(D145="Buy",(Z145-E145)*($C$5/2)*$C$6,(E145-Z145)*($C$5/2)*$C$6),IF(U145="Stoploss 1 Hit",IF(K145="","",IF(D145="Buy",(K145-E145)*$C$5*$C$6,(E145-K145)*$C$5*$C$6)),IF(OR(U145="Gap Down Stoploss 1 Hit",U145="Gap Up Stoploss 1 Hit"),IF(Q145="","",IF(D145="Buy",(Q145-E145)*$C$5*$C$6,(E145-Q145)*$C$5*$C$6)),0))))))</x:f>
      </x:c>
      <x:c r="W145" s="326"/>
      <x:c r="X145" s="341" t="str">
        <x:f>IF(D145="","",IF(U145="Target Hit",IF(W145="Stoploss 2 Hit",IF(N145="","",IF(D145="Buy",(N145-E145)*($C$5/2)*$C$6,(E145-N145)*($C$5/2)*$C$6)),IF(U145="Target Hit",IF(W145="Rollover",IF(Z145="","",IF(D145="Buy",(Z145-E145)*($C$5/2)*$C$6,(E145-Z145)*($C$5/2)*$C$6)),IF(W145="Gap Down Stoploss 2 Hit",IF(T145="","",IF(D145="Buy",(T145-E145)*($C$5/2)*$C$6,(E145-T145)*($C$5/2)*$C$6)),IF(W145="Gap Up Stoploss 2 Hit",IF(T145="","",IF(D145="Buy",(T145-E145)*($C$5/2)*$C$6,(E145-T145)*($C$5/2)*$C$6)),0))),0))))</x:f>
      </x:c>
      <x:c r="Y145" s="343" t="str">
        <x:f t="shared" si="31"/>
      </x:c>
      <x:c r="Z145" s="327"/>
    </x:row>
    <x:row r="146">
      <x:c r="A146" s="35">
        <x:v>134</x:v>
      </x:c>
      <x:c r="B146" s="318"/>
      <x:c r="C146" s="319"/>
      <x:c r="D146" s="320"/>
      <x:c r="E146" s="321"/>
      <x:c r="F146" s="322"/>
      <x:c r="G146" s="321"/>
      <x:c r="H146" s="323"/>
      <x:c r="I146" s="337" t="str">
        <x:f t="shared" si="28"/>
      </x:c>
      <x:c r="J146" s="324"/>
      <x:c r="K146" s="336" t="str">
        <x:f t="shared" si="32"/>
      </x:c>
      <x:c r="L146" s="335" t="str">
        <x:f t="shared" si="33"/>
      </x:c>
      <x:c r="M146" s="324"/>
      <x:c r="N146" s="336" t="str">
        <x:f t="shared" si="34"/>
      </x:c>
      <x:c r="O146" s="337" t="str">
        <x:f t="shared" si="29"/>
      </x:c>
      <x:c r="P146" s="324"/>
      <x:c r="Q146" s="336" t="str">
        <x:f t="shared" si="35"/>
      </x:c>
      <x:c r="R146" s="339" t="str">
        <x:f t="shared" si="30"/>
      </x:c>
      <x:c r="S146" s="324"/>
      <x:c r="T146" s="336" t="str">
        <x:f t="shared" si="36"/>
      </x:c>
      <x:c r="U146" s="325"/>
      <x:c r="V146" s="340" t="str">
        <x:f>IF(OR(D146="",U146="",$C$5="",$C$6=""),"",IF(U146="Target Hit",IF(D146="Buy",(F146-E146)*($C$5/2)*$C$6,(E146-F146)*($C$5/2)*$C$6),IF(U146="Target Hit",IF(D146="Buy",(F146-E146)*($C$5/2)*$C$6,(E146-F146)*($C$5/2)*$C$6),IF(U146="Rollover",IF(D146="Buy",(Z146-E146)*($C$5/2)*$C$6,(E146-Z146)*($C$5/2)*$C$6),IF(U146="Stoploss 1 Hit",IF(K146="","",IF(D146="Buy",(K146-E146)*$C$5*$C$6,(E146-K146)*$C$5*$C$6)),IF(OR(U146="Gap Down Stoploss 1 Hit",U146="Gap Up Stoploss 1 Hit"),IF(Q146="","",IF(D146="Buy",(Q146-E146)*$C$5*$C$6,(E146-Q146)*$C$5*$C$6)),0))))))</x:f>
      </x:c>
      <x:c r="W146" s="326"/>
      <x:c r="X146" s="341" t="str">
        <x:f>IF(D146="","",IF(U146="Target Hit",IF(W146="Stoploss 2 Hit",IF(N146="","",IF(D146="Buy",(N146-E146)*($C$5/2)*$C$6,(E146-N146)*($C$5/2)*$C$6)),IF(U146="Target Hit",IF(W146="Rollover",IF(Z146="","",IF(D146="Buy",(Z146-E146)*($C$5/2)*$C$6,(E146-Z146)*($C$5/2)*$C$6)),IF(W146="Gap Down Stoploss 2 Hit",IF(T146="","",IF(D146="Buy",(T146-E146)*($C$5/2)*$C$6,(E146-T146)*($C$5/2)*$C$6)),IF(W146="Gap Up Stoploss 2 Hit",IF(T146="","",IF(D146="Buy",(T146-E146)*($C$5/2)*$C$6,(E146-T146)*($C$5/2)*$C$6)),0))),0))))</x:f>
      </x:c>
      <x:c r="Y146" s="343" t="str">
        <x:f t="shared" si="31"/>
      </x:c>
      <x:c r="Z146" s="327"/>
    </x:row>
    <x:row r="147">
      <x:c r="A147" s="35">
        <x:v>135</x:v>
      </x:c>
      <x:c r="B147" s="318"/>
      <x:c r="C147" s="319"/>
      <x:c r="D147" s="320"/>
      <x:c r="E147" s="321"/>
      <x:c r="F147" s="322"/>
      <x:c r="G147" s="321"/>
      <x:c r="H147" s="323"/>
      <x:c r="I147" s="337" t="str">
        <x:f t="shared" si="28"/>
      </x:c>
      <x:c r="J147" s="324"/>
      <x:c r="K147" s="336" t="str">
        <x:f t="shared" si="32"/>
      </x:c>
      <x:c r="L147" s="335" t="str">
        <x:f t="shared" si="33"/>
      </x:c>
      <x:c r="M147" s="324"/>
      <x:c r="N147" s="336" t="str">
        <x:f t="shared" si="34"/>
      </x:c>
      <x:c r="O147" s="337" t="str">
        <x:f t="shared" si="29"/>
      </x:c>
      <x:c r="P147" s="324"/>
      <x:c r="Q147" s="336" t="str">
        <x:f t="shared" si="35"/>
      </x:c>
      <x:c r="R147" s="339" t="str">
        <x:f t="shared" si="30"/>
      </x:c>
      <x:c r="S147" s="324"/>
      <x:c r="T147" s="336" t="str">
        <x:f t="shared" si="36"/>
      </x:c>
      <x:c r="U147" s="325"/>
      <x:c r="V147" s="340" t="str">
        <x:f>IF(OR(D147="",U147="",$C$5="",$C$6=""),"",IF(U147="Target Hit",IF(D147="Buy",(F147-E147)*($C$5/2)*$C$6,(E147-F147)*($C$5/2)*$C$6),IF(U147="Target Hit",IF(D147="Buy",(F147-E147)*($C$5/2)*$C$6,(E147-F147)*($C$5/2)*$C$6),IF(U147="Rollover",IF(D147="Buy",(Z147-E147)*($C$5/2)*$C$6,(E147-Z147)*($C$5/2)*$C$6),IF(U147="Stoploss 1 Hit",IF(K147="","",IF(D147="Buy",(K147-E147)*$C$5*$C$6,(E147-K147)*$C$5*$C$6)),IF(OR(U147="Gap Down Stoploss 1 Hit",U147="Gap Up Stoploss 1 Hit"),IF(Q147="","",IF(D147="Buy",(Q147-E147)*$C$5*$C$6,(E147-Q147)*$C$5*$C$6)),0))))))</x:f>
      </x:c>
      <x:c r="W147" s="326"/>
      <x:c r="X147" s="341" t="str">
        <x:f>IF(D147="","",IF(U147="Target Hit",IF(W147="Stoploss 2 Hit",IF(N147="","",IF(D147="Buy",(N147-E147)*($C$5/2)*$C$6,(E147-N147)*($C$5/2)*$C$6)),IF(U147="Target Hit",IF(W147="Rollover",IF(Z147="","",IF(D147="Buy",(Z147-E147)*($C$5/2)*$C$6,(E147-Z147)*($C$5/2)*$C$6)),IF(W147="Gap Down Stoploss 2 Hit",IF(T147="","",IF(D147="Buy",(T147-E147)*($C$5/2)*$C$6,(E147-T147)*($C$5/2)*$C$6)),IF(W147="Gap Up Stoploss 2 Hit",IF(T147="","",IF(D147="Buy",(T147-E147)*($C$5/2)*$C$6,(E147-T147)*($C$5/2)*$C$6)),0))),0))))</x:f>
      </x:c>
      <x:c r="Y147" s="343" t="str">
        <x:f t="shared" si="31"/>
      </x:c>
      <x:c r="Z147" s="327"/>
    </x:row>
    <x:row r="148">
      <x:c r="A148" s="35">
        <x:v>136</x:v>
      </x:c>
      <x:c r="B148" s="318"/>
      <x:c r="C148" s="319"/>
      <x:c r="D148" s="320"/>
      <x:c r="E148" s="321"/>
      <x:c r="F148" s="322"/>
      <x:c r="G148" s="321"/>
      <x:c r="H148" s="323"/>
      <x:c r="I148" s="337" t="str">
        <x:f t="shared" si="28"/>
      </x:c>
      <x:c r="J148" s="324"/>
      <x:c r="K148" s="336" t="str">
        <x:f t="shared" si="32"/>
      </x:c>
      <x:c r="L148" s="335" t="str">
        <x:f t="shared" si="33"/>
      </x:c>
      <x:c r="M148" s="324"/>
      <x:c r="N148" s="336" t="str">
        <x:f t="shared" si="34"/>
      </x:c>
      <x:c r="O148" s="337" t="str">
        <x:f t="shared" si="29"/>
      </x:c>
      <x:c r="P148" s="324"/>
      <x:c r="Q148" s="336" t="str">
        <x:f t="shared" si="35"/>
      </x:c>
      <x:c r="R148" s="339" t="str">
        <x:f t="shared" si="30"/>
      </x:c>
      <x:c r="S148" s="324"/>
      <x:c r="T148" s="336" t="str">
        <x:f t="shared" si="36"/>
      </x:c>
      <x:c r="U148" s="325"/>
      <x:c r="V148" s="340" t="str">
        <x:f>IF(OR(D148="",U148="",$C$5="",$C$6=""),"",IF(U148="Target Hit",IF(D148="Buy",(F148-E148)*($C$5/2)*$C$6,(E148-F148)*($C$5/2)*$C$6),IF(U148="Target Hit",IF(D148="Buy",(F148-E148)*($C$5/2)*$C$6,(E148-F148)*($C$5/2)*$C$6),IF(U148="Rollover",IF(D148="Buy",(Z148-E148)*($C$5/2)*$C$6,(E148-Z148)*($C$5/2)*$C$6),IF(U148="Stoploss 1 Hit",IF(K148="","",IF(D148="Buy",(K148-E148)*$C$5*$C$6,(E148-K148)*$C$5*$C$6)),IF(OR(U148="Gap Down Stoploss 1 Hit",U148="Gap Up Stoploss 1 Hit"),IF(Q148="","",IF(D148="Buy",(Q148-E148)*$C$5*$C$6,(E148-Q148)*$C$5*$C$6)),0))))))</x:f>
      </x:c>
      <x:c r="W148" s="326"/>
      <x:c r="X148" s="341" t="str">
        <x:f>IF(D148="","",IF(U148="Target Hit",IF(W148="Stoploss 2 Hit",IF(N148="","",IF(D148="Buy",(N148-E148)*($C$5/2)*$C$6,(E148-N148)*($C$5/2)*$C$6)),IF(U148="Target Hit",IF(W148="Rollover",IF(Z148="","",IF(D148="Buy",(Z148-E148)*($C$5/2)*$C$6,(E148-Z148)*($C$5/2)*$C$6)),IF(W148="Gap Down Stoploss 2 Hit",IF(T148="","",IF(D148="Buy",(T148-E148)*($C$5/2)*$C$6,(E148-T148)*($C$5/2)*$C$6)),IF(W148="Gap Up Stoploss 2 Hit",IF(T148="","",IF(D148="Buy",(T148-E148)*($C$5/2)*$C$6,(E148-T148)*($C$5/2)*$C$6)),0))),0))))</x:f>
      </x:c>
      <x:c r="Y148" s="343" t="str">
        <x:f t="shared" si="31"/>
      </x:c>
      <x:c r="Z148" s="327"/>
    </x:row>
    <x:row r="149">
      <x:c r="A149" s="35">
        <x:v>137</x:v>
      </x:c>
      <x:c r="B149" s="318"/>
      <x:c r="C149" s="319"/>
      <x:c r="D149" s="320"/>
      <x:c r="E149" s="321"/>
      <x:c r="F149" s="322"/>
      <x:c r="G149" s="321"/>
      <x:c r="H149" s="323"/>
      <x:c r="I149" s="337" t="str">
        <x:f t="shared" si="28"/>
      </x:c>
      <x:c r="J149" s="324"/>
      <x:c r="K149" s="336" t="str">
        <x:f t="shared" si="32"/>
      </x:c>
      <x:c r="L149" s="335" t="str">
        <x:f t="shared" si="33"/>
      </x:c>
      <x:c r="M149" s="324"/>
      <x:c r="N149" s="336" t="str">
        <x:f t="shared" si="34"/>
      </x:c>
      <x:c r="O149" s="337" t="str">
        <x:f t="shared" si="29"/>
      </x:c>
      <x:c r="P149" s="324"/>
      <x:c r="Q149" s="336" t="str">
        <x:f t="shared" si="35"/>
      </x:c>
      <x:c r="R149" s="339" t="str">
        <x:f t="shared" si="30"/>
      </x:c>
      <x:c r="S149" s="324"/>
      <x:c r="T149" s="336" t="str">
        <x:f t="shared" si="36"/>
      </x:c>
      <x:c r="U149" s="325"/>
      <x:c r="V149" s="340" t="str">
        <x:f>IF(OR(D149="",U149="",$C$5="",$C$6=""),"",IF(U149="Target Hit",IF(D149="Buy",(F149-E149)*($C$5/2)*$C$6,(E149-F149)*($C$5/2)*$C$6),IF(U149="Target Hit",IF(D149="Buy",(F149-E149)*($C$5/2)*$C$6,(E149-F149)*($C$5/2)*$C$6),IF(U149="Rollover",IF(D149="Buy",(Z149-E149)*($C$5/2)*$C$6,(E149-Z149)*($C$5/2)*$C$6),IF(U149="Stoploss 1 Hit",IF(K149="","",IF(D149="Buy",(K149-E149)*$C$5*$C$6,(E149-K149)*$C$5*$C$6)),IF(OR(U149="Gap Down Stoploss 1 Hit",U149="Gap Up Stoploss 1 Hit"),IF(Q149="","",IF(D149="Buy",(Q149-E149)*$C$5*$C$6,(E149-Q149)*$C$5*$C$6)),0))))))</x:f>
      </x:c>
      <x:c r="W149" s="326"/>
      <x:c r="X149" s="341" t="str">
        <x:f>IF(D149="","",IF(U149="Target Hit",IF(W149="Stoploss 2 Hit",IF(N149="","",IF(D149="Buy",(N149-E149)*($C$5/2)*$C$6,(E149-N149)*($C$5/2)*$C$6)),IF(U149="Target Hit",IF(W149="Rollover",IF(Z149="","",IF(D149="Buy",(Z149-E149)*($C$5/2)*$C$6,(E149-Z149)*($C$5/2)*$C$6)),IF(W149="Gap Down Stoploss 2 Hit",IF(T149="","",IF(D149="Buy",(T149-E149)*($C$5/2)*$C$6,(E149-T149)*($C$5/2)*$C$6)),IF(W149="Gap Up Stoploss 2 Hit",IF(T149="","",IF(D149="Buy",(T149-E149)*($C$5/2)*$C$6,(E149-T149)*($C$5/2)*$C$6)),0))),0))))</x:f>
      </x:c>
      <x:c r="Y149" s="343" t="str">
        <x:f t="shared" si="31"/>
      </x:c>
      <x:c r="Z149" s="327"/>
    </x:row>
    <x:row r="150">
      <x:c r="A150" s="35">
        <x:v>138</x:v>
      </x:c>
      <x:c r="B150" s="318"/>
      <x:c r="C150" s="319"/>
      <x:c r="D150" s="320"/>
      <x:c r="E150" s="321"/>
      <x:c r="F150" s="322"/>
      <x:c r="G150" s="321"/>
      <x:c r="H150" s="323"/>
      <x:c r="I150" s="337" t="str">
        <x:f t="shared" si="28"/>
      </x:c>
      <x:c r="J150" s="324"/>
      <x:c r="K150" s="336" t="str">
        <x:f t="shared" si="32"/>
      </x:c>
      <x:c r="L150" s="335" t="str">
        <x:f t="shared" si="33"/>
      </x:c>
      <x:c r="M150" s="324"/>
      <x:c r="N150" s="336" t="str">
        <x:f t="shared" si="34"/>
      </x:c>
      <x:c r="O150" s="337" t="str">
        <x:f t="shared" si="29"/>
      </x:c>
      <x:c r="P150" s="324"/>
      <x:c r="Q150" s="336" t="str">
        <x:f t="shared" si="35"/>
      </x:c>
      <x:c r="R150" s="339" t="str">
        <x:f t="shared" si="30"/>
      </x:c>
      <x:c r="S150" s="324"/>
      <x:c r="T150" s="336" t="str">
        <x:f t="shared" si="36"/>
      </x:c>
      <x:c r="U150" s="325"/>
      <x:c r="V150" s="340" t="str">
        <x:f>IF(OR(D150="",U150="",$C$5="",$C$6=""),"",IF(U150="Target Hit",IF(D150="Buy",(F150-E150)*($C$5/2)*$C$6,(E150-F150)*($C$5/2)*$C$6),IF(U150="Target Hit",IF(D150="Buy",(F150-E150)*($C$5/2)*$C$6,(E150-F150)*($C$5/2)*$C$6),IF(U150="Rollover",IF(D150="Buy",(Z150-E150)*($C$5/2)*$C$6,(E150-Z150)*($C$5/2)*$C$6),IF(U150="Stoploss 1 Hit",IF(K150="","",IF(D150="Buy",(K150-E150)*$C$5*$C$6,(E150-K150)*$C$5*$C$6)),IF(OR(U150="Gap Down Stoploss 1 Hit",U150="Gap Up Stoploss 1 Hit"),IF(Q150="","",IF(D150="Buy",(Q150-E150)*$C$5*$C$6,(E150-Q150)*$C$5*$C$6)),0))))))</x:f>
      </x:c>
      <x:c r="W150" s="326"/>
      <x:c r="X150" s="341" t="str">
        <x:f>IF(D150="","",IF(U150="Target Hit",IF(W150="Stoploss 2 Hit",IF(N150="","",IF(D150="Buy",(N150-E150)*($C$5/2)*$C$6,(E150-N150)*($C$5/2)*$C$6)),IF(U150="Target Hit",IF(W150="Rollover",IF(Z150="","",IF(D150="Buy",(Z150-E150)*($C$5/2)*$C$6,(E150-Z150)*($C$5/2)*$C$6)),IF(W150="Gap Down Stoploss 2 Hit",IF(T150="","",IF(D150="Buy",(T150-E150)*($C$5/2)*$C$6,(E150-T150)*($C$5/2)*$C$6)),IF(W150="Gap Up Stoploss 2 Hit",IF(T150="","",IF(D150="Buy",(T150-E150)*($C$5/2)*$C$6,(E150-T150)*($C$5/2)*$C$6)),0))),0))))</x:f>
      </x:c>
      <x:c r="Y150" s="343" t="str">
        <x:f t="shared" si="31"/>
      </x:c>
      <x:c r="Z150" s="327"/>
    </x:row>
    <x:row r="151">
      <x:c r="A151" s="35">
        <x:v>139</x:v>
      </x:c>
      <x:c r="B151" s="318"/>
      <x:c r="C151" s="319"/>
      <x:c r="D151" s="320"/>
      <x:c r="E151" s="321"/>
      <x:c r="F151" s="322"/>
      <x:c r="G151" s="321"/>
      <x:c r="H151" s="323"/>
      <x:c r="I151" s="337" t="str">
        <x:f t="shared" si="28"/>
      </x:c>
      <x:c r="J151" s="324"/>
      <x:c r="K151" s="336" t="str">
        <x:f t="shared" si="32"/>
      </x:c>
      <x:c r="L151" s="335" t="str">
        <x:f t="shared" si="33"/>
      </x:c>
      <x:c r="M151" s="324"/>
      <x:c r="N151" s="336" t="str">
        <x:f t="shared" si="34"/>
      </x:c>
      <x:c r="O151" s="337" t="str">
        <x:f t="shared" si="29"/>
      </x:c>
      <x:c r="P151" s="324"/>
      <x:c r="Q151" s="336" t="str">
        <x:f t="shared" si="35"/>
      </x:c>
      <x:c r="R151" s="339" t="str">
        <x:f t="shared" si="30"/>
      </x:c>
      <x:c r="S151" s="324"/>
      <x:c r="T151" s="336" t="str">
        <x:f t="shared" si="36"/>
      </x:c>
      <x:c r="U151" s="325"/>
      <x:c r="V151" s="340" t="str">
        <x:f>IF(OR(D151="",U151="",$C$5="",$C$6=""),"",IF(U151="Target Hit",IF(D151="Buy",(F151-E151)*($C$5/2)*$C$6,(E151-F151)*($C$5/2)*$C$6),IF(U151="Target Hit",IF(D151="Buy",(F151-E151)*($C$5/2)*$C$6,(E151-F151)*($C$5/2)*$C$6),IF(U151="Rollover",IF(D151="Buy",(Z151-E151)*($C$5/2)*$C$6,(E151-Z151)*($C$5/2)*$C$6),IF(U151="Stoploss 1 Hit",IF(K151="","",IF(D151="Buy",(K151-E151)*$C$5*$C$6,(E151-K151)*$C$5*$C$6)),IF(OR(U151="Gap Down Stoploss 1 Hit",U151="Gap Up Stoploss 1 Hit"),IF(Q151="","",IF(D151="Buy",(Q151-E151)*$C$5*$C$6,(E151-Q151)*$C$5*$C$6)),0))))))</x:f>
      </x:c>
      <x:c r="W151" s="326"/>
      <x:c r="X151" s="341" t="str">
        <x:f>IF(D151="","",IF(U151="Target Hit",IF(W151="Stoploss 2 Hit",IF(N151="","",IF(D151="Buy",(N151-E151)*($C$5/2)*$C$6,(E151-N151)*($C$5/2)*$C$6)),IF(U151="Target Hit",IF(W151="Rollover",IF(Z151="","",IF(D151="Buy",(Z151-E151)*($C$5/2)*$C$6,(E151-Z151)*($C$5/2)*$C$6)),IF(W151="Gap Down Stoploss 2 Hit",IF(T151="","",IF(D151="Buy",(T151-E151)*($C$5/2)*$C$6,(E151-T151)*($C$5/2)*$C$6)),IF(W151="Gap Up Stoploss 2 Hit",IF(T151="","",IF(D151="Buy",(T151-E151)*($C$5/2)*$C$6,(E151-T151)*($C$5/2)*$C$6)),0))),0))))</x:f>
      </x:c>
      <x:c r="Y151" s="343" t="str">
        <x:f t="shared" si="31"/>
      </x:c>
      <x:c r="Z151" s="327"/>
    </x:row>
    <x:row r="152">
      <x:c r="A152" s="35">
        <x:v>140</x:v>
      </x:c>
      <x:c r="B152" s="318"/>
      <x:c r="C152" s="319"/>
      <x:c r="D152" s="320"/>
      <x:c r="E152" s="321"/>
      <x:c r="F152" s="322"/>
      <x:c r="G152" s="321"/>
      <x:c r="H152" s="323"/>
      <x:c r="I152" s="337" t="str">
        <x:f t="shared" si="28"/>
      </x:c>
      <x:c r="J152" s="324"/>
      <x:c r="K152" s="336" t="str">
        <x:f t="shared" si="32"/>
      </x:c>
      <x:c r="L152" s="335" t="str">
        <x:f t="shared" si="33"/>
      </x:c>
      <x:c r="M152" s="324"/>
      <x:c r="N152" s="336" t="str">
        <x:f t="shared" si="34"/>
      </x:c>
      <x:c r="O152" s="337" t="str">
        <x:f t="shared" si="29"/>
      </x:c>
      <x:c r="P152" s="324"/>
      <x:c r="Q152" s="336" t="str">
        <x:f t="shared" si="35"/>
      </x:c>
      <x:c r="R152" s="339" t="str">
        <x:f t="shared" si="30"/>
      </x:c>
      <x:c r="S152" s="324"/>
      <x:c r="T152" s="336" t="str">
        <x:f t="shared" si="36"/>
      </x:c>
      <x:c r="U152" s="325"/>
      <x:c r="V152" s="340" t="str">
        <x:f>IF(OR(D152="",U152="",$C$5="",$C$6=""),"",IF(U152="Target Hit",IF(D152="Buy",(F152-E152)*($C$5/2)*$C$6,(E152-F152)*($C$5/2)*$C$6),IF(U152="Target Hit",IF(D152="Buy",(F152-E152)*($C$5/2)*$C$6,(E152-F152)*($C$5/2)*$C$6),IF(U152="Rollover",IF(D152="Buy",(Z152-E152)*($C$5/2)*$C$6,(E152-Z152)*($C$5/2)*$C$6),IF(U152="Stoploss 1 Hit",IF(K152="","",IF(D152="Buy",(K152-E152)*$C$5*$C$6,(E152-K152)*$C$5*$C$6)),IF(OR(U152="Gap Down Stoploss 1 Hit",U152="Gap Up Stoploss 1 Hit"),IF(Q152="","",IF(D152="Buy",(Q152-E152)*$C$5*$C$6,(E152-Q152)*$C$5*$C$6)),0))))))</x:f>
      </x:c>
      <x:c r="W152" s="326"/>
      <x:c r="X152" s="341" t="str">
        <x:f>IF(D152="","",IF(U152="Target Hit",IF(W152="Stoploss 2 Hit",IF(N152="","",IF(D152="Buy",(N152-E152)*($C$5/2)*$C$6,(E152-N152)*($C$5/2)*$C$6)),IF(U152="Target Hit",IF(W152="Rollover",IF(Z152="","",IF(D152="Buy",(Z152-E152)*($C$5/2)*$C$6,(E152-Z152)*($C$5/2)*$C$6)),IF(W152="Gap Down Stoploss 2 Hit",IF(T152="","",IF(D152="Buy",(T152-E152)*($C$5/2)*$C$6,(E152-T152)*($C$5/2)*$C$6)),IF(W152="Gap Up Stoploss 2 Hit",IF(T152="","",IF(D152="Buy",(T152-E152)*($C$5/2)*$C$6,(E152-T152)*($C$5/2)*$C$6)),0))),0))))</x:f>
      </x:c>
      <x:c r="Y152" s="343" t="str">
        <x:f t="shared" si="31"/>
      </x:c>
      <x:c r="Z152" s="327"/>
    </x:row>
    <x:row r="153">
      <x:c r="A153" s="35">
        <x:v>141</x:v>
      </x:c>
      <x:c r="B153" s="318"/>
      <x:c r="C153" s="319"/>
      <x:c r="D153" s="320"/>
      <x:c r="E153" s="321"/>
      <x:c r="F153" s="322"/>
      <x:c r="G153" s="321"/>
      <x:c r="H153" s="323"/>
      <x:c r="I153" s="337" t="str">
        <x:f t="shared" si="28"/>
      </x:c>
      <x:c r="J153" s="324"/>
      <x:c r="K153" s="336" t="str">
        <x:f t="shared" si="32"/>
      </x:c>
      <x:c r="L153" s="335" t="str">
        <x:f t="shared" si="33"/>
      </x:c>
      <x:c r="M153" s="324"/>
      <x:c r="N153" s="336" t="str">
        <x:f t="shared" si="34"/>
      </x:c>
      <x:c r="O153" s="337" t="str">
        <x:f t="shared" si="29"/>
      </x:c>
      <x:c r="P153" s="324"/>
      <x:c r="Q153" s="336" t="str">
        <x:f t="shared" si="35"/>
      </x:c>
      <x:c r="R153" s="339" t="str">
        <x:f t="shared" si="30"/>
      </x:c>
      <x:c r="S153" s="324"/>
      <x:c r="T153" s="336" t="str">
        <x:f t="shared" si="36"/>
      </x:c>
      <x:c r="U153" s="325"/>
      <x:c r="V153" s="340" t="str">
        <x:f>IF(OR(D153="",U153="",$C$5="",$C$6=""),"",IF(U153="Target Hit",IF(D153="Buy",(F153-E153)*($C$5/2)*$C$6,(E153-F153)*($C$5/2)*$C$6),IF(U153="Target Hit",IF(D153="Buy",(F153-E153)*($C$5/2)*$C$6,(E153-F153)*($C$5/2)*$C$6),IF(U153="Rollover",IF(D153="Buy",(Z153-E153)*($C$5/2)*$C$6,(E153-Z153)*($C$5/2)*$C$6),IF(U153="Stoploss 1 Hit",IF(K153="","",IF(D153="Buy",(K153-E153)*$C$5*$C$6,(E153-K153)*$C$5*$C$6)),IF(OR(U153="Gap Down Stoploss 1 Hit",U153="Gap Up Stoploss 1 Hit"),IF(Q153="","",IF(D153="Buy",(Q153-E153)*$C$5*$C$6,(E153-Q153)*$C$5*$C$6)),0))))))</x:f>
      </x:c>
      <x:c r="W153" s="326"/>
      <x:c r="X153" s="341" t="str">
        <x:f>IF(D153="","",IF(U153="Target Hit",IF(W153="Stoploss 2 Hit",IF(N153="","",IF(D153="Buy",(N153-E153)*($C$5/2)*$C$6,(E153-N153)*($C$5/2)*$C$6)),IF(U153="Target Hit",IF(W153="Rollover",IF(Z153="","",IF(D153="Buy",(Z153-E153)*($C$5/2)*$C$6,(E153-Z153)*($C$5/2)*$C$6)),IF(W153="Gap Down Stoploss 2 Hit",IF(T153="","",IF(D153="Buy",(T153-E153)*($C$5/2)*$C$6,(E153-T153)*($C$5/2)*$C$6)),IF(W153="Gap Up Stoploss 2 Hit",IF(T153="","",IF(D153="Buy",(T153-E153)*($C$5/2)*$C$6,(E153-T153)*($C$5/2)*$C$6)),0))),0))))</x:f>
      </x:c>
      <x:c r="Y153" s="343" t="str">
        <x:f t="shared" si="31"/>
      </x:c>
      <x:c r="Z153" s="327"/>
    </x:row>
    <x:row r="154">
      <x:c r="A154" s="35">
        <x:v>142</x:v>
      </x:c>
      <x:c r="B154" s="318"/>
      <x:c r="C154" s="319"/>
      <x:c r="D154" s="320"/>
      <x:c r="E154" s="321"/>
      <x:c r="F154" s="322"/>
      <x:c r="G154" s="321"/>
      <x:c r="H154" s="323"/>
      <x:c r="I154" s="337" t="str">
        <x:f t="shared" si="28"/>
      </x:c>
      <x:c r="J154" s="324"/>
      <x:c r="K154" s="336" t="str">
        <x:f t="shared" si="32"/>
      </x:c>
      <x:c r="L154" s="335" t="str">
        <x:f t="shared" si="33"/>
      </x:c>
      <x:c r="M154" s="324"/>
      <x:c r="N154" s="336" t="str">
        <x:f t="shared" si="34"/>
      </x:c>
      <x:c r="O154" s="337" t="str">
        <x:f t="shared" si="29"/>
      </x:c>
      <x:c r="P154" s="324"/>
      <x:c r="Q154" s="336" t="str">
        <x:f t="shared" si="35"/>
      </x:c>
      <x:c r="R154" s="339" t="str">
        <x:f t="shared" si="30"/>
      </x:c>
      <x:c r="S154" s="324"/>
      <x:c r="T154" s="336" t="str">
        <x:f t="shared" si="36"/>
      </x:c>
      <x:c r="U154" s="325"/>
      <x:c r="V154" s="340" t="str">
        <x:f>IF(OR(D154="",U154="",$C$5="",$C$6=""),"",IF(U154="Target Hit",IF(D154="Buy",(F154-E154)*($C$5/2)*$C$6,(E154-F154)*($C$5/2)*$C$6),IF(U154="Target Hit",IF(D154="Buy",(F154-E154)*($C$5/2)*$C$6,(E154-F154)*($C$5/2)*$C$6),IF(U154="Rollover",IF(D154="Buy",(Z154-E154)*($C$5/2)*$C$6,(E154-Z154)*($C$5/2)*$C$6),IF(U154="Stoploss 1 Hit",IF(K154="","",IF(D154="Buy",(K154-E154)*$C$5*$C$6,(E154-K154)*$C$5*$C$6)),IF(OR(U154="Gap Down Stoploss 1 Hit",U154="Gap Up Stoploss 1 Hit"),IF(Q154="","",IF(D154="Buy",(Q154-E154)*$C$5*$C$6,(E154-Q154)*$C$5*$C$6)),0))))))</x:f>
      </x:c>
      <x:c r="W154" s="326"/>
      <x:c r="X154" s="341" t="str">
        <x:f>IF(D154="","",IF(U154="Target Hit",IF(W154="Stoploss 2 Hit",IF(N154="","",IF(D154="Buy",(N154-E154)*($C$5/2)*$C$6,(E154-N154)*($C$5/2)*$C$6)),IF(U154="Target Hit",IF(W154="Rollover",IF(Z154="","",IF(D154="Buy",(Z154-E154)*($C$5/2)*$C$6,(E154-Z154)*($C$5/2)*$C$6)),IF(W154="Gap Down Stoploss 2 Hit",IF(T154="","",IF(D154="Buy",(T154-E154)*($C$5/2)*$C$6,(E154-T154)*($C$5/2)*$C$6)),IF(W154="Gap Up Stoploss 2 Hit",IF(T154="","",IF(D154="Buy",(T154-E154)*($C$5/2)*$C$6,(E154-T154)*($C$5/2)*$C$6)),0))),0))))</x:f>
      </x:c>
      <x:c r="Y154" s="343" t="str">
        <x:f t="shared" si="31"/>
      </x:c>
      <x:c r="Z154" s="327"/>
    </x:row>
    <x:row r="155">
      <x:c r="A155" s="35">
        <x:v>143</x:v>
      </x:c>
      <x:c r="B155" s="318"/>
      <x:c r="C155" s="319"/>
      <x:c r="D155" s="320"/>
      <x:c r="E155" s="321"/>
      <x:c r="F155" s="322"/>
      <x:c r="G155" s="321"/>
      <x:c r="H155" s="323"/>
      <x:c r="I155" s="337" t="str">
        <x:f t="shared" si="28"/>
      </x:c>
      <x:c r="J155" s="324"/>
      <x:c r="K155" s="336" t="str">
        <x:f t="shared" si="32"/>
      </x:c>
      <x:c r="L155" s="335" t="str">
        <x:f t="shared" si="33"/>
      </x:c>
      <x:c r="M155" s="324"/>
      <x:c r="N155" s="336" t="str">
        <x:f t="shared" si="34"/>
      </x:c>
      <x:c r="O155" s="337" t="str">
        <x:f t="shared" si="29"/>
      </x:c>
      <x:c r="P155" s="324"/>
      <x:c r="Q155" s="336" t="str">
        <x:f t="shared" si="35"/>
      </x:c>
      <x:c r="R155" s="339" t="str">
        <x:f t="shared" si="30"/>
      </x:c>
      <x:c r="S155" s="324"/>
      <x:c r="T155" s="336" t="str">
        <x:f t="shared" si="36"/>
      </x:c>
      <x:c r="U155" s="325"/>
      <x:c r="V155" s="340" t="str">
        <x:f>IF(OR(D155="",U155="",$C$5="",$C$6=""),"",IF(U155="Target Hit",IF(D155="Buy",(F155-E155)*($C$5/2)*$C$6,(E155-F155)*($C$5/2)*$C$6),IF(U155="Target Hit",IF(D155="Buy",(F155-E155)*($C$5/2)*$C$6,(E155-F155)*($C$5/2)*$C$6),IF(U155="Rollover",IF(D155="Buy",(Z155-E155)*($C$5/2)*$C$6,(E155-Z155)*($C$5/2)*$C$6),IF(U155="Stoploss 1 Hit",IF(K155="","",IF(D155="Buy",(K155-E155)*$C$5*$C$6,(E155-K155)*$C$5*$C$6)),IF(OR(U155="Gap Down Stoploss 1 Hit",U155="Gap Up Stoploss 1 Hit"),IF(Q155="","",IF(D155="Buy",(Q155-E155)*$C$5*$C$6,(E155-Q155)*$C$5*$C$6)),0))))))</x:f>
      </x:c>
      <x:c r="W155" s="326"/>
      <x:c r="X155" s="341" t="str">
        <x:f>IF(D155="","",IF(U155="Target Hit",IF(W155="Stoploss 2 Hit",IF(N155="","",IF(D155="Buy",(N155-E155)*($C$5/2)*$C$6,(E155-N155)*($C$5/2)*$C$6)),IF(U155="Target Hit",IF(W155="Rollover",IF(Z155="","",IF(D155="Buy",(Z155-E155)*($C$5/2)*$C$6,(E155-Z155)*($C$5/2)*$C$6)),IF(W155="Gap Down Stoploss 2 Hit",IF(T155="","",IF(D155="Buy",(T155-E155)*($C$5/2)*$C$6,(E155-T155)*($C$5/2)*$C$6)),IF(W155="Gap Up Stoploss 2 Hit",IF(T155="","",IF(D155="Buy",(T155-E155)*($C$5/2)*$C$6,(E155-T155)*($C$5/2)*$C$6)),0))),0))))</x:f>
      </x:c>
      <x:c r="Y155" s="343" t="str">
        <x:f t="shared" si="31"/>
      </x:c>
      <x:c r="Z155" s="327"/>
    </x:row>
    <x:row r="156">
      <x:c r="A156" s="35">
        <x:v>144</x:v>
      </x:c>
      <x:c r="B156" s="318"/>
      <x:c r="C156" s="319"/>
      <x:c r="D156" s="320"/>
      <x:c r="E156" s="321"/>
      <x:c r="F156" s="322"/>
      <x:c r="G156" s="321"/>
      <x:c r="H156" s="323"/>
      <x:c r="I156" s="337" t="str">
        <x:f t="shared" si="28"/>
      </x:c>
      <x:c r="J156" s="324"/>
      <x:c r="K156" s="336" t="str">
        <x:f t="shared" si="32"/>
      </x:c>
      <x:c r="L156" s="335" t="str">
        <x:f t="shared" si="33"/>
      </x:c>
      <x:c r="M156" s="324"/>
      <x:c r="N156" s="336" t="str">
        <x:f t="shared" si="34"/>
      </x:c>
      <x:c r="O156" s="337" t="str">
        <x:f t="shared" si="29"/>
      </x:c>
      <x:c r="P156" s="324"/>
      <x:c r="Q156" s="336" t="str">
        <x:f t="shared" si="35"/>
      </x:c>
      <x:c r="R156" s="339" t="str">
        <x:f t="shared" si="30"/>
      </x:c>
      <x:c r="S156" s="324"/>
      <x:c r="T156" s="336" t="str">
        <x:f t="shared" si="36"/>
      </x:c>
      <x:c r="U156" s="325"/>
      <x:c r="V156" s="340" t="str">
        <x:f>IF(OR(D156="",U156="",$C$5="",$C$6=""),"",IF(U156="Target Hit",IF(D156="Buy",(F156-E156)*($C$5/2)*$C$6,(E156-F156)*($C$5/2)*$C$6),IF(U156="Target Hit",IF(D156="Buy",(F156-E156)*($C$5/2)*$C$6,(E156-F156)*($C$5/2)*$C$6),IF(U156="Rollover",IF(D156="Buy",(Z156-E156)*($C$5/2)*$C$6,(E156-Z156)*($C$5/2)*$C$6),IF(U156="Stoploss 1 Hit",IF(K156="","",IF(D156="Buy",(K156-E156)*$C$5*$C$6,(E156-K156)*$C$5*$C$6)),IF(OR(U156="Gap Down Stoploss 1 Hit",U156="Gap Up Stoploss 1 Hit"),IF(Q156="","",IF(D156="Buy",(Q156-E156)*$C$5*$C$6,(E156-Q156)*$C$5*$C$6)),0))))))</x:f>
      </x:c>
      <x:c r="W156" s="326"/>
      <x:c r="X156" s="341" t="str">
        <x:f>IF(D156="","",IF(U156="Target Hit",IF(W156="Stoploss 2 Hit",IF(N156="","",IF(D156="Buy",(N156-E156)*($C$5/2)*$C$6,(E156-N156)*($C$5/2)*$C$6)),IF(U156="Target Hit",IF(W156="Rollover",IF(Z156="","",IF(D156="Buy",(Z156-E156)*($C$5/2)*$C$6,(E156-Z156)*($C$5/2)*$C$6)),IF(W156="Gap Down Stoploss 2 Hit",IF(T156="","",IF(D156="Buy",(T156-E156)*($C$5/2)*$C$6,(E156-T156)*($C$5/2)*$C$6)),IF(W156="Gap Up Stoploss 2 Hit",IF(T156="","",IF(D156="Buy",(T156-E156)*($C$5/2)*$C$6,(E156-T156)*($C$5/2)*$C$6)),0))),0))))</x:f>
      </x:c>
      <x:c r="Y156" s="343" t="str">
        <x:f t="shared" si="31"/>
      </x:c>
      <x:c r="Z156" s="327"/>
    </x:row>
    <x:row r="157">
      <x:c r="A157" s="35">
        <x:v>145</x:v>
      </x:c>
      <x:c r="B157" s="318"/>
      <x:c r="C157" s="319"/>
      <x:c r="D157" s="320"/>
      <x:c r="E157" s="321"/>
      <x:c r="F157" s="322"/>
      <x:c r="G157" s="321"/>
      <x:c r="H157" s="323"/>
      <x:c r="I157" s="337" t="str">
        <x:f t="shared" si="28"/>
      </x:c>
      <x:c r="J157" s="324"/>
      <x:c r="K157" s="336" t="str">
        <x:f t="shared" si="32"/>
      </x:c>
      <x:c r="L157" s="335" t="str">
        <x:f t="shared" si="33"/>
      </x:c>
      <x:c r="M157" s="324"/>
      <x:c r="N157" s="336" t="str">
        <x:f t="shared" si="34"/>
      </x:c>
      <x:c r="O157" s="337" t="str">
        <x:f t="shared" si="29"/>
      </x:c>
      <x:c r="P157" s="324"/>
      <x:c r="Q157" s="336" t="str">
        <x:f t="shared" si="35"/>
      </x:c>
      <x:c r="R157" s="339" t="str">
        <x:f t="shared" si="30"/>
      </x:c>
      <x:c r="S157" s="324"/>
      <x:c r="T157" s="336" t="str">
        <x:f t="shared" si="36"/>
      </x:c>
      <x:c r="U157" s="325"/>
      <x:c r="V157" s="340" t="str">
        <x:f>IF(OR(D157="",U157="",$C$5="",$C$6=""),"",IF(U157="Target Hit",IF(D157="Buy",(F157-E157)*($C$5/2)*$C$6,(E157-F157)*($C$5/2)*$C$6),IF(U157="Target Hit",IF(D157="Buy",(F157-E157)*($C$5/2)*$C$6,(E157-F157)*($C$5/2)*$C$6),IF(U157="Rollover",IF(D157="Buy",(Z157-E157)*($C$5/2)*$C$6,(E157-Z157)*($C$5/2)*$C$6),IF(U157="Stoploss 1 Hit",IF(K157="","",IF(D157="Buy",(K157-E157)*$C$5*$C$6,(E157-K157)*$C$5*$C$6)),IF(OR(U157="Gap Down Stoploss 1 Hit",U157="Gap Up Stoploss 1 Hit"),IF(Q157="","",IF(D157="Buy",(Q157-E157)*$C$5*$C$6,(E157-Q157)*$C$5*$C$6)),0))))))</x:f>
      </x:c>
      <x:c r="W157" s="326"/>
      <x:c r="X157" s="341" t="str">
        <x:f>IF(D157="","",IF(U157="Target Hit",IF(W157="Stoploss 2 Hit",IF(N157="","",IF(D157="Buy",(N157-E157)*($C$5/2)*$C$6,(E157-N157)*($C$5/2)*$C$6)),IF(U157="Target Hit",IF(W157="Rollover",IF(Z157="","",IF(D157="Buy",(Z157-E157)*($C$5/2)*$C$6,(E157-Z157)*($C$5/2)*$C$6)),IF(W157="Gap Down Stoploss 2 Hit",IF(T157="","",IF(D157="Buy",(T157-E157)*($C$5/2)*$C$6,(E157-T157)*($C$5/2)*$C$6)),IF(W157="Gap Up Stoploss 2 Hit",IF(T157="","",IF(D157="Buy",(T157-E157)*($C$5/2)*$C$6,(E157-T157)*($C$5/2)*$C$6)),0))),0))))</x:f>
      </x:c>
      <x:c r="Y157" s="343" t="str">
        <x:f t="shared" si="31"/>
      </x:c>
      <x:c r="Z157" s="327"/>
    </x:row>
    <x:row r="158">
      <x:c r="A158" s="35">
        <x:v>146</x:v>
      </x:c>
      <x:c r="B158" s="318"/>
      <x:c r="C158" s="319"/>
      <x:c r="D158" s="320"/>
      <x:c r="E158" s="321"/>
      <x:c r="F158" s="322"/>
      <x:c r="G158" s="321"/>
      <x:c r="H158" s="323"/>
      <x:c r="I158" s="337" t="str">
        <x:f t="shared" si="28"/>
      </x:c>
      <x:c r="J158" s="324"/>
      <x:c r="K158" s="336" t="str">
        <x:f t="shared" si="32"/>
      </x:c>
      <x:c r="L158" s="335" t="str">
        <x:f t="shared" si="33"/>
      </x:c>
      <x:c r="M158" s="324"/>
      <x:c r="N158" s="336" t="str">
        <x:f t="shared" si="34"/>
      </x:c>
      <x:c r="O158" s="337" t="str">
        <x:f t="shared" si="29"/>
      </x:c>
      <x:c r="P158" s="324"/>
      <x:c r="Q158" s="336" t="str">
        <x:f t="shared" si="35"/>
      </x:c>
      <x:c r="R158" s="339" t="str">
        <x:f t="shared" si="30"/>
      </x:c>
      <x:c r="S158" s="324"/>
      <x:c r="T158" s="336" t="str">
        <x:f t="shared" si="36"/>
      </x:c>
      <x:c r="U158" s="325"/>
      <x:c r="V158" s="340" t="str">
        <x:f>IF(OR(D158="",U158="",$C$5="",$C$6=""),"",IF(U158="Target Hit",IF(D158="Buy",(F158-E158)*($C$5/2)*$C$6,(E158-F158)*($C$5/2)*$C$6),IF(U158="Target Hit",IF(D158="Buy",(F158-E158)*($C$5/2)*$C$6,(E158-F158)*($C$5/2)*$C$6),IF(U158="Rollover",IF(D158="Buy",(Z158-E158)*($C$5/2)*$C$6,(E158-Z158)*($C$5/2)*$C$6),IF(U158="Stoploss 1 Hit",IF(K158="","",IF(D158="Buy",(K158-E158)*$C$5*$C$6,(E158-K158)*$C$5*$C$6)),IF(OR(U158="Gap Down Stoploss 1 Hit",U158="Gap Up Stoploss 1 Hit"),IF(Q158="","",IF(D158="Buy",(Q158-E158)*$C$5*$C$6,(E158-Q158)*$C$5*$C$6)),0))))))</x:f>
      </x:c>
      <x:c r="W158" s="326"/>
      <x:c r="X158" s="341" t="str">
        <x:f>IF(D158="","",IF(U158="Target Hit",IF(W158="Stoploss 2 Hit",IF(N158="","",IF(D158="Buy",(N158-E158)*($C$5/2)*$C$6,(E158-N158)*($C$5/2)*$C$6)),IF(U158="Target Hit",IF(W158="Rollover",IF(Z158="","",IF(D158="Buy",(Z158-E158)*($C$5/2)*$C$6,(E158-Z158)*($C$5/2)*$C$6)),IF(W158="Gap Down Stoploss 2 Hit",IF(T158="","",IF(D158="Buy",(T158-E158)*($C$5/2)*$C$6,(E158-T158)*($C$5/2)*$C$6)),IF(W158="Gap Up Stoploss 2 Hit",IF(T158="","",IF(D158="Buy",(T158-E158)*($C$5/2)*$C$6,(E158-T158)*($C$5/2)*$C$6)),0))),0))))</x:f>
      </x:c>
      <x:c r="Y158" s="343" t="str">
        <x:f t="shared" si="31"/>
      </x:c>
      <x:c r="Z158" s="327"/>
    </x:row>
    <x:row r="159">
      <x:c r="A159" s="35">
        <x:v>147</x:v>
      </x:c>
      <x:c r="B159" s="318"/>
      <x:c r="C159" s="319"/>
      <x:c r="D159" s="320"/>
      <x:c r="E159" s="321"/>
      <x:c r="F159" s="322"/>
      <x:c r="G159" s="321"/>
      <x:c r="H159" s="323"/>
      <x:c r="I159" s="337" t="str">
        <x:f t="shared" si="28"/>
      </x:c>
      <x:c r="J159" s="324"/>
      <x:c r="K159" s="336" t="str">
        <x:f t="shared" si="32"/>
      </x:c>
      <x:c r="L159" s="335" t="str">
        <x:f t="shared" si="33"/>
      </x:c>
      <x:c r="M159" s="324"/>
      <x:c r="N159" s="336" t="str">
        <x:f t="shared" si="34"/>
      </x:c>
      <x:c r="O159" s="337" t="str">
        <x:f t="shared" si="29"/>
      </x:c>
      <x:c r="P159" s="324"/>
      <x:c r="Q159" s="336" t="str">
        <x:f t="shared" si="35"/>
      </x:c>
      <x:c r="R159" s="339" t="str">
        <x:f t="shared" si="30"/>
      </x:c>
      <x:c r="S159" s="324"/>
      <x:c r="T159" s="336" t="str">
        <x:f t="shared" si="36"/>
      </x:c>
      <x:c r="U159" s="325"/>
      <x:c r="V159" s="340" t="str">
        <x:f>IF(OR(D159="",U159="",$C$5="",$C$6=""),"",IF(U159="Target Hit",IF(D159="Buy",(F159-E159)*($C$5/2)*$C$6,(E159-F159)*($C$5/2)*$C$6),IF(U159="Target Hit",IF(D159="Buy",(F159-E159)*($C$5/2)*$C$6,(E159-F159)*($C$5/2)*$C$6),IF(U159="Rollover",IF(D159="Buy",(Z159-E159)*($C$5/2)*$C$6,(E159-Z159)*($C$5/2)*$C$6),IF(U159="Stoploss 1 Hit",IF(K159="","",IF(D159="Buy",(K159-E159)*$C$5*$C$6,(E159-K159)*$C$5*$C$6)),IF(OR(U159="Gap Down Stoploss 1 Hit",U159="Gap Up Stoploss 1 Hit"),IF(Q159="","",IF(D159="Buy",(Q159-E159)*$C$5*$C$6,(E159-Q159)*$C$5*$C$6)),0))))))</x:f>
      </x:c>
      <x:c r="W159" s="326"/>
      <x:c r="X159" s="341" t="str">
        <x:f>IF(D159="","",IF(U159="Target Hit",IF(W159="Stoploss 2 Hit",IF(N159="","",IF(D159="Buy",(N159-E159)*($C$5/2)*$C$6,(E159-N159)*($C$5/2)*$C$6)),IF(U159="Target Hit",IF(W159="Rollover",IF(Z159="","",IF(D159="Buy",(Z159-E159)*($C$5/2)*$C$6,(E159-Z159)*($C$5/2)*$C$6)),IF(W159="Gap Down Stoploss 2 Hit",IF(T159="","",IF(D159="Buy",(T159-E159)*($C$5/2)*$C$6,(E159-T159)*($C$5/2)*$C$6)),IF(W159="Gap Up Stoploss 2 Hit",IF(T159="","",IF(D159="Buy",(T159-E159)*($C$5/2)*$C$6,(E159-T159)*($C$5/2)*$C$6)),0))),0))))</x:f>
      </x:c>
      <x:c r="Y159" s="343" t="str">
        <x:f t="shared" si="31"/>
      </x:c>
      <x:c r="Z159" s="327"/>
    </x:row>
    <x:row r="160">
      <x:c r="A160" s="35">
        <x:v>148</x:v>
      </x:c>
      <x:c r="B160" s="318"/>
      <x:c r="C160" s="319"/>
      <x:c r="D160" s="320"/>
      <x:c r="E160" s="321"/>
      <x:c r="F160" s="322"/>
      <x:c r="G160" s="321"/>
      <x:c r="H160" s="323"/>
      <x:c r="I160" s="337" t="str">
        <x:f t="shared" si="28"/>
      </x:c>
      <x:c r="J160" s="324"/>
      <x:c r="K160" s="336" t="str">
        <x:f t="shared" si="32"/>
      </x:c>
      <x:c r="L160" s="335" t="str">
        <x:f t="shared" si="33"/>
      </x:c>
      <x:c r="M160" s="324"/>
      <x:c r="N160" s="336" t="str">
        <x:f t="shared" si="34"/>
      </x:c>
      <x:c r="O160" s="337" t="str">
        <x:f t="shared" si="29"/>
      </x:c>
      <x:c r="P160" s="324"/>
      <x:c r="Q160" s="336" t="str">
        <x:f t="shared" si="35"/>
      </x:c>
      <x:c r="R160" s="339" t="str">
        <x:f t="shared" si="30"/>
      </x:c>
      <x:c r="S160" s="324"/>
      <x:c r="T160" s="336" t="str">
        <x:f t="shared" si="36"/>
      </x:c>
      <x:c r="U160" s="325"/>
      <x:c r="V160" s="340" t="str">
        <x:f>IF(OR(D160="",U160="",$C$5="",$C$6=""),"",IF(U160="Target Hit",IF(D160="Buy",(F160-E160)*($C$5/2)*$C$6,(E160-F160)*($C$5/2)*$C$6),IF(U160="Target Hit",IF(D160="Buy",(F160-E160)*($C$5/2)*$C$6,(E160-F160)*($C$5/2)*$C$6),IF(U160="Rollover",IF(D160="Buy",(Z160-E160)*($C$5/2)*$C$6,(E160-Z160)*($C$5/2)*$C$6),IF(U160="Stoploss 1 Hit",IF(K160="","",IF(D160="Buy",(K160-E160)*$C$5*$C$6,(E160-K160)*$C$5*$C$6)),IF(OR(U160="Gap Down Stoploss 1 Hit",U160="Gap Up Stoploss 1 Hit"),IF(Q160="","",IF(D160="Buy",(Q160-E160)*$C$5*$C$6,(E160-Q160)*$C$5*$C$6)),0))))))</x:f>
      </x:c>
      <x:c r="W160" s="326"/>
      <x:c r="X160" s="341" t="str">
        <x:f>IF(D160="","",IF(U160="Target Hit",IF(W160="Stoploss 2 Hit",IF(N160="","",IF(D160="Buy",(N160-E160)*($C$5/2)*$C$6,(E160-N160)*($C$5/2)*$C$6)),IF(U160="Target Hit",IF(W160="Rollover",IF(Z160="","",IF(D160="Buy",(Z160-E160)*($C$5/2)*$C$6,(E160-Z160)*($C$5/2)*$C$6)),IF(W160="Gap Down Stoploss 2 Hit",IF(T160="","",IF(D160="Buy",(T160-E160)*($C$5/2)*$C$6,(E160-T160)*($C$5/2)*$C$6)),IF(W160="Gap Up Stoploss 2 Hit",IF(T160="","",IF(D160="Buy",(T160-E160)*($C$5/2)*$C$6,(E160-T160)*($C$5/2)*$C$6)),0))),0))))</x:f>
      </x:c>
      <x:c r="Y160" s="343" t="str">
        <x:f t="shared" si="31"/>
      </x:c>
      <x:c r="Z160" s="327"/>
    </x:row>
    <x:row r="161">
      <x:c r="A161" s="35">
        <x:v>149</x:v>
      </x:c>
      <x:c r="B161" s="318"/>
      <x:c r="C161" s="319"/>
      <x:c r="D161" s="320"/>
      <x:c r="E161" s="321"/>
      <x:c r="F161" s="322"/>
      <x:c r="G161" s="321"/>
      <x:c r="H161" s="323"/>
      <x:c r="I161" s="337" t="str">
        <x:f t="shared" si="28"/>
      </x:c>
      <x:c r="J161" s="324"/>
      <x:c r="K161" s="336" t="str">
        <x:f t="shared" si="32"/>
      </x:c>
      <x:c r="L161" s="335" t="str">
        <x:f t="shared" si="33"/>
      </x:c>
      <x:c r="M161" s="324"/>
      <x:c r="N161" s="336" t="str">
        <x:f t="shared" si="34"/>
      </x:c>
      <x:c r="O161" s="337" t="str">
        <x:f t="shared" si="29"/>
      </x:c>
      <x:c r="P161" s="324"/>
      <x:c r="Q161" s="336" t="str">
        <x:f t="shared" si="35"/>
      </x:c>
      <x:c r="R161" s="339" t="str">
        <x:f t="shared" si="30"/>
      </x:c>
      <x:c r="S161" s="324"/>
      <x:c r="T161" s="336" t="str">
        <x:f t="shared" si="36"/>
      </x:c>
      <x:c r="U161" s="325"/>
      <x:c r="V161" s="340" t="str">
        <x:f>IF(OR(D161="",U161="",$C$5="",$C$6=""),"",IF(U161="Target Hit",IF(D161="Buy",(F161-E161)*($C$5/2)*$C$6,(E161-F161)*($C$5/2)*$C$6),IF(U161="Target Hit",IF(D161="Buy",(F161-E161)*($C$5/2)*$C$6,(E161-F161)*($C$5/2)*$C$6),IF(U161="Rollover",IF(D161="Buy",(Z161-E161)*($C$5/2)*$C$6,(E161-Z161)*($C$5/2)*$C$6),IF(U161="Stoploss 1 Hit",IF(K161="","",IF(D161="Buy",(K161-E161)*$C$5*$C$6,(E161-K161)*$C$5*$C$6)),IF(OR(U161="Gap Down Stoploss 1 Hit",U161="Gap Up Stoploss 1 Hit"),IF(Q161="","",IF(D161="Buy",(Q161-E161)*$C$5*$C$6,(E161-Q161)*$C$5*$C$6)),0))))))</x:f>
      </x:c>
      <x:c r="W161" s="326"/>
      <x:c r="X161" s="341" t="str">
        <x:f>IF(D161="","",IF(U161="Target Hit",IF(W161="Stoploss 2 Hit",IF(N161="","",IF(D161="Buy",(N161-E161)*($C$5/2)*$C$6,(E161-N161)*($C$5/2)*$C$6)),IF(U161="Target Hit",IF(W161="Rollover",IF(Z161="","",IF(D161="Buy",(Z161-E161)*($C$5/2)*$C$6,(E161-Z161)*($C$5/2)*$C$6)),IF(W161="Gap Down Stoploss 2 Hit",IF(T161="","",IF(D161="Buy",(T161-E161)*($C$5/2)*$C$6,(E161-T161)*($C$5/2)*$C$6)),IF(W161="Gap Up Stoploss 2 Hit",IF(T161="","",IF(D161="Buy",(T161-E161)*($C$5/2)*$C$6,(E161-T161)*($C$5/2)*$C$6)),0))),0))))</x:f>
      </x:c>
      <x:c r="Y161" s="343" t="str">
        <x:f t="shared" si="31"/>
      </x:c>
      <x:c r="Z161" s="327"/>
    </x:row>
    <x:row r="162">
      <x:c r="A162" s="35">
        <x:v>150</x:v>
      </x:c>
      <x:c r="B162" s="318"/>
      <x:c r="C162" s="319"/>
      <x:c r="D162" s="320"/>
      <x:c r="E162" s="321"/>
      <x:c r="F162" s="322"/>
      <x:c r="G162" s="321"/>
      <x:c r="H162" s="323"/>
      <x:c r="I162" s="337" t="str">
        <x:f t="shared" si="28"/>
      </x:c>
      <x:c r="J162" s="324"/>
      <x:c r="K162" s="336" t="str">
        <x:f t="shared" si="32"/>
      </x:c>
      <x:c r="L162" s="335" t="str">
        <x:f t="shared" si="33"/>
      </x:c>
      <x:c r="M162" s="324"/>
      <x:c r="N162" s="336" t="str">
        <x:f t="shared" si="34"/>
      </x:c>
      <x:c r="O162" s="337" t="str">
        <x:f t="shared" si="29"/>
      </x:c>
      <x:c r="P162" s="324"/>
      <x:c r="Q162" s="336" t="str">
        <x:f t="shared" si="35"/>
      </x:c>
      <x:c r="R162" s="339" t="str">
        <x:f t="shared" si="30"/>
      </x:c>
      <x:c r="S162" s="324"/>
      <x:c r="T162" s="336" t="str">
        <x:f t="shared" si="36"/>
      </x:c>
      <x:c r="U162" s="325"/>
      <x:c r="V162" s="340" t="str">
        <x:f>IF(OR(D162="",U162="",$C$5="",$C$6=""),"",IF(U162="Target Hit",IF(D162="Buy",(F162-E162)*($C$5/2)*$C$6,(E162-F162)*($C$5/2)*$C$6),IF(U162="Target Hit",IF(D162="Buy",(F162-E162)*($C$5/2)*$C$6,(E162-F162)*($C$5/2)*$C$6),IF(U162="Rollover",IF(D162="Buy",(Z162-E162)*($C$5/2)*$C$6,(E162-Z162)*($C$5/2)*$C$6),IF(U162="Stoploss 1 Hit",IF(K162="","",IF(D162="Buy",(K162-E162)*$C$5*$C$6,(E162-K162)*$C$5*$C$6)),IF(OR(U162="Gap Down Stoploss 1 Hit",U162="Gap Up Stoploss 1 Hit"),IF(Q162="","",IF(D162="Buy",(Q162-E162)*$C$5*$C$6,(E162-Q162)*$C$5*$C$6)),0))))))</x:f>
      </x:c>
      <x:c r="W162" s="326"/>
      <x:c r="X162" s="341" t="str">
        <x:f>IF(D162="","",IF(U162="Target Hit",IF(W162="Stoploss 2 Hit",IF(N162="","",IF(D162="Buy",(N162-E162)*($C$5/2)*$C$6,(E162-N162)*($C$5/2)*$C$6)),IF(U162="Target Hit",IF(W162="Rollover",IF(Z162="","",IF(D162="Buy",(Z162-E162)*($C$5/2)*$C$6,(E162-Z162)*($C$5/2)*$C$6)),IF(W162="Gap Down Stoploss 2 Hit",IF(T162="","",IF(D162="Buy",(T162-E162)*($C$5/2)*$C$6,(E162-T162)*($C$5/2)*$C$6)),IF(W162="Gap Up Stoploss 2 Hit",IF(T162="","",IF(D162="Buy",(T162-E162)*($C$5/2)*$C$6,(E162-T162)*($C$5/2)*$C$6)),0))),0))))</x:f>
      </x:c>
      <x:c r="Y162" s="343" t="str">
        <x:f t="shared" si="31"/>
      </x:c>
      <x:c r="Z162" s="327"/>
    </x:row>
    <x:row r="163">
      <x:c r="A163" s="35">
        <x:v>151</x:v>
      </x:c>
      <x:c r="B163" s="318"/>
      <x:c r="C163" s="319"/>
      <x:c r="D163" s="320"/>
      <x:c r="E163" s="321"/>
      <x:c r="F163" s="322"/>
      <x:c r="G163" s="321"/>
      <x:c r="H163" s="323"/>
      <x:c r="I163" s="337" t="str">
        <x:f t="shared" si="28"/>
      </x:c>
      <x:c r="J163" s="324"/>
      <x:c r="K163" s="336" t="str">
        <x:f t="shared" si="32"/>
      </x:c>
      <x:c r="L163" s="335" t="str">
        <x:f t="shared" si="33"/>
      </x:c>
      <x:c r="M163" s="324"/>
      <x:c r="N163" s="336" t="str">
        <x:f t="shared" si="34"/>
      </x:c>
      <x:c r="O163" s="337" t="str">
        <x:f t="shared" si="29"/>
      </x:c>
      <x:c r="P163" s="324"/>
      <x:c r="Q163" s="336" t="str">
        <x:f t="shared" si="35"/>
      </x:c>
      <x:c r="R163" s="339" t="str">
        <x:f t="shared" si="30"/>
      </x:c>
      <x:c r="S163" s="324"/>
      <x:c r="T163" s="336" t="str">
        <x:f t="shared" si="36"/>
      </x:c>
      <x:c r="U163" s="325"/>
      <x:c r="V163" s="340" t="str">
        <x:f>IF(OR(D163="",U163="",$C$5="",$C$6=""),"",IF(U163="Target Hit",IF(D163="Buy",(F163-E163)*($C$5/2)*$C$6,(E163-F163)*($C$5/2)*$C$6),IF(U163="Target Hit",IF(D163="Buy",(F163-E163)*($C$5/2)*$C$6,(E163-F163)*($C$5/2)*$C$6),IF(U163="Rollover",IF(D163="Buy",(Z163-E163)*($C$5/2)*$C$6,(E163-Z163)*($C$5/2)*$C$6),IF(U163="Stoploss 1 Hit",IF(K163="","",IF(D163="Buy",(K163-E163)*$C$5*$C$6,(E163-K163)*$C$5*$C$6)),IF(OR(U163="Gap Down Stoploss 1 Hit",U163="Gap Up Stoploss 1 Hit"),IF(Q163="","",IF(D163="Buy",(Q163-E163)*$C$5*$C$6,(E163-Q163)*$C$5*$C$6)),0))))))</x:f>
      </x:c>
      <x:c r="W163" s="326"/>
      <x:c r="X163" s="341" t="str">
        <x:f>IF(D163="","",IF(U163="Target Hit",IF(W163="Stoploss 2 Hit",IF(N163="","",IF(D163="Buy",(N163-E163)*($C$5/2)*$C$6,(E163-N163)*($C$5/2)*$C$6)),IF(U163="Target Hit",IF(W163="Rollover",IF(Z163="","",IF(D163="Buy",(Z163-E163)*($C$5/2)*$C$6,(E163-Z163)*($C$5/2)*$C$6)),IF(W163="Gap Down Stoploss 2 Hit",IF(T163="","",IF(D163="Buy",(T163-E163)*($C$5/2)*$C$6,(E163-T163)*($C$5/2)*$C$6)),IF(W163="Gap Up Stoploss 2 Hit",IF(T163="","",IF(D163="Buy",(T163-E163)*($C$5/2)*$C$6,(E163-T163)*($C$5/2)*$C$6)),0))),0))))</x:f>
      </x:c>
      <x:c r="Y163" s="343" t="str">
        <x:f t="shared" si="31"/>
      </x:c>
      <x:c r="Z163" s="327"/>
    </x:row>
    <x:row r="164">
      <x:c r="A164" s="35">
        <x:v>152</x:v>
      </x:c>
      <x:c r="B164" s="318"/>
      <x:c r="C164" s="319"/>
      <x:c r="D164" s="320"/>
      <x:c r="E164" s="321"/>
      <x:c r="F164" s="322"/>
      <x:c r="G164" s="321"/>
      <x:c r="H164" s="323"/>
      <x:c r="I164" s="337" t="str">
        <x:f t="shared" si="28"/>
      </x:c>
      <x:c r="J164" s="324"/>
      <x:c r="K164" s="336" t="str">
        <x:f t="shared" si="32"/>
      </x:c>
      <x:c r="L164" s="335" t="str">
        <x:f t="shared" si="33"/>
      </x:c>
      <x:c r="M164" s="324"/>
      <x:c r="N164" s="336" t="str">
        <x:f t="shared" si="34"/>
      </x:c>
      <x:c r="O164" s="337" t="str">
        <x:f t="shared" si="29"/>
      </x:c>
      <x:c r="P164" s="324"/>
      <x:c r="Q164" s="336" t="str">
        <x:f t="shared" si="35"/>
      </x:c>
      <x:c r="R164" s="339" t="str">
        <x:f t="shared" si="30"/>
      </x:c>
      <x:c r="S164" s="324"/>
      <x:c r="T164" s="336" t="str">
        <x:f t="shared" si="36"/>
      </x:c>
      <x:c r="U164" s="325"/>
      <x:c r="V164" s="340" t="str">
        <x:f>IF(OR(D164="",U164="",$C$5="",$C$6=""),"",IF(U164="Target Hit",IF(D164="Buy",(F164-E164)*($C$5/2)*$C$6,(E164-F164)*($C$5/2)*$C$6),IF(U164="Target Hit",IF(D164="Buy",(F164-E164)*($C$5/2)*$C$6,(E164-F164)*($C$5/2)*$C$6),IF(U164="Rollover",IF(D164="Buy",(Z164-E164)*($C$5/2)*$C$6,(E164-Z164)*($C$5/2)*$C$6),IF(U164="Stoploss 1 Hit",IF(K164="","",IF(D164="Buy",(K164-E164)*$C$5*$C$6,(E164-K164)*$C$5*$C$6)),IF(OR(U164="Gap Down Stoploss 1 Hit",U164="Gap Up Stoploss 1 Hit"),IF(Q164="","",IF(D164="Buy",(Q164-E164)*$C$5*$C$6,(E164-Q164)*$C$5*$C$6)),0))))))</x:f>
      </x:c>
      <x:c r="W164" s="326"/>
      <x:c r="X164" s="341" t="str">
        <x:f>IF(D164="","",IF(U164="Target Hit",IF(W164="Stoploss 2 Hit",IF(N164="","",IF(D164="Buy",(N164-E164)*($C$5/2)*$C$6,(E164-N164)*($C$5/2)*$C$6)),IF(U164="Target Hit",IF(W164="Rollover",IF(Z164="","",IF(D164="Buy",(Z164-E164)*($C$5/2)*$C$6,(E164-Z164)*($C$5/2)*$C$6)),IF(W164="Gap Down Stoploss 2 Hit",IF(T164="","",IF(D164="Buy",(T164-E164)*($C$5/2)*$C$6,(E164-T164)*($C$5/2)*$C$6)),IF(W164="Gap Up Stoploss 2 Hit",IF(T164="","",IF(D164="Buy",(T164-E164)*($C$5/2)*$C$6,(E164-T164)*($C$5/2)*$C$6)),0))),0))))</x:f>
      </x:c>
      <x:c r="Y164" s="343" t="str">
        <x:f t="shared" si="31"/>
      </x:c>
      <x:c r="Z164" s="327"/>
    </x:row>
    <x:row r="165">
      <x:c r="A165" s="35">
        <x:v>153</x:v>
      </x:c>
      <x:c r="B165" s="318"/>
      <x:c r="C165" s="319"/>
      <x:c r="D165" s="320"/>
      <x:c r="E165" s="321"/>
      <x:c r="F165" s="322"/>
      <x:c r="G165" s="321"/>
      <x:c r="H165" s="323"/>
      <x:c r="I165" s="337" t="str">
        <x:f t="shared" si="28"/>
      </x:c>
      <x:c r="J165" s="324"/>
      <x:c r="K165" s="336" t="str">
        <x:f t="shared" si="32"/>
      </x:c>
      <x:c r="L165" s="335" t="str">
        <x:f t="shared" si="33"/>
      </x:c>
      <x:c r="M165" s="324"/>
      <x:c r="N165" s="336" t="str">
        <x:f t="shared" si="34"/>
      </x:c>
      <x:c r="O165" s="337" t="str">
        <x:f t="shared" si="29"/>
      </x:c>
      <x:c r="P165" s="324"/>
      <x:c r="Q165" s="336" t="str">
        <x:f t="shared" si="35"/>
      </x:c>
      <x:c r="R165" s="339" t="str">
        <x:f t="shared" si="30"/>
      </x:c>
      <x:c r="S165" s="324"/>
      <x:c r="T165" s="336" t="str">
        <x:f t="shared" si="36"/>
      </x:c>
      <x:c r="U165" s="325"/>
      <x:c r="V165" s="340" t="str">
        <x:f>IF(OR(D165="",U165="",$C$5="",$C$6=""),"",IF(U165="Target Hit",IF(D165="Buy",(F165-E165)*($C$5/2)*$C$6,(E165-F165)*($C$5/2)*$C$6),IF(U165="Target Hit",IF(D165="Buy",(F165-E165)*($C$5/2)*$C$6,(E165-F165)*($C$5/2)*$C$6),IF(U165="Rollover",IF(D165="Buy",(Z165-E165)*($C$5/2)*$C$6,(E165-Z165)*($C$5/2)*$C$6),IF(U165="Stoploss 1 Hit",IF(K165="","",IF(D165="Buy",(K165-E165)*$C$5*$C$6,(E165-K165)*$C$5*$C$6)),IF(OR(U165="Gap Down Stoploss 1 Hit",U165="Gap Up Stoploss 1 Hit"),IF(Q165="","",IF(D165="Buy",(Q165-E165)*$C$5*$C$6,(E165-Q165)*$C$5*$C$6)),0))))))</x:f>
      </x:c>
      <x:c r="W165" s="326"/>
      <x:c r="X165" s="341" t="str">
        <x:f>IF(D165="","",IF(U165="Target Hit",IF(W165="Stoploss 2 Hit",IF(N165="","",IF(D165="Buy",(N165-E165)*($C$5/2)*$C$6,(E165-N165)*($C$5/2)*$C$6)),IF(U165="Target Hit",IF(W165="Rollover",IF(Z165="","",IF(D165="Buy",(Z165-E165)*($C$5/2)*$C$6,(E165-Z165)*($C$5/2)*$C$6)),IF(W165="Gap Down Stoploss 2 Hit",IF(T165="","",IF(D165="Buy",(T165-E165)*($C$5/2)*$C$6,(E165-T165)*($C$5/2)*$C$6)),IF(W165="Gap Up Stoploss 2 Hit",IF(T165="","",IF(D165="Buy",(T165-E165)*($C$5/2)*$C$6,(E165-T165)*($C$5/2)*$C$6)),0))),0))))</x:f>
      </x:c>
      <x:c r="Y165" s="343" t="str">
        <x:f t="shared" si="31"/>
      </x:c>
      <x:c r="Z165" s="327"/>
    </x:row>
    <x:row r="166">
      <x:c r="A166" s="35">
        <x:v>154</x:v>
      </x:c>
      <x:c r="B166" s="318"/>
      <x:c r="C166" s="319"/>
      <x:c r="D166" s="320"/>
      <x:c r="E166" s="321"/>
      <x:c r="F166" s="322"/>
      <x:c r="G166" s="321"/>
      <x:c r="H166" s="323"/>
      <x:c r="I166" s="337" t="str">
        <x:f t="shared" si="28"/>
      </x:c>
      <x:c r="J166" s="324"/>
      <x:c r="K166" s="336" t="str">
        <x:f t="shared" si="32"/>
      </x:c>
      <x:c r="L166" s="335" t="str">
        <x:f t="shared" si="33"/>
      </x:c>
      <x:c r="M166" s="324"/>
      <x:c r="N166" s="336" t="str">
        <x:f t="shared" si="34"/>
      </x:c>
      <x:c r="O166" s="337" t="str">
        <x:f t="shared" si="29"/>
      </x:c>
      <x:c r="P166" s="324"/>
      <x:c r="Q166" s="336" t="str">
        <x:f t="shared" si="35"/>
      </x:c>
      <x:c r="R166" s="339" t="str">
        <x:f t="shared" si="30"/>
      </x:c>
      <x:c r="S166" s="324"/>
      <x:c r="T166" s="336" t="str">
        <x:f t="shared" si="36"/>
      </x:c>
      <x:c r="U166" s="325"/>
      <x:c r="V166" s="340" t="str">
        <x:f>IF(OR(D166="",U166="",$C$5="",$C$6=""),"",IF(U166="Target Hit",IF(D166="Buy",(F166-E166)*($C$5/2)*$C$6,(E166-F166)*($C$5/2)*$C$6),IF(U166="Target Hit",IF(D166="Buy",(F166-E166)*($C$5/2)*$C$6,(E166-F166)*($C$5/2)*$C$6),IF(U166="Rollover",IF(D166="Buy",(Z166-E166)*($C$5/2)*$C$6,(E166-Z166)*($C$5/2)*$C$6),IF(U166="Stoploss 1 Hit",IF(K166="","",IF(D166="Buy",(K166-E166)*$C$5*$C$6,(E166-K166)*$C$5*$C$6)),IF(OR(U166="Gap Down Stoploss 1 Hit",U166="Gap Up Stoploss 1 Hit"),IF(Q166="","",IF(D166="Buy",(Q166-E166)*$C$5*$C$6,(E166-Q166)*$C$5*$C$6)),0))))))</x:f>
      </x:c>
      <x:c r="W166" s="326"/>
      <x:c r="X166" s="341" t="str">
        <x:f>IF(D166="","",IF(U166="Target Hit",IF(W166="Stoploss 2 Hit",IF(N166="","",IF(D166="Buy",(N166-E166)*($C$5/2)*$C$6,(E166-N166)*($C$5/2)*$C$6)),IF(U166="Target Hit",IF(W166="Rollover",IF(Z166="","",IF(D166="Buy",(Z166-E166)*($C$5/2)*$C$6,(E166-Z166)*($C$5/2)*$C$6)),IF(W166="Gap Down Stoploss 2 Hit",IF(T166="","",IF(D166="Buy",(T166-E166)*($C$5/2)*$C$6,(E166-T166)*($C$5/2)*$C$6)),IF(W166="Gap Up Stoploss 2 Hit",IF(T166="","",IF(D166="Buy",(T166-E166)*($C$5/2)*$C$6,(E166-T166)*($C$5/2)*$C$6)),0))),0))))</x:f>
      </x:c>
      <x:c r="Y166" s="343" t="str">
        <x:f t="shared" si="31"/>
      </x:c>
      <x:c r="Z166" s="327"/>
    </x:row>
    <x:row r="167">
      <x:c r="A167" s="35">
        <x:v>155</x:v>
      </x:c>
      <x:c r="B167" s="318"/>
      <x:c r="C167" s="319"/>
      <x:c r="D167" s="320"/>
      <x:c r="E167" s="321"/>
      <x:c r="F167" s="322"/>
      <x:c r="G167" s="321"/>
      <x:c r="H167" s="323"/>
      <x:c r="I167" s="337" t="str">
        <x:f t="shared" si="28"/>
      </x:c>
      <x:c r="J167" s="324"/>
      <x:c r="K167" s="336" t="str">
        <x:f t="shared" si="32"/>
      </x:c>
      <x:c r="L167" s="335" t="str">
        <x:f t="shared" si="33"/>
      </x:c>
      <x:c r="M167" s="324"/>
      <x:c r="N167" s="336" t="str">
        <x:f t="shared" si="34"/>
      </x:c>
      <x:c r="O167" s="337" t="str">
        <x:f t="shared" si="29"/>
      </x:c>
      <x:c r="P167" s="324"/>
      <x:c r="Q167" s="336" t="str">
        <x:f t="shared" si="35"/>
      </x:c>
      <x:c r="R167" s="339" t="str">
        <x:f t="shared" si="30"/>
      </x:c>
      <x:c r="S167" s="324"/>
      <x:c r="T167" s="336" t="str">
        <x:f t="shared" si="36"/>
      </x:c>
      <x:c r="U167" s="325"/>
      <x:c r="V167" s="340" t="str">
        <x:f>IF(OR(D167="",U167="",$C$5="",$C$6=""),"",IF(U167="Target Hit",IF(D167="Buy",(F167-E167)*($C$5/2)*$C$6,(E167-F167)*($C$5/2)*$C$6),IF(U167="Target Hit",IF(D167="Buy",(F167-E167)*($C$5/2)*$C$6,(E167-F167)*($C$5/2)*$C$6),IF(U167="Rollover",IF(D167="Buy",(Z167-E167)*($C$5/2)*$C$6,(E167-Z167)*($C$5/2)*$C$6),IF(U167="Stoploss 1 Hit",IF(K167="","",IF(D167="Buy",(K167-E167)*$C$5*$C$6,(E167-K167)*$C$5*$C$6)),IF(OR(U167="Gap Down Stoploss 1 Hit",U167="Gap Up Stoploss 1 Hit"),IF(Q167="","",IF(D167="Buy",(Q167-E167)*$C$5*$C$6,(E167-Q167)*$C$5*$C$6)),0))))))</x:f>
      </x:c>
      <x:c r="W167" s="326"/>
      <x:c r="X167" s="341" t="str">
        <x:f>IF(D167="","",IF(U167="Target Hit",IF(W167="Stoploss 2 Hit",IF(N167="","",IF(D167="Buy",(N167-E167)*($C$5/2)*$C$6,(E167-N167)*($C$5/2)*$C$6)),IF(U167="Target Hit",IF(W167="Rollover",IF(Z167="","",IF(D167="Buy",(Z167-E167)*($C$5/2)*$C$6,(E167-Z167)*($C$5/2)*$C$6)),IF(W167="Gap Down Stoploss 2 Hit",IF(T167="","",IF(D167="Buy",(T167-E167)*($C$5/2)*$C$6,(E167-T167)*($C$5/2)*$C$6)),IF(W167="Gap Up Stoploss 2 Hit",IF(T167="","",IF(D167="Buy",(T167-E167)*($C$5/2)*$C$6,(E167-T167)*($C$5/2)*$C$6)),0))),0))))</x:f>
      </x:c>
      <x:c r="Y167" s="343" t="str">
        <x:f t="shared" si="31"/>
      </x:c>
      <x:c r="Z167" s="327"/>
    </x:row>
    <x:row r="168">
      <x:c r="A168" s="35">
        <x:v>156</x:v>
      </x:c>
      <x:c r="B168" s="318"/>
      <x:c r="C168" s="319"/>
      <x:c r="D168" s="320"/>
      <x:c r="E168" s="321"/>
      <x:c r="F168" s="322"/>
      <x:c r="G168" s="321"/>
      <x:c r="H168" s="323"/>
      <x:c r="I168" s="337" t="str">
        <x:f t="shared" si="28"/>
      </x:c>
      <x:c r="J168" s="324"/>
      <x:c r="K168" s="336" t="str">
        <x:f t="shared" si="32"/>
      </x:c>
      <x:c r="L168" s="335" t="str">
        <x:f t="shared" si="33"/>
      </x:c>
      <x:c r="M168" s="324"/>
      <x:c r="N168" s="336" t="str">
        <x:f t="shared" si="34"/>
      </x:c>
      <x:c r="O168" s="337" t="str">
        <x:f t="shared" si="29"/>
      </x:c>
      <x:c r="P168" s="324"/>
      <x:c r="Q168" s="336" t="str">
        <x:f t="shared" si="35"/>
      </x:c>
      <x:c r="R168" s="339" t="str">
        <x:f t="shared" si="30"/>
      </x:c>
      <x:c r="S168" s="324"/>
      <x:c r="T168" s="336" t="str">
        <x:f t="shared" si="36"/>
      </x:c>
      <x:c r="U168" s="325"/>
      <x:c r="V168" s="340" t="str">
        <x:f>IF(OR(D168="",U168="",$C$5="",$C$6=""),"",IF(U168="Target Hit",IF(D168="Buy",(F168-E168)*($C$5/2)*$C$6,(E168-F168)*($C$5/2)*$C$6),IF(U168="Target Hit",IF(D168="Buy",(F168-E168)*($C$5/2)*$C$6,(E168-F168)*($C$5/2)*$C$6),IF(U168="Rollover",IF(D168="Buy",(Z168-E168)*($C$5/2)*$C$6,(E168-Z168)*($C$5/2)*$C$6),IF(U168="Stoploss 1 Hit",IF(K168="","",IF(D168="Buy",(K168-E168)*$C$5*$C$6,(E168-K168)*$C$5*$C$6)),IF(OR(U168="Gap Down Stoploss 1 Hit",U168="Gap Up Stoploss 1 Hit"),IF(Q168="","",IF(D168="Buy",(Q168-E168)*$C$5*$C$6,(E168-Q168)*$C$5*$C$6)),0))))))</x:f>
      </x:c>
      <x:c r="W168" s="326"/>
      <x:c r="X168" s="341" t="str">
        <x:f>IF(D168="","",IF(U168="Target Hit",IF(W168="Stoploss 2 Hit",IF(N168="","",IF(D168="Buy",(N168-E168)*($C$5/2)*$C$6,(E168-N168)*($C$5/2)*$C$6)),IF(U168="Target Hit",IF(W168="Rollover",IF(Z168="","",IF(D168="Buy",(Z168-E168)*($C$5/2)*$C$6,(E168-Z168)*($C$5/2)*$C$6)),IF(W168="Gap Down Stoploss 2 Hit",IF(T168="","",IF(D168="Buy",(T168-E168)*($C$5/2)*$C$6,(E168-T168)*($C$5/2)*$C$6)),IF(W168="Gap Up Stoploss 2 Hit",IF(T168="","",IF(D168="Buy",(T168-E168)*($C$5/2)*$C$6,(E168-T168)*($C$5/2)*$C$6)),0))),0))))</x:f>
      </x:c>
      <x:c r="Y168" s="343" t="str">
        <x:f t="shared" si="31"/>
      </x:c>
      <x:c r="Z168" s="327"/>
    </x:row>
    <x:row r="169">
      <x:c r="A169" s="35">
        <x:v>157</x:v>
      </x:c>
      <x:c r="B169" s="318"/>
      <x:c r="C169" s="319"/>
      <x:c r="D169" s="320"/>
      <x:c r="E169" s="321"/>
      <x:c r="F169" s="322"/>
      <x:c r="G169" s="321"/>
      <x:c r="H169" s="323"/>
      <x:c r="I169" s="337" t="str">
        <x:f t="shared" si="28"/>
      </x:c>
      <x:c r="J169" s="324"/>
      <x:c r="K169" s="336" t="str">
        <x:f t="shared" si="32"/>
      </x:c>
      <x:c r="L169" s="335" t="str">
        <x:f t="shared" si="33"/>
      </x:c>
      <x:c r="M169" s="324"/>
      <x:c r="N169" s="336" t="str">
        <x:f t="shared" si="34"/>
      </x:c>
      <x:c r="O169" s="337" t="str">
        <x:f t="shared" si="29"/>
      </x:c>
      <x:c r="P169" s="324"/>
      <x:c r="Q169" s="336" t="str">
        <x:f t="shared" si="35"/>
      </x:c>
      <x:c r="R169" s="339" t="str">
        <x:f t="shared" si="30"/>
      </x:c>
      <x:c r="S169" s="324"/>
      <x:c r="T169" s="336" t="str">
        <x:f t="shared" si="36"/>
      </x:c>
      <x:c r="U169" s="325"/>
      <x:c r="V169" s="340" t="str">
        <x:f>IF(OR(D169="",U169="",$C$5="",$C$6=""),"",IF(U169="Target Hit",IF(D169="Buy",(F169-E169)*($C$5/2)*$C$6,(E169-F169)*($C$5/2)*$C$6),IF(U169="Target Hit",IF(D169="Buy",(F169-E169)*($C$5/2)*$C$6,(E169-F169)*($C$5/2)*$C$6),IF(U169="Rollover",IF(D169="Buy",(Z169-E169)*($C$5/2)*$C$6,(E169-Z169)*($C$5/2)*$C$6),IF(U169="Stoploss 1 Hit",IF(K169="","",IF(D169="Buy",(K169-E169)*$C$5*$C$6,(E169-K169)*$C$5*$C$6)),IF(OR(U169="Gap Down Stoploss 1 Hit",U169="Gap Up Stoploss 1 Hit"),IF(Q169="","",IF(D169="Buy",(Q169-E169)*$C$5*$C$6,(E169-Q169)*$C$5*$C$6)),0))))))</x:f>
      </x:c>
      <x:c r="W169" s="326"/>
      <x:c r="X169" s="341" t="str">
        <x:f>IF(D169="","",IF(U169="Target Hit",IF(W169="Stoploss 2 Hit",IF(N169="","",IF(D169="Buy",(N169-E169)*($C$5/2)*$C$6,(E169-N169)*($C$5/2)*$C$6)),IF(U169="Target Hit",IF(W169="Rollover",IF(Z169="","",IF(D169="Buy",(Z169-E169)*($C$5/2)*$C$6,(E169-Z169)*($C$5/2)*$C$6)),IF(W169="Gap Down Stoploss 2 Hit",IF(T169="","",IF(D169="Buy",(T169-E169)*($C$5/2)*$C$6,(E169-T169)*($C$5/2)*$C$6)),IF(W169="Gap Up Stoploss 2 Hit",IF(T169="","",IF(D169="Buy",(T169-E169)*($C$5/2)*$C$6,(E169-T169)*($C$5/2)*$C$6)),0))),0))))</x:f>
      </x:c>
      <x:c r="Y169" s="343" t="str">
        <x:f t="shared" si="31"/>
      </x:c>
      <x:c r="Z169" s="327"/>
    </x:row>
    <x:row r="170">
      <x:c r="A170" s="35">
        <x:v>158</x:v>
      </x:c>
      <x:c r="B170" s="318"/>
      <x:c r="C170" s="319"/>
      <x:c r="D170" s="320"/>
      <x:c r="E170" s="321"/>
      <x:c r="F170" s="322"/>
      <x:c r="G170" s="321"/>
      <x:c r="H170" s="323"/>
      <x:c r="I170" s="337" t="str">
        <x:f t="shared" si="28"/>
      </x:c>
      <x:c r="J170" s="324"/>
      <x:c r="K170" s="336" t="str">
        <x:f t="shared" si="32"/>
      </x:c>
      <x:c r="L170" s="335" t="str">
        <x:f t="shared" si="33"/>
      </x:c>
      <x:c r="M170" s="324"/>
      <x:c r="N170" s="336" t="str">
        <x:f t="shared" si="34"/>
      </x:c>
      <x:c r="O170" s="337" t="str">
        <x:f t="shared" si="29"/>
      </x:c>
      <x:c r="P170" s="324"/>
      <x:c r="Q170" s="336" t="str">
        <x:f t="shared" si="35"/>
      </x:c>
      <x:c r="R170" s="339" t="str">
        <x:f t="shared" si="30"/>
      </x:c>
      <x:c r="S170" s="324"/>
      <x:c r="T170" s="336" t="str">
        <x:f t="shared" si="36"/>
      </x:c>
      <x:c r="U170" s="325"/>
      <x:c r="V170" s="340" t="str">
        <x:f>IF(OR(D170="",U170="",$C$5="",$C$6=""),"",IF(U170="Target Hit",IF(D170="Buy",(F170-E170)*($C$5/2)*$C$6,(E170-F170)*($C$5/2)*$C$6),IF(U170="Target Hit",IF(D170="Buy",(F170-E170)*($C$5/2)*$C$6,(E170-F170)*($C$5/2)*$C$6),IF(U170="Rollover",IF(D170="Buy",(Z170-E170)*($C$5/2)*$C$6,(E170-Z170)*($C$5/2)*$C$6),IF(U170="Stoploss 1 Hit",IF(K170="","",IF(D170="Buy",(K170-E170)*$C$5*$C$6,(E170-K170)*$C$5*$C$6)),IF(OR(U170="Gap Down Stoploss 1 Hit",U170="Gap Up Stoploss 1 Hit"),IF(Q170="","",IF(D170="Buy",(Q170-E170)*$C$5*$C$6,(E170-Q170)*$C$5*$C$6)),0))))))</x:f>
      </x:c>
      <x:c r="W170" s="326"/>
      <x:c r="X170" s="341" t="str">
        <x:f>IF(D170="","",IF(U170="Target Hit",IF(W170="Stoploss 2 Hit",IF(N170="","",IF(D170="Buy",(N170-E170)*($C$5/2)*$C$6,(E170-N170)*($C$5/2)*$C$6)),IF(U170="Target Hit",IF(W170="Rollover",IF(Z170="","",IF(D170="Buy",(Z170-E170)*($C$5/2)*$C$6,(E170-Z170)*($C$5/2)*$C$6)),IF(W170="Gap Down Stoploss 2 Hit",IF(T170="","",IF(D170="Buy",(T170-E170)*($C$5/2)*$C$6,(E170-T170)*($C$5/2)*$C$6)),IF(W170="Gap Up Stoploss 2 Hit",IF(T170="","",IF(D170="Buy",(T170-E170)*($C$5/2)*$C$6,(E170-T170)*($C$5/2)*$C$6)),0))),0))))</x:f>
      </x:c>
      <x:c r="Y170" s="343" t="str">
        <x:f t="shared" si="31"/>
      </x:c>
      <x:c r="Z170" s="327"/>
    </x:row>
    <x:row r="171">
      <x:c r="A171" s="35">
        <x:v>159</x:v>
      </x:c>
      <x:c r="B171" s="318"/>
      <x:c r="C171" s="319"/>
      <x:c r="D171" s="320"/>
      <x:c r="E171" s="321"/>
      <x:c r="F171" s="322"/>
      <x:c r="G171" s="321"/>
      <x:c r="H171" s="323"/>
      <x:c r="I171" s="337" t="str">
        <x:f t="shared" si="28"/>
      </x:c>
      <x:c r="J171" s="324"/>
      <x:c r="K171" s="336" t="str">
        <x:f t="shared" si="32"/>
      </x:c>
      <x:c r="L171" s="335" t="str">
        <x:f t="shared" si="33"/>
      </x:c>
      <x:c r="M171" s="324"/>
      <x:c r="N171" s="336" t="str">
        <x:f t="shared" si="34"/>
      </x:c>
      <x:c r="O171" s="337" t="str">
        <x:f t="shared" si="29"/>
      </x:c>
      <x:c r="P171" s="324"/>
      <x:c r="Q171" s="336" t="str">
        <x:f t="shared" si="35"/>
      </x:c>
      <x:c r="R171" s="339" t="str">
        <x:f t="shared" si="30"/>
      </x:c>
      <x:c r="S171" s="324"/>
      <x:c r="T171" s="336" t="str">
        <x:f t="shared" si="36"/>
      </x:c>
      <x:c r="U171" s="325"/>
      <x:c r="V171" s="340" t="str">
        <x:f>IF(OR(D171="",U171="",$C$5="",$C$6=""),"",IF(U171="Target Hit",IF(D171="Buy",(F171-E171)*($C$5/2)*$C$6,(E171-F171)*($C$5/2)*$C$6),IF(U171="Target Hit",IF(D171="Buy",(F171-E171)*($C$5/2)*$C$6,(E171-F171)*($C$5/2)*$C$6),IF(U171="Rollover",IF(D171="Buy",(Z171-E171)*($C$5/2)*$C$6,(E171-Z171)*($C$5/2)*$C$6),IF(U171="Stoploss 1 Hit",IF(K171="","",IF(D171="Buy",(K171-E171)*$C$5*$C$6,(E171-K171)*$C$5*$C$6)),IF(OR(U171="Gap Down Stoploss 1 Hit",U171="Gap Up Stoploss 1 Hit"),IF(Q171="","",IF(D171="Buy",(Q171-E171)*$C$5*$C$6,(E171-Q171)*$C$5*$C$6)),0))))))</x:f>
      </x:c>
      <x:c r="W171" s="326"/>
      <x:c r="X171" s="341" t="str">
        <x:f>IF(D171="","",IF(U171="Target Hit",IF(W171="Stoploss 2 Hit",IF(N171="","",IF(D171="Buy",(N171-E171)*($C$5/2)*$C$6,(E171-N171)*($C$5/2)*$C$6)),IF(U171="Target Hit",IF(W171="Rollover",IF(Z171="","",IF(D171="Buy",(Z171-E171)*($C$5/2)*$C$6,(E171-Z171)*($C$5/2)*$C$6)),IF(W171="Gap Down Stoploss 2 Hit",IF(T171="","",IF(D171="Buy",(T171-E171)*($C$5/2)*$C$6,(E171-T171)*($C$5/2)*$C$6)),IF(W171="Gap Up Stoploss 2 Hit",IF(T171="","",IF(D171="Buy",(T171-E171)*($C$5/2)*$C$6,(E171-T171)*($C$5/2)*$C$6)),0))),0))))</x:f>
      </x:c>
      <x:c r="Y171" s="343" t="str">
        <x:f t="shared" si="31"/>
      </x:c>
      <x:c r="Z171" s="327"/>
    </x:row>
    <x:row r="172">
      <x:c r="A172" s="35">
        <x:v>160</x:v>
      </x:c>
      <x:c r="B172" s="318"/>
      <x:c r="C172" s="319"/>
      <x:c r="D172" s="320"/>
      <x:c r="E172" s="321"/>
      <x:c r="F172" s="322"/>
      <x:c r="G172" s="321"/>
      <x:c r="H172" s="323"/>
      <x:c r="I172" s="337" t="str">
        <x:f t="shared" si="28"/>
      </x:c>
      <x:c r="J172" s="324"/>
      <x:c r="K172" s="336" t="str">
        <x:f t="shared" si="32"/>
      </x:c>
      <x:c r="L172" s="335" t="str">
        <x:f t="shared" si="33"/>
      </x:c>
      <x:c r="M172" s="324"/>
      <x:c r="N172" s="336" t="str">
        <x:f t="shared" si="34"/>
      </x:c>
      <x:c r="O172" s="337" t="str">
        <x:f t="shared" si="29"/>
      </x:c>
      <x:c r="P172" s="324"/>
      <x:c r="Q172" s="336" t="str">
        <x:f t="shared" si="35"/>
      </x:c>
      <x:c r="R172" s="339" t="str">
        <x:f t="shared" si="30"/>
      </x:c>
      <x:c r="S172" s="324"/>
      <x:c r="T172" s="336" t="str">
        <x:f t="shared" si="36"/>
      </x:c>
      <x:c r="U172" s="325"/>
      <x:c r="V172" s="340" t="str">
        <x:f>IF(OR(D172="",U172="",$C$5="",$C$6=""),"",IF(U172="Target Hit",IF(D172="Buy",(F172-E172)*($C$5/2)*$C$6,(E172-F172)*($C$5/2)*$C$6),IF(U172="Target Hit",IF(D172="Buy",(F172-E172)*($C$5/2)*$C$6,(E172-F172)*($C$5/2)*$C$6),IF(U172="Rollover",IF(D172="Buy",(Z172-E172)*($C$5/2)*$C$6,(E172-Z172)*($C$5/2)*$C$6),IF(U172="Stoploss 1 Hit",IF(K172="","",IF(D172="Buy",(K172-E172)*$C$5*$C$6,(E172-K172)*$C$5*$C$6)),IF(OR(U172="Gap Down Stoploss 1 Hit",U172="Gap Up Stoploss 1 Hit"),IF(Q172="","",IF(D172="Buy",(Q172-E172)*$C$5*$C$6,(E172-Q172)*$C$5*$C$6)),0))))))</x:f>
      </x:c>
      <x:c r="W172" s="326"/>
      <x:c r="X172" s="341" t="str">
        <x:f>IF(D172="","",IF(U172="Target Hit",IF(W172="Stoploss 2 Hit",IF(N172="","",IF(D172="Buy",(N172-E172)*($C$5/2)*$C$6,(E172-N172)*($C$5/2)*$C$6)),IF(U172="Target Hit",IF(W172="Rollover",IF(Z172="","",IF(D172="Buy",(Z172-E172)*($C$5/2)*$C$6,(E172-Z172)*($C$5/2)*$C$6)),IF(W172="Gap Down Stoploss 2 Hit",IF(T172="","",IF(D172="Buy",(T172-E172)*($C$5/2)*$C$6,(E172-T172)*($C$5/2)*$C$6)),IF(W172="Gap Up Stoploss 2 Hit",IF(T172="","",IF(D172="Buy",(T172-E172)*($C$5/2)*$C$6,(E172-T172)*($C$5/2)*$C$6)),0))),0))))</x:f>
      </x:c>
      <x:c r="Y172" s="343" t="str">
        <x:f t="shared" si="31"/>
      </x:c>
      <x:c r="Z172" s="327"/>
    </x:row>
    <x:row r="173">
      <x:c r="A173" s="35">
        <x:v>161</x:v>
      </x:c>
      <x:c r="B173" s="318"/>
      <x:c r="C173" s="319"/>
      <x:c r="D173" s="320"/>
      <x:c r="E173" s="321"/>
      <x:c r="F173" s="322"/>
      <x:c r="G173" s="321"/>
      <x:c r="H173" s="323"/>
      <x:c r="I173" s="337" t="str">
        <x:f t="shared" si="28"/>
      </x:c>
      <x:c r="J173" s="324"/>
      <x:c r="K173" s="336" t="str">
        <x:f t="shared" si="32"/>
      </x:c>
      <x:c r="L173" s="335" t="str">
        <x:f t="shared" si="33"/>
      </x:c>
      <x:c r="M173" s="324"/>
      <x:c r="N173" s="336" t="str">
        <x:f t="shared" si="34"/>
      </x:c>
      <x:c r="O173" s="337" t="str">
        <x:f t="shared" si="29"/>
      </x:c>
      <x:c r="P173" s="324"/>
      <x:c r="Q173" s="336" t="str">
        <x:f t="shared" si="35"/>
      </x:c>
      <x:c r="R173" s="339" t="str">
        <x:f t="shared" si="30"/>
      </x:c>
      <x:c r="S173" s="324"/>
      <x:c r="T173" s="336" t="str">
        <x:f t="shared" si="36"/>
      </x:c>
      <x:c r="U173" s="325"/>
      <x:c r="V173" s="340" t="str">
        <x:f>IF(OR(D173="",U173="",$C$5="",$C$6=""),"",IF(U173="Target Hit",IF(D173="Buy",(F173-E173)*($C$5/2)*$C$6,(E173-F173)*($C$5/2)*$C$6),IF(U173="Target Hit",IF(D173="Buy",(F173-E173)*($C$5/2)*$C$6,(E173-F173)*($C$5/2)*$C$6),IF(U173="Rollover",IF(D173="Buy",(Z173-E173)*($C$5/2)*$C$6,(E173-Z173)*($C$5/2)*$C$6),IF(U173="Stoploss 1 Hit",IF(K173="","",IF(D173="Buy",(K173-E173)*$C$5*$C$6,(E173-K173)*$C$5*$C$6)),IF(OR(U173="Gap Down Stoploss 1 Hit",U173="Gap Up Stoploss 1 Hit"),IF(Q173="","",IF(D173="Buy",(Q173-E173)*$C$5*$C$6,(E173-Q173)*$C$5*$C$6)),0))))))</x:f>
      </x:c>
      <x:c r="W173" s="326"/>
      <x:c r="X173" s="341" t="str">
        <x:f>IF(D173="","",IF(U173="Target Hit",IF(W173="Stoploss 2 Hit",IF(N173="","",IF(D173="Buy",(N173-E173)*($C$5/2)*$C$6,(E173-N173)*($C$5/2)*$C$6)),IF(U173="Target Hit",IF(W173="Rollover",IF(Z173="","",IF(D173="Buy",(Z173-E173)*($C$5/2)*$C$6,(E173-Z173)*($C$5/2)*$C$6)),IF(W173="Gap Down Stoploss 2 Hit",IF(T173="","",IF(D173="Buy",(T173-E173)*($C$5/2)*$C$6,(E173-T173)*($C$5/2)*$C$6)),IF(W173="Gap Up Stoploss 2 Hit",IF(T173="","",IF(D173="Buy",(T173-E173)*($C$5/2)*$C$6,(E173-T173)*($C$5/2)*$C$6)),0))),0))))</x:f>
      </x:c>
      <x:c r="Y173" s="343" t="str">
        <x:f t="shared" si="31"/>
      </x:c>
      <x:c r="Z173" s="327"/>
    </x:row>
    <x:row r="174">
      <x:c r="A174" s="35">
        <x:v>162</x:v>
      </x:c>
      <x:c r="B174" s="318"/>
      <x:c r="C174" s="319"/>
      <x:c r="D174" s="320"/>
      <x:c r="E174" s="321"/>
      <x:c r="F174" s="322"/>
      <x:c r="G174" s="321"/>
      <x:c r="H174" s="323"/>
      <x:c r="I174" s="337" t="str">
        <x:f t="shared" si="28"/>
      </x:c>
      <x:c r="J174" s="324"/>
      <x:c r="K174" s="336" t="str">
        <x:f t="shared" ref="K174:K212" si="37">IF(OR(D174="",E174="",J174=""),"",IF(D174="Buy",MROUND(MAX(E174*(1-1.25%),J174*(1-0.125%)),1),MROUND(MIN(E174*(1+1.25%),J174*(1+0.125%)),1)))</x:f>
      </x:c>
      <x:c r="L174" s="335" t="str">
        <x:f t="shared" ref="L174:L212" si="38">IF(D174="Buy","Enter New 3DLL",IF(D174="Sell","Enter New 3DHH",""))</x:f>
      </x:c>
      <x:c r="M174" s="324"/>
      <x:c r="N174" s="336" t="str">
        <x:f t="shared" ref="N174:N212" si="39">IF(OR(D174="",E174="",M174=""),"",IF(D174="Buy",MROUND(MAX(E174*(1-1.25%),M174*(1-0.125%)),1),MROUND(MIN(E174*(1+1.25%),M174*(1+0.125%)),1)))</x:f>
      </x:c>
      <x:c r="O174" s="337" t="str">
        <x:f t="shared" si="29"/>
      </x:c>
      <x:c r="P174" s="324"/>
      <x:c r="Q174" s="336" t="str">
        <x:f t="shared" ref="Q174:Q212" si="40">IF(OR(D174="",P174=""),"",IF(D174="Buy",MROUND(P174*(1-0.125%),1),MROUND(P174*(1+0.125%),1)))</x:f>
      </x:c>
      <x:c r="R174" s="339" t="str">
        <x:f t="shared" si="30"/>
      </x:c>
      <x:c r="S174" s="324"/>
      <x:c r="T174" s="336" t="str">
        <x:f t="shared" ref="T174:T212" si="41">IF(OR(D174="",S174=""),"",IF(D174="Buy",MROUND(S174*(1-0.125%),1),MROUND(S174*(1+0.125%),1)))</x:f>
      </x:c>
      <x:c r="U174" s="325"/>
      <x:c r="V174" s="340" t="str">
        <x:f>IF(OR(D174="",U174="",$C$5="",$C$6=""),"",IF(U174="Target Hit",IF(D174="Buy",(F174-E174)*($C$5/2)*$C$6,(E174-F174)*($C$5/2)*$C$6),IF(U174="Target Hit",IF(D174="Buy",(F174-E174)*($C$5/2)*$C$6,(E174-F174)*($C$5/2)*$C$6),IF(U174="Rollover",IF(D174="Buy",(Z174-E174)*($C$5/2)*$C$6,(E174-Z174)*($C$5/2)*$C$6),IF(U174="Stoploss 1 Hit",IF(K174="","",IF(D174="Buy",(K174-E174)*$C$5*$C$6,(E174-K174)*$C$5*$C$6)),IF(OR(U174="Gap Down Stoploss 1 Hit",U174="Gap Up Stoploss 1 Hit"),IF(Q174="","",IF(D174="Buy",(Q174-E174)*$C$5*$C$6,(E174-Q174)*$C$5*$C$6)),0))))))</x:f>
      </x:c>
      <x:c r="W174" s="326"/>
      <x:c r="X174" s="341" t="str">
        <x:f>IF(D174="","",IF(U174="Target Hit",IF(W174="Stoploss 2 Hit",IF(N174="","",IF(D174="Buy",(N174-E174)*($C$5/2)*$C$6,(E174-N174)*($C$5/2)*$C$6)),IF(U174="Target Hit",IF(W174="Rollover",IF(Z174="","",IF(D174="Buy",(Z174-E174)*($C$5/2)*$C$6,(E174-Z174)*($C$5/2)*$C$6)),IF(W174="Gap Down Stoploss 2 Hit",IF(T174="","",IF(D174="Buy",(T174-E174)*($C$5/2)*$C$6,(E174-T174)*($C$5/2)*$C$6)),IF(W174="Gap Up Stoploss 2 Hit",IF(T174="","",IF(D174="Buy",(T174-E174)*($C$5/2)*$C$6,(E174-T174)*($C$5/2)*$C$6)),0))),0))))</x:f>
      </x:c>
      <x:c r="Y174" s="343" t="str">
        <x:f t="shared" si="31"/>
      </x:c>
      <x:c r="Z174" s="327"/>
    </x:row>
    <x:row r="175">
      <x:c r="A175" s="35">
        <x:v>163</x:v>
      </x:c>
      <x:c r="B175" s="318"/>
      <x:c r="C175" s="319"/>
      <x:c r="D175" s="320"/>
      <x:c r="E175" s="321"/>
      <x:c r="F175" s="322"/>
      <x:c r="G175" s="321"/>
      <x:c r="H175" s="323"/>
      <x:c r="I175" s="337" t="str">
        <x:f t="shared" si="28"/>
      </x:c>
      <x:c r="J175" s="324"/>
      <x:c r="K175" s="336" t="str">
        <x:f t="shared" si="37"/>
      </x:c>
      <x:c r="L175" s="335" t="str">
        <x:f t="shared" si="38"/>
      </x:c>
      <x:c r="M175" s="324"/>
      <x:c r="N175" s="336" t="str">
        <x:f t="shared" si="39"/>
      </x:c>
      <x:c r="O175" s="337" t="str">
        <x:f t="shared" si="29"/>
      </x:c>
      <x:c r="P175" s="324"/>
      <x:c r="Q175" s="336" t="str">
        <x:f t="shared" si="40"/>
      </x:c>
      <x:c r="R175" s="339" t="str">
        <x:f t="shared" si="30"/>
      </x:c>
      <x:c r="S175" s="324"/>
      <x:c r="T175" s="336" t="str">
        <x:f t="shared" si="41"/>
      </x:c>
      <x:c r="U175" s="325"/>
      <x:c r="V175" s="340" t="str">
        <x:f>IF(OR(D175="",U175="",$C$5="",$C$6=""),"",IF(U175="Target Hit",IF(D175="Buy",(F175-E175)*($C$5/2)*$C$6,(E175-F175)*($C$5/2)*$C$6),IF(U175="Target Hit",IF(D175="Buy",(F175-E175)*($C$5/2)*$C$6,(E175-F175)*($C$5/2)*$C$6),IF(U175="Rollover",IF(D175="Buy",(Z175-E175)*($C$5/2)*$C$6,(E175-Z175)*($C$5/2)*$C$6),IF(U175="Stoploss 1 Hit",IF(K175="","",IF(D175="Buy",(K175-E175)*$C$5*$C$6,(E175-K175)*$C$5*$C$6)),IF(OR(U175="Gap Down Stoploss 1 Hit",U175="Gap Up Stoploss 1 Hit"),IF(Q175="","",IF(D175="Buy",(Q175-E175)*$C$5*$C$6,(E175-Q175)*$C$5*$C$6)),0))))))</x:f>
      </x:c>
      <x:c r="W175" s="326"/>
      <x:c r="X175" s="341" t="str">
        <x:f>IF(D175="","",IF(U175="Target Hit",IF(W175="Stoploss 2 Hit",IF(N175="","",IF(D175="Buy",(N175-E175)*($C$5/2)*$C$6,(E175-N175)*($C$5/2)*$C$6)),IF(U175="Target Hit",IF(W175="Rollover",IF(Z175="","",IF(D175="Buy",(Z175-E175)*($C$5/2)*$C$6,(E175-Z175)*($C$5/2)*$C$6)),IF(W175="Gap Down Stoploss 2 Hit",IF(T175="","",IF(D175="Buy",(T175-E175)*($C$5/2)*$C$6,(E175-T175)*($C$5/2)*$C$6)),IF(W175="Gap Up Stoploss 2 Hit",IF(T175="","",IF(D175="Buy",(T175-E175)*($C$5/2)*$C$6,(E175-T175)*($C$5/2)*$C$6)),0))),0))))</x:f>
      </x:c>
      <x:c r="Y175" s="343" t="str">
        <x:f t="shared" si="31"/>
      </x:c>
      <x:c r="Z175" s="327"/>
    </x:row>
    <x:row r="176">
      <x:c r="A176" s="35">
        <x:v>164</x:v>
      </x:c>
      <x:c r="B176" s="318"/>
      <x:c r="C176" s="319"/>
      <x:c r="D176" s="320"/>
      <x:c r="E176" s="321"/>
      <x:c r="F176" s="322"/>
      <x:c r="G176" s="321"/>
      <x:c r="H176" s="323"/>
      <x:c r="I176" s="337" t="str">
        <x:f t="shared" si="28"/>
      </x:c>
      <x:c r="J176" s="324"/>
      <x:c r="K176" s="336" t="str">
        <x:f t="shared" si="37"/>
      </x:c>
      <x:c r="L176" s="335" t="str">
        <x:f t="shared" si="38"/>
      </x:c>
      <x:c r="M176" s="324"/>
      <x:c r="N176" s="336" t="str">
        <x:f t="shared" si="39"/>
      </x:c>
      <x:c r="O176" s="337" t="str">
        <x:f t="shared" si="29"/>
      </x:c>
      <x:c r="P176" s="324"/>
      <x:c r="Q176" s="336" t="str">
        <x:f t="shared" si="40"/>
      </x:c>
      <x:c r="R176" s="339" t="str">
        <x:f t="shared" si="30"/>
      </x:c>
      <x:c r="S176" s="324"/>
      <x:c r="T176" s="336" t="str">
        <x:f t="shared" si="41"/>
      </x:c>
      <x:c r="U176" s="325"/>
      <x:c r="V176" s="340" t="str">
        <x:f>IF(OR(D176="",U176="",$C$5="",$C$6=""),"",IF(U176="Target Hit",IF(D176="Buy",(F176-E176)*($C$5/2)*$C$6,(E176-F176)*($C$5/2)*$C$6),IF(U176="Target Hit",IF(D176="Buy",(F176-E176)*($C$5/2)*$C$6,(E176-F176)*($C$5/2)*$C$6),IF(U176="Rollover",IF(D176="Buy",(Z176-E176)*($C$5/2)*$C$6,(E176-Z176)*($C$5/2)*$C$6),IF(U176="Stoploss 1 Hit",IF(K176="","",IF(D176="Buy",(K176-E176)*$C$5*$C$6,(E176-K176)*$C$5*$C$6)),IF(OR(U176="Gap Down Stoploss 1 Hit",U176="Gap Up Stoploss 1 Hit"),IF(Q176="","",IF(D176="Buy",(Q176-E176)*$C$5*$C$6,(E176-Q176)*$C$5*$C$6)),0))))))</x:f>
      </x:c>
      <x:c r="W176" s="326"/>
      <x:c r="X176" s="341" t="str">
        <x:f>IF(D176="","",IF(U176="Target Hit",IF(W176="Stoploss 2 Hit",IF(N176="","",IF(D176="Buy",(N176-E176)*($C$5/2)*$C$6,(E176-N176)*($C$5/2)*$C$6)),IF(U176="Target Hit",IF(W176="Rollover",IF(Z176="","",IF(D176="Buy",(Z176-E176)*($C$5/2)*$C$6,(E176-Z176)*($C$5/2)*$C$6)),IF(W176="Gap Down Stoploss 2 Hit",IF(T176="","",IF(D176="Buy",(T176-E176)*($C$5/2)*$C$6,(E176-T176)*($C$5/2)*$C$6)),IF(W176="Gap Up Stoploss 2 Hit",IF(T176="","",IF(D176="Buy",(T176-E176)*($C$5/2)*$C$6,(E176-T176)*($C$5/2)*$C$6)),0))),0))))</x:f>
      </x:c>
      <x:c r="Y176" s="343" t="str">
        <x:f t="shared" si="31"/>
      </x:c>
      <x:c r="Z176" s="327"/>
    </x:row>
    <x:row r="177">
      <x:c r="A177" s="35">
        <x:v>165</x:v>
      </x:c>
      <x:c r="B177" s="318"/>
      <x:c r="C177" s="319"/>
      <x:c r="D177" s="320"/>
      <x:c r="E177" s="321"/>
      <x:c r="F177" s="322"/>
      <x:c r="G177" s="321"/>
      <x:c r="H177" s="323"/>
      <x:c r="I177" s="337" t="str">
        <x:f t="shared" si="28"/>
      </x:c>
      <x:c r="J177" s="324"/>
      <x:c r="K177" s="336" t="str">
        <x:f t="shared" si="37"/>
      </x:c>
      <x:c r="L177" s="335" t="str">
        <x:f t="shared" si="38"/>
      </x:c>
      <x:c r="M177" s="324"/>
      <x:c r="N177" s="336" t="str">
        <x:f t="shared" si="39"/>
      </x:c>
      <x:c r="O177" s="337" t="str">
        <x:f t="shared" si="29"/>
      </x:c>
      <x:c r="P177" s="324"/>
      <x:c r="Q177" s="336" t="str">
        <x:f t="shared" si="40"/>
      </x:c>
      <x:c r="R177" s="339" t="str">
        <x:f t="shared" si="30"/>
      </x:c>
      <x:c r="S177" s="324"/>
      <x:c r="T177" s="336" t="str">
        <x:f t="shared" si="41"/>
      </x:c>
      <x:c r="U177" s="325"/>
      <x:c r="V177" s="340" t="str">
        <x:f>IF(OR(D177="",U177="",$C$5="",$C$6=""),"",IF(U177="Target Hit",IF(D177="Buy",(F177-E177)*($C$5/2)*$C$6,(E177-F177)*($C$5/2)*$C$6),IF(U177="Target Hit",IF(D177="Buy",(F177-E177)*($C$5/2)*$C$6,(E177-F177)*($C$5/2)*$C$6),IF(U177="Rollover",IF(D177="Buy",(Z177-E177)*($C$5/2)*$C$6,(E177-Z177)*($C$5/2)*$C$6),IF(U177="Stoploss 1 Hit",IF(K177="","",IF(D177="Buy",(K177-E177)*$C$5*$C$6,(E177-K177)*$C$5*$C$6)),IF(OR(U177="Gap Down Stoploss 1 Hit",U177="Gap Up Stoploss 1 Hit"),IF(Q177="","",IF(D177="Buy",(Q177-E177)*$C$5*$C$6,(E177-Q177)*$C$5*$C$6)),0))))))</x:f>
      </x:c>
      <x:c r="W177" s="326"/>
      <x:c r="X177" s="341" t="str">
        <x:f>IF(D177="","",IF(U177="Target Hit",IF(W177="Stoploss 2 Hit",IF(N177="","",IF(D177="Buy",(N177-E177)*($C$5/2)*$C$6,(E177-N177)*($C$5/2)*$C$6)),IF(U177="Target Hit",IF(W177="Rollover",IF(Z177="","",IF(D177="Buy",(Z177-E177)*($C$5/2)*$C$6,(E177-Z177)*($C$5/2)*$C$6)),IF(W177="Gap Down Stoploss 2 Hit",IF(T177="","",IF(D177="Buy",(T177-E177)*($C$5/2)*$C$6,(E177-T177)*($C$5/2)*$C$6)),IF(W177="Gap Up Stoploss 2 Hit",IF(T177="","",IF(D177="Buy",(T177-E177)*($C$5/2)*$C$6,(E177-T177)*($C$5/2)*$C$6)),0))),0))))</x:f>
      </x:c>
      <x:c r="Y177" s="343" t="str">
        <x:f t="shared" si="31"/>
      </x:c>
      <x:c r="Z177" s="327"/>
    </x:row>
    <x:row r="178">
      <x:c r="A178" s="35">
        <x:v>166</x:v>
      </x:c>
      <x:c r="B178" s="318"/>
      <x:c r="C178" s="319"/>
      <x:c r="D178" s="320"/>
      <x:c r="E178" s="321"/>
      <x:c r="F178" s="322"/>
      <x:c r="G178" s="321"/>
      <x:c r="H178" s="323"/>
      <x:c r="I178" s="337" t="str">
        <x:f t="shared" si="28"/>
      </x:c>
      <x:c r="J178" s="324"/>
      <x:c r="K178" s="336" t="str">
        <x:f t="shared" si="37"/>
      </x:c>
      <x:c r="L178" s="335" t="str">
        <x:f t="shared" si="38"/>
      </x:c>
      <x:c r="M178" s="324"/>
      <x:c r="N178" s="336" t="str">
        <x:f t="shared" si="39"/>
      </x:c>
      <x:c r="O178" s="337" t="str">
        <x:f t="shared" si="29"/>
      </x:c>
      <x:c r="P178" s="324"/>
      <x:c r="Q178" s="336" t="str">
        <x:f t="shared" si="40"/>
      </x:c>
      <x:c r="R178" s="339" t="str">
        <x:f t="shared" si="30"/>
      </x:c>
      <x:c r="S178" s="324"/>
      <x:c r="T178" s="336" t="str">
        <x:f t="shared" si="41"/>
      </x:c>
      <x:c r="U178" s="325"/>
      <x:c r="V178" s="340" t="str">
        <x:f>IF(OR(D178="",U178="",$C$5="",$C$6=""),"",IF(U178="Target Hit",IF(D178="Buy",(F178-E178)*($C$5/2)*$C$6,(E178-F178)*($C$5/2)*$C$6),IF(U178="Target Hit",IF(D178="Buy",(F178-E178)*($C$5/2)*$C$6,(E178-F178)*($C$5/2)*$C$6),IF(U178="Rollover",IF(D178="Buy",(Z178-E178)*($C$5/2)*$C$6,(E178-Z178)*($C$5/2)*$C$6),IF(U178="Stoploss 1 Hit",IF(K178="","",IF(D178="Buy",(K178-E178)*$C$5*$C$6,(E178-K178)*$C$5*$C$6)),IF(OR(U178="Gap Down Stoploss 1 Hit",U178="Gap Up Stoploss 1 Hit"),IF(Q178="","",IF(D178="Buy",(Q178-E178)*$C$5*$C$6,(E178-Q178)*$C$5*$C$6)),0))))))</x:f>
      </x:c>
      <x:c r="W178" s="326"/>
      <x:c r="X178" s="341" t="str">
        <x:f>IF(D178="","",IF(U178="Target Hit",IF(W178="Stoploss 2 Hit",IF(N178="","",IF(D178="Buy",(N178-E178)*($C$5/2)*$C$6,(E178-N178)*($C$5/2)*$C$6)),IF(U178="Target Hit",IF(W178="Rollover",IF(Z178="","",IF(D178="Buy",(Z178-E178)*($C$5/2)*$C$6,(E178-Z178)*($C$5/2)*$C$6)),IF(W178="Gap Down Stoploss 2 Hit",IF(T178="","",IF(D178="Buy",(T178-E178)*($C$5/2)*$C$6,(E178-T178)*($C$5/2)*$C$6)),IF(W178="Gap Up Stoploss 2 Hit",IF(T178="","",IF(D178="Buy",(T178-E178)*($C$5/2)*$C$6,(E178-T178)*($C$5/2)*$C$6)),0))),0))))</x:f>
      </x:c>
      <x:c r="Y178" s="343" t="str">
        <x:f t="shared" si="31"/>
      </x:c>
      <x:c r="Z178" s="327"/>
    </x:row>
    <x:row r="179">
      <x:c r="A179" s="35">
        <x:v>167</x:v>
      </x:c>
      <x:c r="B179" s="318"/>
      <x:c r="C179" s="319"/>
      <x:c r="D179" s="320"/>
      <x:c r="E179" s="321"/>
      <x:c r="F179" s="322"/>
      <x:c r="G179" s="321"/>
      <x:c r="H179" s="323"/>
      <x:c r="I179" s="337" t="str">
        <x:f t="shared" si="28"/>
      </x:c>
      <x:c r="J179" s="324"/>
      <x:c r="K179" s="336" t="str">
        <x:f t="shared" si="37"/>
      </x:c>
      <x:c r="L179" s="335" t="str">
        <x:f t="shared" si="38"/>
      </x:c>
      <x:c r="M179" s="324"/>
      <x:c r="N179" s="336" t="str">
        <x:f t="shared" si="39"/>
      </x:c>
      <x:c r="O179" s="337" t="str">
        <x:f t="shared" si="29"/>
      </x:c>
      <x:c r="P179" s="324"/>
      <x:c r="Q179" s="336" t="str">
        <x:f t="shared" si="40"/>
      </x:c>
      <x:c r="R179" s="339" t="str">
        <x:f t="shared" si="30"/>
      </x:c>
      <x:c r="S179" s="324"/>
      <x:c r="T179" s="336" t="str">
        <x:f t="shared" si="41"/>
      </x:c>
      <x:c r="U179" s="325"/>
      <x:c r="V179" s="340" t="str">
        <x:f>IF(OR(D179="",U179="",$C$5="",$C$6=""),"",IF(U179="Target Hit",IF(D179="Buy",(F179-E179)*($C$5/2)*$C$6,(E179-F179)*($C$5/2)*$C$6),IF(U179="Target Hit",IF(D179="Buy",(F179-E179)*($C$5/2)*$C$6,(E179-F179)*($C$5/2)*$C$6),IF(U179="Rollover",IF(D179="Buy",(Z179-E179)*($C$5/2)*$C$6,(E179-Z179)*($C$5/2)*$C$6),IF(U179="Stoploss 1 Hit",IF(K179="","",IF(D179="Buy",(K179-E179)*$C$5*$C$6,(E179-K179)*$C$5*$C$6)),IF(OR(U179="Gap Down Stoploss 1 Hit",U179="Gap Up Stoploss 1 Hit"),IF(Q179="","",IF(D179="Buy",(Q179-E179)*$C$5*$C$6,(E179-Q179)*$C$5*$C$6)),0))))))</x:f>
      </x:c>
      <x:c r="W179" s="326"/>
      <x:c r="X179" s="341" t="str">
        <x:f>IF(D179="","",IF(U179="Target Hit",IF(W179="Stoploss 2 Hit",IF(N179="","",IF(D179="Buy",(N179-E179)*($C$5/2)*$C$6,(E179-N179)*($C$5/2)*$C$6)),IF(U179="Target Hit",IF(W179="Rollover",IF(Z179="","",IF(D179="Buy",(Z179-E179)*($C$5/2)*$C$6,(E179-Z179)*($C$5/2)*$C$6)),IF(W179="Gap Down Stoploss 2 Hit",IF(T179="","",IF(D179="Buy",(T179-E179)*($C$5/2)*$C$6,(E179-T179)*($C$5/2)*$C$6)),IF(W179="Gap Up Stoploss 2 Hit",IF(T179="","",IF(D179="Buy",(T179-E179)*($C$5/2)*$C$6,(E179-T179)*($C$5/2)*$C$6)),0))),0))))</x:f>
      </x:c>
      <x:c r="Y179" s="343" t="str">
        <x:f t="shared" si="31"/>
      </x:c>
      <x:c r="Z179" s="327"/>
    </x:row>
    <x:row r="180">
      <x:c r="A180" s="35">
        <x:v>168</x:v>
      </x:c>
      <x:c r="B180" s="318"/>
      <x:c r="C180" s="319"/>
      <x:c r="D180" s="320"/>
      <x:c r="E180" s="321"/>
      <x:c r="F180" s="322"/>
      <x:c r="G180" s="321"/>
      <x:c r="H180" s="323"/>
      <x:c r="I180" s="337" t="str">
        <x:f t="shared" si="28"/>
      </x:c>
      <x:c r="J180" s="324"/>
      <x:c r="K180" s="336" t="str">
        <x:f t="shared" si="37"/>
      </x:c>
      <x:c r="L180" s="335" t="str">
        <x:f t="shared" si="38"/>
      </x:c>
      <x:c r="M180" s="324"/>
      <x:c r="N180" s="336" t="str">
        <x:f t="shared" si="39"/>
      </x:c>
      <x:c r="O180" s="337" t="str">
        <x:f t="shared" si="29"/>
      </x:c>
      <x:c r="P180" s="324"/>
      <x:c r="Q180" s="336" t="str">
        <x:f t="shared" si="40"/>
      </x:c>
      <x:c r="R180" s="339" t="str">
        <x:f t="shared" si="30"/>
      </x:c>
      <x:c r="S180" s="324"/>
      <x:c r="T180" s="336" t="str">
        <x:f t="shared" si="41"/>
      </x:c>
      <x:c r="U180" s="325"/>
      <x:c r="V180" s="340" t="str">
        <x:f>IF(OR(D180="",U180="",$C$5="",$C$6=""),"",IF(U180="Target Hit",IF(D180="Buy",(F180-E180)*($C$5/2)*$C$6,(E180-F180)*($C$5/2)*$C$6),IF(U180="Target Hit",IF(D180="Buy",(F180-E180)*($C$5/2)*$C$6,(E180-F180)*($C$5/2)*$C$6),IF(U180="Rollover",IF(D180="Buy",(Z180-E180)*($C$5/2)*$C$6,(E180-Z180)*($C$5/2)*$C$6),IF(U180="Stoploss 1 Hit",IF(K180="","",IF(D180="Buy",(K180-E180)*$C$5*$C$6,(E180-K180)*$C$5*$C$6)),IF(OR(U180="Gap Down Stoploss 1 Hit",U180="Gap Up Stoploss 1 Hit"),IF(Q180="","",IF(D180="Buy",(Q180-E180)*$C$5*$C$6,(E180-Q180)*$C$5*$C$6)),0))))))</x:f>
      </x:c>
      <x:c r="W180" s="326"/>
      <x:c r="X180" s="341" t="str">
        <x:f>IF(D180="","",IF(U180="Target Hit",IF(W180="Stoploss 2 Hit",IF(N180="","",IF(D180="Buy",(N180-E180)*($C$5/2)*$C$6,(E180-N180)*($C$5/2)*$C$6)),IF(U180="Target Hit",IF(W180="Rollover",IF(Z180="","",IF(D180="Buy",(Z180-E180)*($C$5/2)*$C$6,(E180-Z180)*($C$5/2)*$C$6)),IF(W180="Gap Down Stoploss 2 Hit",IF(T180="","",IF(D180="Buy",(T180-E180)*($C$5/2)*$C$6,(E180-T180)*($C$5/2)*$C$6)),IF(W180="Gap Up Stoploss 2 Hit",IF(T180="","",IF(D180="Buy",(T180-E180)*($C$5/2)*$C$6,(E180-T180)*($C$5/2)*$C$6)),0))),0))))</x:f>
      </x:c>
      <x:c r="Y180" s="343" t="str">
        <x:f t="shared" si="31"/>
      </x:c>
      <x:c r="Z180" s="327"/>
    </x:row>
    <x:row r="181">
      <x:c r="A181" s="35">
        <x:v>169</x:v>
      </x:c>
      <x:c r="B181" s="318"/>
      <x:c r="C181" s="319"/>
      <x:c r="D181" s="320"/>
      <x:c r="E181" s="321"/>
      <x:c r="F181" s="322"/>
      <x:c r="G181" s="321"/>
      <x:c r="H181" s="323"/>
      <x:c r="I181" s="337" t="str">
        <x:f t="shared" si="28"/>
      </x:c>
      <x:c r="J181" s="324"/>
      <x:c r="K181" s="336" t="str">
        <x:f t="shared" si="37"/>
      </x:c>
      <x:c r="L181" s="335" t="str">
        <x:f t="shared" si="38"/>
      </x:c>
      <x:c r="M181" s="324"/>
      <x:c r="N181" s="336" t="str">
        <x:f t="shared" si="39"/>
      </x:c>
      <x:c r="O181" s="337" t="str">
        <x:f t="shared" si="29"/>
      </x:c>
      <x:c r="P181" s="324"/>
      <x:c r="Q181" s="336" t="str">
        <x:f t="shared" si="40"/>
      </x:c>
      <x:c r="R181" s="339" t="str">
        <x:f t="shared" si="30"/>
      </x:c>
      <x:c r="S181" s="324"/>
      <x:c r="T181" s="336" t="str">
        <x:f t="shared" si="41"/>
      </x:c>
      <x:c r="U181" s="325"/>
      <x:c r="V181" s="340" t="str">
        <x:f>IF(OR(D181="",U181="",$C$5="",$C$6=""),"",IF(U181="Target Hit",IF(D181="Buy",(F181-E181)*($C$5/2)*$C$6,(E181-F181)*($C$5/2)*$C$6),IF(U181="Target Hit",IF(D181="Buy",(F181-E181)*($C$5/2)*$C$6,(E181-F181)*($C$5/2)*$C$6),IF(U181="Rollover",IF(D181="Buy",(Z181-E181)*($C$5/2)*$C$6,(E181-Z181)*($C$5/2)*$C$6),IF(U181="Stoploss 1 Hit",IF(K181="","",IF(D181="Buy",(K181-E181)*$C$5*$C$6,(E181-K181)*$C$5*$C$6)),IF(OR(U181="Gap Down Stoploss 1 Hit",U181="Gap Up Stoploss 1 Hit"),IF(Q181="","",IF(D181="Buy",(Q181-E181)*$C$5*$C$6,(E181-Q181)*$C$5*$C$6)),0))))))</x:f>
      </x:c>
      <x:c r="W181" s="326"/>
      <x:c r="X181" s="341" t="str">
        <x:f>IF(D181="","",IF(U181="Target Hit",IF(W181="Stoploss 2 Hit",IF(N181="","",IF(D181="Buy",(N181-E181)*($C$5/2)*$C$6,(E181-N181)*($C$5/2)*$C$6)),IF(U181="Target Hit",IF(W181="Rollover",IF(Z181="","",IF(D181="Buy",(Z181-E181)*($C$5/2)*$C$6,(E181-Z181)*($C$5/2)*$C$6)),IF(W181="Gap Down Stoploss 2 Hit",IF(T181="","",IF(D181="Buy",(T181-E181)*($C$5/2)*$C$6,(E181-T181)*($C$5/2)*$C$6)),IF(W181="Gap Up Stoploss 2 Hit",IF(T181="","",IF(D181="Buy",(T181-E181)*($C$5/2)*$C$6,(E181-T181)*($C$5/2)*$C$6)),0))),0))))</x:f>
      </x:c>
      <x:c r="Y181" s="343" t="str">
        <x:f t="shared" si="31"/>
      </x:c>
      <x:c r="Z181" s="327"/>
    </x:row>
    <x:row r="182">
      <x:c r="A182" s="35">
        <x:v>170</x:v>
      </x:c>
      <x:c r="B182" s="318"/>
      <x:c r="C182" s="319"/>
      <x:c r="D182" s="320"/>
      <x:c r="E182" s="321"/>
      <x:c r="F182" s="322"/>
      <x:c r="G182" s="321"/>
      <x:c r="H182" s="323"/>
      <x:c r="I182" s="337" t="str">
        <x:f t="shared" si="28"/>
      </x:c>
      <x:c r="J182" s="324"/>
      <x:c r="K182" s="336" t="str">
        <x:f t="shared" si="37"/>
      </x:c>
      <x:c r="L182" s="335" t="str">
        <x:f t="shared" si="38"/>
      </x:c>
      <x:c r="M182" s="324"/>
      <x:c r="N182" s="336" t="str">
        <x:f t="shared" si="39"/>
      </x:c>
      <x:c r="O182" s="337" t="str">
        <x:f t="shared" si="29"/>
      </x:c>
      <x:c r="P182" s="324"/>
      <x:c r="Q182" s="336" t="str">
        <x:f t="shared" si="40"/>
      </x:c>
      <x:c r="R182" s="339" t="str">
        <x:f t="shared" si="30"/>
      </x:c>
      <x:c r="S182" s="324"/>
      <x:c r="T182" s="336" t="str">
        <x:f t="shared" si="41"/>
      </x:c>
      <x:c r="U182" s="325"/>
      <x:c r="V182" s="340" t="str">
        <x:f>IF(OR(D182="",U182="",$C$5="",$C$6=""),"",IF(U182="Target Hit",IF(D182="Buy",(F182-E182)*($C$5/2)*$C$6,(E182-F182)*($C$5/2)*$C$6),IF(U182="Target Hit",IF(D182="Buy",(F182-E182)*($C$5/2)*$C$6,(E182-F182)*($C$5/2)*$C$6),IF(U182="Rollover",IF(D182="Buy",(Z182-E182)*($C$5/2)*$C$6,(E182-Z182)*($C$5/2)*$C$6),IF(U182="Stoploss 1 Hit",IF(K182="","",IF(D182="Buy",(K182-E182)*$C$5*$C$6,(E182-K182)*$C$5*$C$6)),IF(OR(U182="Gap Down Stoploss 1 Hit",U182="Gap Up Stoploss 1 Hit"),IF(Q182="","",IF(D182="Buy",(Q182-E182)*$C$5*$C$6,(E182-Q182)*$C$5*$C$6)),0))))))</x:f>
      </x:c>
      <x:c r="W182" s="326"/>
      <x:c r="X182" s="341" t="str">
        <x:f>IF(D182="","",IF(U182="Target Hit",IF(W182="Stoploss 2 Hit",IF(N182="","",IF(D182="Buy",(N182-E182)*($C$5/2)*$C$6,(E182-N182)*($C$5/2)*$C$6)),IF(U182="Target Hit",IF(W182="Rollover",IF(Z182="","",IF(D182="Buy",(Z182-E182)*($C$5/2)*$C$6,(E182-Z182)*($C$5/2)*$C$6)),IF(W182="Gap Down Stoploss 2 Hit",IF(T182="","",IF(D182="Buy",(T182-E182)*($C$5/2)*$C$6,(E182-T182)*($C$5/2)*$C$6)),IF(W182="Gap Up Stoploss 2 Hit",IF(T182="","",IF(D182="Buy",(T182-E182)*($C$5/2)*$C$6,(E182-T182)*($C$5/2)*$C$6)),0))),0))))</x:f>
      </x:c>
      <x:c r="Y182" s="343" t="str">
        <x:f t="shared" si="31"/>
      </x:c>
      <x:c r="Z182" s="327"/>
    </x:row>
    <x:row r="183">
      <x:c r="A183" s="35">
        <x:v>171</x:v>
      </x:c>
      <x:c r="B183" s="318"/>
      <x:c r="C183" s="319"/>
      <x:c r="D183" s="320"/>
      <x:c r="E183" s="321"/>
      <x:c r="F183" s="322"/>
      <x:c r="G183" s="321"/>
      <x:c r="H183" s="323"/>
      <x:c r="I183" s="337" t="str">
        <x:f t="shared" si="28"/>
      </x:c>
      <x:c r="J183" s="324"/>
      <x:c r="K183" s="336" t="str">
        <x:f t="shared" si="37"/>
      </x:c>
      <x:c r="L183" s="335" t="str">
        <x:f t="shared" si="38"/>
      </x:c>
      <x:c r="M183" s="324"/>
      <x:c r="N183" s="336" t="str">
        <x:f t="shared" si="39"/>
      </x:c>
      <x:c r="O183" s="337" t="str">
        <x:f t="shared" si="29"/>
      </x:c>
      <x:c r="P183" s="324"/>
      <x:c r="Q183" s="336" t="str">
        <x:f t="shared" si="40"/>
      </x:c>
      <x:c r="R183" s="339" t="str">
        <x:f t="shared" si="30"/>
      </x:c>
      <x:c r="S183" s="324"/>
      <x:c r="T183" s="336" t="str">
        <x:f t="shared" si="41"/>
      </x:c>
      <x:c r="U183" s="325"/>
      <x:c r="V183" s="340" t="str">
        <x:f>IF(OR(D183="",U183="",$C$5="",$C$6=""),"",IF(U183="Target Hit",IF(D183="Buy",(F183-E183)*($C$5/2)*$C$6,(E183-F183)*($C$5/2)*$C$6),IF(U183="Target Hit",IF(D183="Buy",(F183-E183)*($C$5/2)*$C$6,(E183-F183)*($C$5/2)*$C$6),IF(U183="Rollover",IF(D183="Buy",(Z183-E183)*($C$5/2)*$C$6,(E183-Z183)*($C$5/2)*$C$6),IF(U183="Stoploss 1 Hit",IF(K183="","",IF(D183="Buy",(K183-E183)*$C$5*$C$6,(E183-K183)*$C$5*$C$6)),IF(OR(U183="Gap Down Stoploss 1 Hit",U183="Gap Up Stoploss 1 Hit"),IF(Q183="","",IF(D183="Buy",(Q183-E183)*$C$5*$C$6,(E183-Q183)*$C$5*$C$6)),0))))))</x:f>
      </x:c>
      <x:c r="W183" s="326"/>
      <x:c r="X183" s="341" t="str">
        <x:f>IF(D183="","",IF(U183="Target Hit",IF(W183="Stoploss 2 Hit",IF(N183="","",IF(D183="Buy",(N183-E183)*($C$5/2)*$C$6,(E183-N183)*($C$5/2)*$C$6)),IF(U183="Target Hit",IF(W183="Rollover",IF(Z183="","",IF(D183="Buy",(Z183-E183)*($C$5/2)*$C$6,(E183-Z183)*($C$5/2)*$C$6)),IF(W183="Gap Down Stoploss 2 Hit",IF(T183="","",IF(D183="Buy",(T183-E183)*($C$5/2)*$C$6,(E183-T183)*($C$5/2)*$C$6)),IF(W183="Gap Up Stoploss 2 Hit",IF(T183="","",IF(D183="Buy",(T183-E183)*($C$5/2)*$C$6,(E183-T183)*($C$5/2)*$C$6)),0))),0))))</x:f>
      </x:c>
      <x:c r="Y183" s="343" t="str">
        <x:f t="shared" si="31"/>
      </x:c>
      <x:c r="Z183" s="327"/>
    </x:row>
    <x:row r="184">
      <x:c r="A184" s="35">
        <x:v>172</x:v>
      </x:c>
      <x:c r="B184" s="318"/>
      <x:c r="C184" s="319"/>
      <x:c r="D184" s="320"/>
      <x:c r="E184" s="321"/>
      <x:c r="F184" s="322"/>
      <x:c r="G184" s="321"/>
      <x:c r="H184" s="323"/>
      <x:c r="I184" s="337" t="str">
        <x:f t="shared" si="28"/>
      </x:c>
      <x:c r="J184" s="324"/>
      <x:c r="K184" s="336" t="str">
        <x:f t="shared" si="37"/>
      </x:c>
      <x:c r="L184" s="335" t="str">
        <x:f t="shared" si="38"/>
      </x:c>
      <x:c r="M184" s="324"/>
      <x:c r="N184" s="336" t="str">
        <x:f t="shared" si="39"/>
      </x:c>
      <x:c r="O184" s="337" t="str">
        <x:f t="shared" si="29"/>
      </x:c>
      <x:c r="P184" s="324"/>
      <x:c r="Q184" s="336" t="str">
        <x:f t="shared" si="40"/>
      </x:c>
      <x:c r="R184" s="339" t="str">
        <x:f t="shared" si="30"/>
      </x:c>
      <x:c r="S184" s="324"/>
      <x:c r="T184" s="336" t="str">
        <x:f t="shared" si="41"/>
      </x:c>
      <x:c r="U184" s="325"/>
      <x:c r="V184" s="340" t="str">
        <x:f>IF(OR(D184="",U184="",$C$5="",$C$6=""),"",IF(U184="Target Hit",IF(D184="Buy",(F184-E184)*($C$5/2)*$C$6,(E184-F184)*($C$5/2)*$C$6),IF(U184="Target Hit",IF(D184="Buy",(F184-E184)*($C$5/2)*$C$6,(E184-F184)*($C$5/2)*$C$6),IF(U184="Rollover",IF(D184="Buy",(Z184-E184)*($C$5/2)*$C$6,(E184-Z184)*($C$5/2)*$C$6),IF(U184="Stoploss 1 Hit",IF(K184="","",IF(D184="Buy",(K184-E184)*$C$5*$C$6,(E184-K184)*$C$5*$C$6)),IF(OR(U184="Gap Down Stoploss 1 Hit",U184="Gap Up Stoploss 1 Hit"),IF(Q184="","",IF(D184="Buy",(Q184-E184)*$C$5*$C$6,(E184-Q184)*$C$5*$C$6)),0))))))</x:f>
      </x:c>
      <x:c r="W184" s="326"/>
      <x:c r="X184" s="341" t="str">
        <x:f>IF(D184="","",IF(U184="Target Hit",IF(W184="Stoploss 2 Hit",IF(N184="","",IF(D184="Buy",(N184-E184)*($C$5/2)*$C$6,(E184-N184)*($C$5/2)*$C$6)),IF(U184="Target Hit",IF(W184="Rollover",IF(Z184="","",IF(D184="Buy",(Z184-E184)*($C$5/2)*$C$6,(E184-Z184)*($C$5/2)*$C$6)),IF(W184="Gap Down Stoploss 2 Hit",IF(T184="","",IF(D184="Buy",(T184-E184)*($C$5/2)*$C$6,(E184-T184)*($C$5/2)*$C$6)),IF(W184="Gap Up Stoploss 2 Hit",IF(T184="","",IF(D184="Buy",(T184-E184)*($C$5/2)*$C$6,(E184-T184)*($C$5/2)*$C$6)),0))),0))))</x:f>
      </x:c>
      <x:c r="Y184" s="343" t="str">
        <x:f t="shared" si="31"/>
      </x:c>
      <x:c r="Z184" s="327"/>
    </x:row>
    <x:row r="185">
      <x:c r="A185" s="35">
        <x:v>173</x:v>
      </x:c>
      <x:c r="B185" s="318"/>
      <x:c r="C185" s="319"/>
      <x:c r="D185" s="320"/>
      <x:c r="E185" s="321"/>
      <x:c r="F185" s="322"/>
      <x:c r="G185" s="321"/>
      <x:c r="H185" s="323"/>
      <x:c r="I185" s="337" t="str">
        <x:f t="shared" si="28"/>
      </x:c>
      <x:c r="J185" s="324"/>
      <x:c r="K185" s="336" t="str">
        <x:f t="shared" si="37"/>
      </x:c>
      <x:c r="L185" s="335" t="str">
        <x:f t="shared" si="38"/>
      </x:c>
      <x:c r="M185" s="324"/>
      <x:c r="N185" s="336" t="str">
        <x:f t="shared" si="39"/>
      </x:c>
      <x:c r="O185" s="337" t="str">
        <x:f t="shared" si="29"/>
      </x:c>
      <x:c r="P185" s="324"/>
      <x:c r="Q185" s="336" t="str">
        <x:f t="shared" si="40"/>
      </x:c>
      <x:c r="R185" s="339" t="str">
        <x:f t="shared" si="30"/>
      </x:c>
      <x:c r="S185" s="324"/>
      <x:c r="T185" s="336" t="str">
        <x:f t="shared" si="41"/>
      </x:c>
      <x:c r="U185" s="325"/>
      <x:c r="V185" s="340" t="str">
        <x:f>IF(OR(D185="",U185="",$C$5="",$C$6=""),"",IF(U185="Target Hit",IF(D185="Buy",(F185-E185)*($C$5/2)*$C$6,(E185-F185)*($C$5/2)*$C$6),IF(U185="Target Hit",IF(D185="Buy",(F185-E185)*($C$5/2)*$C$6,(E185-F185)*($C$5/2)*$C$6),IF(U185="Rollover",IF(D185="Buy",(Z185-E185)*($C$5/2)*$C$6,(E185-Z185)*($C$5/2)*$C$6),IF(U185="Stoploss 1 Hit",IF(K185="","",IF(D185="Buy",(K185-E185)*$C$5*$C$6,(E185-K185)*$C$5*$C$6)),IF(OR(U185="Gap Down Stoploss 1 Hit",U185="Gap Up Stoploss 1 Hit"),IF(Q185="","",IF(D185="Buy",(Q185-E185)*$C$5*$C$6,(E185-Q185)*$C$5*$C$6)),0))))))</x:f>
      </x:c>
      <x:c r="W185" s="326"/>
      <x:c r="X185" s="341" t="str">
        <x:f>IF(D185="","",IF(U185="Target Hit",IF(W185="Stoploss 2 Hit",IF(N185="","",IF(D185="Buy",(N185-E185)*($C$5/2)*$C$6,(E185-N185)*($C$5/2)*$C$6)),IF(U185="Target Hit",IF(W185="Rollover",IF(Z185="","",IF(D185="Buy",(Z185-E185)*($C$5/2)*$C$6,(E185-Z185)*($C$5/2)*$C$6)),IF(W185="Gap Down Stoploss 2 Hit",IF(T185="","",IF(D185="Buy",(T185-E185)*($C$5/2)*$C$6,(E185-T185)*($C$5/2)*$C$6)),IF(W185="Gap Up Stoploss 2 Hit",IF(T185="","",IF(D185="Buy",(T185-E185)*($C$5/2)*$C$6,(E185-T185)*($C$5/2)*$C$6)),0))),0))))</x:f>
      </x:c>
      <x:c r="Y185" s="343" t="str">
        <x:f t="shared" si="31"/>
      </x:c>
      <x:c r="Z185" s="327"/>
    </x:row>
    <x:row r="186">
      <x:c r="A186" s="35">
        <x:v>174</x:v>
      </x:c>
      <x:c r="B186" s="318"/>
      <x:c r="C186" s="319"/>
      <x:c r="D186" s="320"/>
      <x:c r="E186" s="321"/>
      <x:c r="F186" s="322"/>
      <x:c r="G186" s="321"/>
      <x:c r="H186" s="323"/>
      <x:c r="I186" s="337" t="str">
        <x:f t="shared" si="28"/>
      </x:c>
      <x:c r="J186" s="324"/>
      <x:c r="K186" s="336" t="str">
        <x:f t="shared" si="37"/>
      </x:c>
      <x:c r="L186" s="335" t="str">
        <x:f t="shared" si="38"/>
      </x:c>
      <x:c r="M186" s="324"/>
      <x:c r="N186" s="336" t="str">
        <x:f t="shared" si="39"/>
      </x:c>
      <x:c r="O186" s="337" t="str">
        <x:f t="shared" si="29"/>
      </x:c>
      <x:c r="P186" s="324"/>
      <x:c r="Q186" s="336" t="str">
        <x:f t="shared" si="40"/>
      </x:c>
      <x:c r="R186" s="339" t="str">
        <x:f t="shared" si="30"/>
      </x:c>
      <x:c r="S186" s="324"/>
      <x:c r="T186" s="336" t="str">
        <x:f t="shared" si="41"/>
      </x:c>
      <x:c r="U186" s="325"/>
      <x:c r="V186" s="340" t="str">
        <x:f>IF(OR(D186="",U186="",$C$5="",$C$6=""),"",IF(U186="Target Hit",IF(D186="Buy",(F186-E186)*($C$5/2)*$C$6,(E186-F186)*($C$5/2)*$C$6),IF(U186="Target Hit",IF(D186="Buy",(F186-E186)*($C$5/2)*$C$6,(E186-F186)*($C$5/2)*$C$6),IF(U186="Rollover",IF(D186="Buy",(Z186-E186)*($C$5/2)*$C$6,(E186-Z186)*($C$5/2)*$C$6),IF(U186="Stoploss 1 Hit",IF(K186="","",IF(D186="Buy",(K186-E186)*$C$5*$C$6,(E186-K186)*$C$5*$C$6)),IF(OR(U186="Gap Down Stoploss 1 Hit",U186="Gap Up Stoploss 1 Hit"),IF(Q186="","",IF(D186="Buy",(Q186-E186)*$C$5*$C$6,(E186-Q186)*$C$5*$C$6)),0))))))</x:f>
      </x:c>
      <x:c r="W186" s="326"/>
      <x:c r="X186" s="341" t="str">
        <x:f>IF(D186="","",IF(U186="Target Hit",IF(W186="Stoploss 2 Hit",IF(N186="","",IF(D186="Buy",(N186-E186)*($C$5/2)*$C$6,(E186-N186)*($C$5/2)*$C$6)),IF(U186="Target Hit",IF(W186="Rollover",IF(Z186="","",IF(D186="Buy",(Z186-E186)*($C$5/2)*$C$6,(E186-Z186)*($C$5/2)*$C$6)),IF(W186="Gap Down Stoploss 2 Hit",IF(T186="","",IF(D186="Buy",(T186-E186)*($C$5/2)*$C$6,(E186-T186)*($C$5/2)*$C$6)),IF(W186="Gap Up Stoploss 2 Hit",IF(T186="","",IF(D186="Buy",(T186-E186)*($C$5/2)*$C$6,(E186-T186)*($C$5/2)*$C$6)),0))),0))))</x:f>
      </x:c>
      <x:c r="Y186" s="343" t="str">
        <x:f t="shared" si="31"/>
      </x:c>
      <x:c r="Z186" s="327"/>
    </x:row>
    <x:row r="187">
      <x:c r="A187" s="35">
        <x:v>175</x:v>
      </x:c>
      <x:c r="B187" s="318"/>
      <x:c r="C187" s="319"/>
      <x:c r="D187" s="320"/>
      <x:c r="E187" s="321"/>
      <x:c r="F187" s="322"/>
      <x:c r="G187" s="321"/>
      <x:c r="H187" s="323"/>
      <x:c r="I187" s="337" t="str">
        <x:f t="shared" si="28"/>
      </x:c>
      <x:c r="J187" s="324"/>
      <x:c r="K187" s="336" t="str">
        <x:f t="shared" si="37"/>
      </x:c>
      <x:c r="L187" s="335" t="str">
        <x:f t="shared" si="38"/>
      </x:c>
      <x:c r="M187" s="324"/>
      <x:c r="N187" s="336" t="str">
        <x:f t="shared" si="39"/>
      </x:c>
      <x:c r="O187" s="337" t="str">
        <x:f t="shared" si="29"/>
      </x:c>
      <x:c r="P187" s="324"/>
      <x:c r="Q187" s="336" t="str">
        <x:f t="shared" si="40"/>
      </x:c>
      <x:c r="R187" s="339" t="str">
        <x:f t="shared" si="30"/>
      </x:c>
      <x:c r="S187" s="324"/>
      <x:c r="T187" s="336" t="str">
        <x:f t="shared" si="41"/>
      </x:c>
      <x:c r="U187" s="325"/>
      <x:c r="V187" s="340" t="str">
        <x:f>IF(OR(D187="",U187="",$C$5="",$C$6=""),"",IF(U187="Target Hit",IF(D187="Buy",(F187-E187)*($C$5/2)*$C$6,(E187-F187)*($C$5/2)*$C$6),IF(U187="Target Hit",IF(D187="Buy",(F187-E187)*($C$5/2)*$C$6,(E187-F187)*($C$5/2)*$C$6),IF(U187="Rollover",IF(D187="Buy",(Z187-E187)*($C$5/2)*$C$6,(E187-Z187)*($C$5/2)*$C$6),IF(U187="Stoploss 1 Hit",IF(K187="","",IF(D187="Buy",(K187-E187)*$C$5*$C$6,(E187-K187)*$C$5*$C$6)),IF(OR(U187="Gap Down Stoploss 1 Hit",U187="Gap Up Stoploss 1 Hit"),IF(Q187="","",IF(D187="Buy",(Q187-E187)*$C$5*$C$6,(E187-Q187)*$C$5*$C$6)),0))))))</x:f>
      </x:c>
      <x:c r="W187" s="326"/>
      <x:c r="X187" s="341" t="str">
        <x:f>IF(D187="","",IF(U187="Target Hit",IF(W187="Stoploss 2 Hit",IF(N187="","",IF(D187="Buy",(N187-E187)*($C$5/2)*$C$6,(E187-N187)*($C$5/2)*$C$6)),IF(U187="Target Hit",IF(W187="Rollover",IF(Z187="","",IF(D187="Buy",(Z187-E187)*($C$5/2)*$C$6,(E187-Z187)*($C$5/2)*$C$6)),IF(W187="Gap Down Stoploss 2 Hit",IF(T187="","",IF(D187="Buy",(T187-E187)*($C$5/2)*$C$6,(E187-T187)*($C$5/2)*$C$6)),IF(W187="Gap Up Stoploss 2 Hit",IF(T187="","",IF(D187="Buy",(T187-E187)*($C$5/2)*$C$6,(E187-T187)*($C$5/2)*$C$6)),0))),0))))</x:f>
      </x:c>
      <x:c r="Y187" s="343" t="str">
        <x:f t="shared" si="31"/>
      </x:c>
      <x:c r="Z187" s="327"/>
    </x:row>
    <x:row r="188">
      <x:c r="A188" s="35">
        <x:v>176</x:v>
      </x:c>
      <x:c r="B188" s="318"/>
      <x:c r="C188" s="319"/>
      <x:c r="D188" s="320"/>
      <x:c r="E188" s="321"/>
      <x:c r="F188" s="322"/>
      <x:c r="G188" s="321"/>
      <x:c r="H188" s="323"/>
      <x:c r="I188" s="337" t="str">
        <x:f t="shared" si="28"/>
      </x:c>
      <x:c r="J188" s="324"/>
      <x:c r="K188" s="336" t="str">
        <x:f t="shared" si="37"/>
      </x:c>
      <x:c r="L188" s="335" t="str">
        <x:f t="shared" si="38"/>
      </x:c>
      <x:c r="M188" s="324"/>
      <x:c r="N188" s="336" t="str">
        <x:f t="shared" si="39"/>
      </x:c>
      <x:c r="O188" s="337" t="str">
        <x:f t="shared" si="29"/>
      </x:c>
      <x:c r="P188" s="324"/>
      <x:c r="Q188" s="336" t="str">
        <x:f t="shared" si="40"/>
      </x:c>
      <x:c r="R188" s="339" t="str">
        <x:f t="shared" si="30"/>
      </x:c>
      <x:c r="S188" s="324"/>
      <x:c r="T188" s="336" t="str">
        <x:f t="shared" si="41"/>
      </x:c>
      <x:c r="U188" s="325"/>
      <x:c r="V188" s="340" t="str">
        <x:f>IF(OR(D188="",U188="",$C$5="",$C$6=""),"",IF(U188="Target Hit",IF(D188="Buy",(F188-E188)*($C$5/2)*$C$6,(E188-F188)*($C$5/2)*$C$6),IF(U188="Target Hit",IF(D188="Buy",(F188-E188)*($C$5/2)*$C$6,(E188-F188)*($C$5/2)*$C$6),IF(U188="Rollover",IF(D188="Buy",(Z188-E188)*($C$5/2)*$C$6,(E188-Z188)*($C$5/2)*$C$6),IF(U188="Stoploss 1 Hit",IF(K188="","",IF(D188="Buy",(K188-E188)*$C$5*$C$6,(E188-K188)*$C$5*$C$6)),IF(OR(U188="Gap Down Stoploss 1 Hit",U188="Gap Up Stoploss 1 Hit"),IF(Q188="","",IF(D188="Buy",(Q188-E188)*$C$5*$C$6,(E188-Q188)*$C$5*$C$6)),0))))))</x:f>
      </x:c>
      <x:c r="W188" s="326"/>
      <x:c r="X188" s="341" t="str">
        <x:f>IF(D188="","",IF(U188="Target Hit",IF(W188="Stoploss 2 Hit",IF(N188="","",IF(D188="Buy",(N188-E188)*($C$5/2)*$C$6,(E188-N188)*($C$5/2)*$C$6)),IF(U188="Target Hit",IF(W188="Rollover",IF(Z188="","",IF(D188="Buy",(Z188-E188)*($C$5/2)*$C$6,(E188-Z188)*($C$5/2)*$C$6)),IF(W188="Gap Down Stoploss 2 Hit",IF(T188="","",IF(D188="Buy",(T188-E188)*($C$5/2)*$C$6,(E188-T188)*($C$5/2)*$C$6)),IF(W188="Gap Up Stoploss 2 Hit",IF(T188="","",IF(D188="Buy",(T188-E188)*($C$5/2)*$C$6,(E188-T188)*($C$5/2)*$C$6)),0))),0))))</x:f>
      </x:c>
      <x:c r="Y188" s="343" t="str">
        <x:f t="shared" si="31"/>
      </x:c>
      <x:c r="Z188" s="327"/>
    </x:row>
    <x:row r="189">
      <x:c r="A189" s="35">
        <x:v>177</x:v>
      </x:c>
      <x:c r="B189" s="318"/>
      <x:c r="C189" s="319"/>
      <x:c r="D189" s="320"/>
      <x:c r="E189" s="321"/>
      <x:c r="F189" s="322"/>
      <x:c r="G189" s="321"/>
      <x:c r="H189" s="323"/>
      <x:c r="I189" s="337" t="str">
        <x:f t="shared" si="28"/>
      </x:c>
      <x:c r="J189" s="324"/>
      <x:c r="K189" s="336" t="str">
        <x:f t="shared" si="37"/>
      </x:c>
      <x:c r="L189" s="335" t="str">
        <x:f t="shared" si="38"/>
      </x:c>
      <x:c r="M189" s="324"/>
      <x:c r="N189" s="336" t="str">
        <x:f t="shared" si="39"/>
      </x:c>
      <x:c r="O189" s="337" t="str">
        <x:f t="shared" si="29"/>
      </x:c>
      <x:c r="P189" s="324"/>
      <x:c r="Q189" s="336" t="str">
        <x:f t="shared" si="40"/>
      </x:c>
      <x:c r="R189" s="339" t="str">
        <x:f t="shared" si="30"/>
      </x:c>
      <x:c r="S189" s="324"/>
      <x:c r="T189" s="336" t="str">
        <x:f t="shared" si="41"/>
      </x:c>
      <x:c r="U189" s="325"/>
      <x:c r="V189" s="340" t="str">
        <x:f>IF(OR(D189="",U189="",$C$5="",$C$6=""),"",IF(U189="Target Hit",IF(D189="Buy",(F189-E189)*($C$5/2)*$C$6,(E189-F189)*($C$5/2)*$C$6),IF(U189="Target Hit",IF(D189="Buy",(F189-E189)*($C$5/2)*$C$6,(E189-F189)*($C$5/2)*$C$6),IF(U189="Rollover",IF(D189="Buy",(Z189-E189)*($C$5/2)*$C$6,(E189-Z189)*($C$5/2)*$C$6),IF(U189="Stoploss 1 Hit",IF(K189="","",IF(D189="Buy",(K189-E189)*$C$5*$C$6,(E189-K189)*$C$5*$C$6)),IF(OR(U189="Gap Down Stoploss 1 Hit",U189="Gap Up Stoploss 1 Hit"),IF(Q189="","",IF(D189="Buy",(Q189-E189)*$C$5*$C$6,(E189-Q189)*$C$5*$C$6)),0))))))</x:f>
      </x:c>
      <x:c r="W189" s="326"/>
      <x:c r="X189" s="341" t="str">
        <x:f>IF(D189="","",IF(U189="Target Hit",IF(W189="Stoploss 2 Hit",IF(N189="","",IF(D189="Buy",(N189-E189)*($C$5/2)*$C$6,(E189-N189)*($C$5/2)*$C$6)),IF(U189="Target Hit",IF(W189="Rollover",IF(Z189="","",IF(D189="Buy",(Z189-E189)*($C$5/2)*$C$6,(E189-Z189)*($C$5/2)*$C$6)),IF(W189="Gap Down Stoploss 2 Hit",IF(T189="","",IF(D189="Buy",(T189-E189)*($C$5/2)*$C$6,(E189-T189)*($C$5/2)*$C$6)),IF(W189="Gap Up Stoploss 2 Hit",IF(T189="","",IF(D189="Buy",(T189-E189)*($C$5/2)*$C$6,(E189-T189)*($C$5/2)*$C$6)),0))),0))))</x:f>
      </x:c>
      <x:c r="Y189" s="343" t="str">
        <x:f t="shared" si="31"/>
      </x:c>
      <x:c r="Z189" s="327"/>
    </x:row>
    <x:row r="190">
      <x:c r="A190" s="35">
        <x:v>178</x:v>
      </x:c>
      <x:c r="B190" s="318"/>
      <x:c r="C190" s="319"/>
      <x:c r="D190" s="320"/>
      <x:c r="E190" s="321"/>
      <x:c r="F190" s="322"/>
      <x:c r="G190" s="321"/>
      <x:c r="H190" s="323"/>
      <x:c r="I190" s="337" t="str">
        <x:f t="shared" si="28"/>
      </x:c>
      <x:c r="J190" s="324"/>
      <x:c r="K190" s="336" t="str">
        <x:f t="shared" si="37"/>
      </x:c>
      <x:c r="L190" s="335" t="str">
        <x:f t="shared" si="38"/>
      </x:c>
      <x:c r="M190" s="324"/>
      <x:c r="N190" s="336" t="str">
        <x:f t="shared" si="39"/>
      </x:c>
      <x:c r="O190" s="337" t="str">
        <x:f t="shared" si="29"/>
      </x:c>
      <x:c r="P190" s="324"/>
      <x:c r="Q190" s="336" t="str">
        <x:f t="shared" si="40"/>
      </x:c>
      <x:c r="R190" s="339" t="str">
        <x:f t="shared" si="30"/>
      </x:c>
      <x:c r="S190" s="324"/>
      <x:c r="T190" s="336" t="str">
        <x:f t="shared" si="41"/>
      </x:c>
      <x:c r="U190" s="325"/>
      <x:c r="V190" s="340" t="str">
        <x:f>IF(OR(D190="",U190="",$C$5="",$C$6=""),"",IF(U190="Target Hit",IF(D190="Buy",(F190-E190)*($C$5/2)*$C$6,(E190-F190)*($C$5/2)*$C$6),IF(U190="Target Hit",IF(D190="Buy",(F190-E190)*($C$5/2)*$C$6,(E190-F190)*($C$5/2)*$C$6),IF(U190="Rollover",IF(D190="Buy",(Z190-E190)*($C$5/2)*$C$6,(E190-Z190)*($C$5/2)*$C$6),IF(U190="Stoploss 1 Hit",IF(K190="","",IF(D190="Buy",(K190-E190)*$C$5*$C$6,(E190-K190)*$C$5*$C$6)),IF(OR(U190="Gap Down Stoploss 1 Hit",U190="Gap Up Stoploss 1 Hit"),IF(Q190="","",IF(D190="Buy",(Q190-E190)*$C$5*$C$6,(E190-Q190)*$C$5*$C$6)),0))))))</x:f>
      </x:c>
      <x:c r="W190" s="326"/>
      <x:c r="X190" s="341" t="str">
        <x:f>IF(D190="","",IF(U190="Target Hit",IF(W190="Stoploss 2 Hit",IF(N190="","",IF(D190="Buy",(N190-E190)*($C$5/2)*$C$6,(E190-N190)*($C$5/2)*$C$6)),IF(U190="Target Hit",IF(W190="Rollover",IF(Z190="","",IF(D190="Buy",(Z190-E190)*($C$5/2)*$C$6,(E190-Z190)*($C$5/2)*$C$6)),IF(W190="Gap Down Stoploss 2 Hit",IF(T190="","",IF(D190="Buy",(T190-E190)*($C$5/2)*$C$6,(E190-T190)*($C$5/2)*$C$6)),IF(W190="Gap Up Stoploss 2 Hit",IF(T190="","",IF(D190="Buy",(T190-E190)*($C$5/2)*$C$6,(E190-T190)*($C$5/2)*$C$6)),0))),0))))</x:f>
      </x:c>
      <x:c r="Y190" s="343" t="str">
        <x:f t="shared" si="31"/>
      </x:c>
      <x:c r="Z190" s="327"/>
    </x:row>
    <x:row r="191">
      <x:c r="A191" s="35">
        <x:v>179</x:v>
      </x:c>
      <x:c r="B191" s="318"/>
      <x:c r="C191" s="319"/>
      <x:c r="D191" s="320"/>
      <x:c r="E191" s="321"/>
      <x:c r="F191" s="322"/>
      <x:c r="G191" s="321"/>
      <x:c r="H191" s="323"/>
      <x:c r="I191" s="337" t="str">
        <x:f t="shared" si="28"/>
      </x:c>
      <x:c r="J191" s="324"/>
      <x:c r="K191" s="336" t="str">
        <x:f t="shared" si="37"/>
      </x:c>
      <x:c r="L191" s="335" t="str">
        <x:f t="shared" si="38"/>
      </x:c>
      <x:c r="M191" s="324"/>
      <x:c r="N191" s="336" t="str">
        <x:f t="shared" si="39"/>
      </x:c>
      <x:c r="O191" s="337" t="str">
        <x:f t="shared" si="29"/>
      </x:c>
      <x:c r="P191" s="324"/>
      <x:c r="Q191" s="336" t="str">
        <x:f t="shared" si="40"/>
      </x:c>
      <x:c r="R191" s="339" t="str">
        <x:f t="shared" si="30"/>
      </x:c>
      <x:c r="S191" s="324"/>
      <x:c r="T191" s="336" t="str">
        <x:f t="shared" si="41"/>
      </x:c>
      <x:c r="U191" s="325"/>
      <x:c r="V191" s="340" t="str">
        <x:f>IF(OR(D191="",U191="",$C$5="",$C$6=""),"",IF(U191="Target Hit",IF(D191="Buy",(F191-E191)*($C$5/2)*$C$6,(E191-F191)*($C$5/2)*$C$6),IF(U191="Target Hit",IF(D191="Buy",(F191-E191)*($C$5/2)*$C$6,(E191-F191)*($C$5/2)*$C$6),IF(U191="Rollover",IF(D191="Buy",(Z191-E191)*($C$5/2)*$C$6,(E191-Z191)*($C$5/2)*$C$6),IF(U191="Stoploss 1 Hit",IF(K191="","",IF(D191="Buy",(K191-E191)*$C$5*$C$6,(E191-K191)*$C$5*$C$6)),IF(OR(U191="Gap Down Stoploss 1 Hit",U191="Gap Up Stoploss 1 Hit"),IF(Q191="","",IF(D191="Buy",(Q191-E191)*$C$5*$C$6,(E191-Q191)*$C$5*$C$6)),0))))))</x:f>
      </x:c>
      <x:c r="W191" s="326"/>
      <x:c r="X191" s="341" t="str">
        <x:f>IF(D191="","",IF(U191="Target Hit",IF(W191="Stoploss 2 Hit",IF(N191="","",IF(D191="Buy",(N191-E191)*($C$5/2)*$C$6,(E191-N191)*($C$5/2)*$C$6)),IF(U191="Target Hit",IF(W191="Rollover",IF(Z191="","",IF(D191="Buy",(Z191-E191)*($C$5/2)*$C$6,(E191-Z191)*($C$5/2)*$C$6)),IF(W191="Gap Down Stoploss 2 Hit",IF(T191="","",IF(D191="Buy",(T191-E191)*($C$5/2)*$C$6,(E191-T191)*($C$5/2)*$C$6)),IF(W191="Gap Up Stoploss 2 Hit",IF(T191="","",IF(D191="Buy",(T191-E191)*($C$5/2)*$C$6,(E191-T191)*($C$5/2)*$C$6)),0))),0))))</x:f>
      </x:c>
      <x:c r="Y191" s="343" t="str">
        <x:f t="shared" si="31"/>
      </x:c>
      <x:c r="Z191" s="327"/>
    </x:row>
    <x:row r="192">
      <x:c r="A192" s="35">
        <x:v>180</x:v>
      </x:c>
      <x:c r="B192" s="318"/>
      <x:c r="C192" s="319"/>
      <x:c r="D192" s="320"/>
      <x:c r="E192" s="321"/>
      <x:c r="F192" s="322"/>
      <x:c r="G192" s="321"/>
      <x:c r="H192" s="323"/>
      <x:c r="I192" s="337" t="str">
        <x:f t="shared" si="28"/>
      </x:c>
      <x:c r="J192" s="324"/>
      <x:c r="K192" s="336" t="str">
        <x:f t="shared" si="37"/>
      </x:c>
      <x:c r="L192" s="335" t="str">
        <x:f t="shared" si="38"/>
      </x:c>
      <x:c r="M192" s="324"/>
      <x:c r="N192" s="336" t="str">
        <x:f t="shared" si="39"/>
      </x:c>
      <x:c r="O192" s="337" t="str">
        <x:f t="shared" si="29"/>
      </x:c>
      <x:c r="P192" s="324"/>
      <x:c r="Q192" s="336" t="str">
        <x:f t="shared" si="40"/>
      </x:c>
      <x:c r="R192" s="339" t="str">
        <x:f t="shared" si="30"/>
      </x:c>
      <x:c r="S192" s="324"/>
      <x:c r="T192" s="336" t="str">
        <x:f t="shared" si="41"/>
      </x:c>
      <x:c r="U192" s="325"/>
      <x:c r="V192" s="340" t="str">
        <x:f>IF(OR(D192="",U192="",$C$5="",$C$6=""),"",IF(U192="Target Hit",IF(D192="Buy",(F192-E192)*($C$5/2)*$C$6,(E192-F192)*($C$5/2)*$C$6),IF(U192="Target Hit",IF(D192="Buy",(F192-E192)*($C$5/2)*$C$6,(E192-F192)*($C$5/2)*$C$6),IF(U192="Rollover",IF(D192="Buy",(Z192-E192)*($C$5/2)*$C$6,(E192-Z192)*($C$5/2)*$C$6),IF(U192="Stoploss 1 Hit",IF(K192="","",IF(D192="Buy",(K192-E192)*$C$5*$C$6,(E192-K192)*$C$5*$C$6)),IF(OR(U192="Gap Down Stoploss 1 Hit",U192="Gap Up Stoploss 1 Hit"),IF(Q192="","",IF(D192="Buy",(Q192-E192)*$C$5*$C$6,(E192-Q192)*$C$5*$C$6)),0))))))</x:f>
      </x:c>
      <x:c r="W192" s="326"/>
      <x:c r="X192" s="341" t="str">
        <x:f>IF(D192="","",IF(U192="Target Hit",IF(W192="Stoploss 2 Hit",IF(N192="","",IF(D192="Buy",(N192-E192)*($C$5/2)*$C$6,(E192-N192)*($C$5/2)*$C$6)),IF(U192="Target Hit",IF(W192="Rollover",IF(Z192="","",IF(D192="Buy",(Z192-E192)*($C$5/2)*$C$6,(E192-Z192)*($C$5/2)*$C$6)),IF(W192="Gap Down Stoploss 2 Hit",IF(T192="","",IF(D192="Buy",(T192-E192)*($C$5/2)*$C$6,(E192-T192)*($C$5/2)*$C$6)),IF(W192="Gap Up Stoploss 2 Hit",IF(T192="","",IF(D192="Buy",(T192-E192)*($C$5/2)*$C$6,(E192-T192)*($C$5/2)*$C$6)),0))),0))))</x:f>
      </x:c>
      <x:c r="Y192" s="343" t="str">
        <x:f t="shared" si="31"/>
      </x:c>
      <x:c r="Z192" s="327"/>
    </x:row>
    <x:row r="193">
      <x:c r="A193" s="35">
        <x:v>181</x:v>
      </x:c>
      <x:c r="B193" s="318"/>
      <x:c r="C193" s="319"/>
      <x:c r="D193" s="320"/>
      <x:c r="E193" s="321"/>
      <x:c r="F193" s="322"/>
      <x:c r="G193" s="321"/>
      <x:c r="H193" s="323"/>
      <x:c r="I193" s="337" t="str">
        <x:f t="shared" si="28"/>
      </x:c>
      <x:c r="J193" s="324"/>
      <x:c r="K193" s="336" t="str">
        <x:f t="shared" si="37"/>
      </x:c>
      <x:c r="L193" s="335" t="str">
        <x:f t="shared" si="38"/>
      </x:c>
      <x:c r="M193" s="324"/>
      <x:c r="N193" s="336" t="str">
        <x:f t="shared" si="39"/>
      </x:c>
      <x:c r="O193" s="337" t="str">
        <x:f t="shared" si="29"/>
      </x:c>
      <x:c r="P193" s="324"/>
      <x:c r="Q193" s="336" t="str">
        <x:f t="shared" si="40"/>
      </x:c>
      <x:c r="R193" s="339" t="str">
        <x:f t="shared" si="30"/>
      </x:c>
      <x:c r="S193" s="324"/>
      <x:c r="T193" s="336" t="str">
        <x:f t="shared" si="41"/>
      </x:c>
      <x:c r="U193" s="325"/>
      <x:c r="V193" s="340" t="str">
        <x:f>IF(OR(D193="",U193="",$C$5="",$C$6=""),"",IF(U193="Target Hit",IF(D193="Buy",(F193-E193)*($C$5/2)*$C$6,(E193-F193)*($C$5/2)*$C$6),IF(U193="Target Hit",IF(D193="Buy",(F193-E193)*($C$5/2)*$C$6,(E193-F193)*($C$5/2)*$C$6),IF(U193="Rollover",IF(D193="Buy",(Z193-E193)*($C$5/2)*$C$6,(E193-Z193)*($C$5/2)*$C$6),IF(U193="Stoploss 1 Hit",IF(K193="","",IF(D193="Buy",(K193-E193)*$C$5*$C$6,(E193-K193)*$C$5*$C$6)),IF(OR(U193="Gap Down Stoploss 1 Hit",U193="Gap Up Stoploss 1 Hit"),IF(Q193="","",IF(D193="Buy",(Q193-E193)*$C$5*$C$6,(E193-Q193)*$C$5*$C$6)),0))))))</x:f>
      </x:c>
      <x:c r="W193" s="326"/>
      <x:c r="X193" s="341" t="str">
        <x:f>IF(D193="","",IF(U193="Target Hit",IF(W193="Stoploss 2 Hit",IF(N193="","",IF(D193="Buy",(N193-E193)*($C$5/2)*$C$6,(E193-N193)*($C$5/2)*$C$6)),IF(U193="Target Hit",IF(W193="Rollover",IF(Z193="","",IF(D193="Buy",(Z193-E193)*($C$5/2)*$C$6,(E193-Z193)*($C$5/2)*$C$6)),IF(W193="Gap Down Stoploss 2 Hit",IF(T193="","",IF(D193="Buy",(T193-E193)*($C$5/2)*$C$6,(E193-T193)*($C$5/2)*$C$6)),IF(W193="Gap Up Stoploss 2 Hit",IF(T193="","",IF(D193="Buy",(T193-E193)*($C$5/2)*$C$6,(E193-T193)*($C$5/2)*$C$6)),0))),0))))</x:f>
      </x:c>
      <x:c r="Y193" s="343" t="str">
        <x:f t="shared" si="31"/>
      </x:c>
      <x:c r="Z193" s="327"/>
    </x:row>
    <x:row r="194">
      <x:c r="A194" s="35">
        <x:v>182</x:v>
      </x:c>
      <x:c r="B194" s="318"/>
      <x:c r="C194" s="319"/>
      <x:c r="D194" s="320"/>
      <x:c r="E194" s="321"/>
      <x:c r="F194" s="322"/>
      <x:c r="G194" s="321"/>
      <x:c r="H194" s="323"/>
      <x:c r="I194" s="337" t="str">
        <x:f t="shared" si="28"/>
      </x:c>
      <x:c r="J194" s="324"/>
      <x:c r="K194" s="336" t="str">
        <x:f t="shared" si="37"/>
      </x:c>
      <x:c r="L194" s="335" t="str">
        <x:f t="shared" si="38"/>
      </x:c>
      <x:c r="M194" s="324"/>
      <x:c r="N194" s="336" t="str">
        <x:f t="shared" si="39"/>
      </x:c>
      <x:c r="O194" s="337" t="str">
        <x:f t="shared" si="29"/>
      </x:c>
      <x:c r="P194" s="324"/>
      <x:c r="Q194" s="336" t="str">
        <x:f t="shared" si="40"/>
      </x:c>
      <x:c r="R194" s="339" t="str">
        <x:f t="shared" si="30"/>
      </x:c>
      <x:c r="S194" s="324"/>
      <x:c r="T194" s="336" t="str">
        <x:f t="shared" si="41"/>
      </x:c>
      <x:c r="U194" s="325"/>
      <x:c r="V194" s="340" t="str">
        <x:f>IF(OR(D194="",U194="",$C$5="",$C$6=""),"",IF(U194="Target Hit",IF(D194="Buy",(F194-E194)*($C$5/2)*$C$6,(E194-F194)*($C$5/2)*$C$6),IF(U194="Target Hit",IF(D194="Buy",(F194-E194)*($C$5/2)*$C$6,(E194-F194)*($C$5/2)*$C$6),IF(U194="Rollover",IF(D194="Buy",(Z194-E194)*($C$5/2)*$C$6,(E194-Z194)*($C$5/2)*$C$6),IF(U194="Stoploss 1 Hit",IF(K194="","",IF(D194="Buy",(K194-E194)*$C$5*$C$6,(E194-K194)*$C$5*$C$6)),IF(OR(U194="Gap Down Stoploss 1 Hit",U194="Gap Up Stoploss 1 Hit"),IF(Q194="","",IF(D194="Buy",(Q194-E194)*$C$5*$C$6,(E194-Q194)*$C$5*$C$6)),0))))))</x:f>
      </x:c>
      <x:c r="W194" s="326"/>
      <x:c r="X194" s="341" t="str">
        <x:f>IF(D194="","",IF(U194="Target Hit",IF(W194="Stoploss 2 Hit",IF(N194="","",IF(D194="Buy",(N194-E194)*($C$5/2)*$C$6,(E194-N194)*($C$5/2)*$C$6)),IF(U194="Target Hit",IF(W194="Rollover",IF(Z194="","",IF(D194="Buy",(Z194-E194)*($C$5/2)*$C$6,(E194-Z194)*($C$5/2)*$C$6)),IF(W194="Gap Down Stoploss 2 Hit",IF(T194="","",IF(D194="Buy",(T194-E194)*($C$5/2)*$C$6,(E194-T194)*($C$5/2)*$C$6)),IF(W194="Gap Up Stoploss 2 Hit",IF(T194="","",IF(D194="Buy",(T194-E194)*($C$5/2)*$C$6,(E194-T194)*($C$5/2)*$C$6)),0))),0))))</x:f>
      </x:c>
      <x:c r="Y194" s="343" t="str">
        <x:f t="shared" si="31"/>
      </x:c>
      <x:c r="Z194" s="327"/>
    </x:row>
    <x:row r="195">
      <x:c r="A195" s="35">
        <x:v>183</x:v>
      </x:c>
      <x:c r="B195" s="318"/>
      <x:c r="C195" s="319"/>
      <x:c r="D195" s="320"/>
      <x:c r="E195" s="321"/>
      <x:c r="F195" s="322"/>
      <x:c r="G195" s="321"/>
      <x:c r="H195" s="323"/>
      <x:c r="I195" s="337" t="str">
        <x:f t="shared" si="28"/>
      </x:c>
      <x:c r="J195" s="324"/>
      <x:c r="K195" s="336" t="str">
        <x:f t="shared" si="37"/>
      </x:c>
      <x:c r="L195" s="335" t="str">
        <x:f t="shared" si="38"/>
      </x:c>
      <x:c r="M195" s="324"/>
      <x:c r="N195" s="336" t="str">
        <x:f t="shared" si="39"/>
      </x:c>
      <x:c r="O195" s="337" t="str">
        <x:f t="shared" si="29"/>
      </x:c>
      <x:c r="P195" s="324"/>
      <x:c r="Q195" s="336" t="str">
        <x:f t="shared" si="40"/>
      </x:c>
      <x:c r="R195" s="339" t="str">
        <x:f t="shared" si="30"/>
      </x:c>
      <x:c r="S195" s="324"/>
      <x:c r="T195" s="336" t="str">
        <x:f t="shared" si="41"/>
      </x:c>
      <x:c r="U195" s="325"/>
      <x:c r="V195" s="340" t="str">
        <x:f>IF(OR(D195="",U195="",$C$5="",$C$6=""),"",IF(U195="Target Hit",IF(D195="Buy",(F195-E195)*($C$5/2)*$C$6,(E195-F195)*($C$5/2)*$C$6),IF(U195="Target Hit",IF(D195="Buy",(F195-E195)*($C$5/2)*$C$6,(E195-F195)*($C$5/2)*$C$6),IF(U195="Rollover",IF(D195="Buy",(Z195-E195)*($C$5/2)*$C$6,(E195-Z195)*($C$5/2)*$C$6),IF(U195="Stoploss 1 Hit",IF(K195="","",IF(D195="Buy",(K195-E195)*$C$5*$C$6,(E195-K195)*$C$5*$C$6)),IF(OR(U195="Gap Down Stoploss 1 Hit",U195="Gap Up Stoploss 1 Hit"),IF(Q195="","",IF(D195="Buy",(Q195-E195)*$C$5*$C$6,(E195-Q195)*$C$5*$C$6)),0))))))</x:f>
      </x:c>
      <x:c r="W195" s="326"/>
      <x:c r="X195" s="341" t="str">
        <x:f>IF(D195="","",IF(U195="Target Hit",IF(W195="Stoploss 2 Hit",IF(N195="","",IF(D195="Buy",(N195-E195)*($C$5/2)*$C$6,(E195-N195)*($C$5/2)*$C$6)),IF(U195="Target Hit",IF(W195="Rollover",IF(Z195="","",IF(D195="Buy",(Z195-E195)*($C$5/2)*$C$6,(E195-Z195)*($C$5/2)*$C$6)),IF(W195="Gap Down Stoploss 2 Hit",IF(T195="","",IF(D195="Buy",(T195-E195)*($C$5/2)*$C$6,(E195-T195)*($C$5/2)*$C$6)),IF(W195="Gap Up Stoploss 2 Hit",IF(T195="","",IF(D195="Buy",(T195-E195)*($C$5/2)*$C$6,(E195-T195)*($C$5/2)*$C$6)),0))),0))))</x:f>
      </x:c>
      <x:c r="Y195" s="343" t="str">
        <x:f t="shared" si="31"/>
      </x:c>
      <x:c r="Z195" s="327"/>
    </x:row>
    <x:row r="196">
      <x:c r="A196" s="35">
        <x:v>184</x:v>
      </x:c>
      <x:c r="B196" s="318"/>
      <x:c r="C196" s="319"/>
      <x:c r="D196" s="320"/>
      <x:c r="E196" s="321"/>
      <x:c r="F196" s="322"/>
      <x:c r="G196" s="321"/>
      <x:c r="H196" s="323"/>
      <x:c r="I196" s="337" t="str">
        <x:f t="shared" si="28"/>
      </x:c>
      <x:c r="J196" s="324"/>
      <x:c r="K196" s="336" t="str">
        <x:f t="shared" si="37"/>
      </x:c>
      <x:c r="L196" s="335" t="str">
        <x:f t="shared" si="38"/>
      </x:c>
      <x:c r="M196" s="324"/>
      <x:c r="N196" s="336" t="str">
        <x:f t="shared" si="39"/>
      </x:c>
      <x:c r="O196" s="337" t="str">
        <x:f t="shared" si="29"/>
      </x:c>
      <x:c r="P196" s="324"/>
      <x:c r="Q196" s="336" t="str">
        <x:f t="shared" si="40"/>
      </x:c>
      <x:c r="R196" s="339" t="str">
        <x:f t="shared" si="30"/>
      </x:c>
      <x:c r="S196" s="324"/>
      <x:c r="T196" s="336" t="str">
        <x:f t="shared" si="41"/>
      </x:c>
      <x:c r="U196" s="325"/>
      <x:c r="V196" s="340" t="str">
        <x:f>IF(OR(D196="",U196="",$C$5="",$C$6=""),"",IF(U196="Target Hit",IF(D196="Buy",(F196-E196)*($C$5/2)*$C$6,(E196-F196)*($C$5/2)*$C$6),IF(U196="Target Hit",IF(D196="Buy",(F196-E196)*($C$5/2)*$C$6,(E196-F196)*($C$5/2)*$C$6),IF(U196="Rollover",IF(D196="Buy",(Z196-E196)*($C$5/2)*$C$6,(E196-Z196)*($C$5/2)*$C$6),IF(U196="Stoploss 1 Hit",IF(K196="","",IF(D196="Buy",(K196-E196)*$C$5*$C$6,(E196-K196)*$C$5*$C$6)),IF(OR(U196="Gap Down Stoploss 1 Hit",U196="Gap Up Stoploss 1 Hit"),IF(Q196="","",IF(D196="Buy",(Q196-E196)*$C$5*$C$6,(E196-Q196)*$C$5*$C$6)),0))))))</x:f>
      </x:c>
      <x:c r="W196" s="326"/>
      <x:c r="X196" s="341" t="str">
        <x:f>IF(D196="","",IF(U196="Target Hit",IF(W196="Stoploss 2 Hit",IF(N196="","",IF(D196="Buy",(N196-E196)*($C$5/2)*$C$6,(E196-N196)*($C$5/2)*$C$6)),IF(U196="Target Hit",IF(W196="Rollover",IF(Z196="","",IF(D196="Buy",(Z196-E196)*($C$5/2)*$C$6,(E196-Z196)*($C$5/2)*$C$6)),IF(W196="Gap Down Stoploss 2 Hit",IF(T196="","",IF(D196="Buy",(T196-E196)*($C$5/2)*$C$6,(E196-T196)*($C$5/2)*$C$6)),IF(W196="Gap Up Stoploss 2 Hit",IF(T196="","",IF(D196="Buy",(T196-E196)*($C$5/2)*$C$6,(E196-T196)*($C$5/2)*$C$6)),0))),0))))</x:f>
      </x:c>
      <x:c r="Y196" s="343" t="str">
        <x:f t="shared" si="31"/>
      </x:c>
      <x:c r="Z196" s="327"/>
    </x:row>
    <x:row r="197">
      <x:c r="A197" s="35">
        <x:v>185</x:v>
      </x:c>
      <x:c r="B197" s="318"/>
      <x:c r="C197" s="319"/>
      <x:c r="D197" s="320"/>
      <x:c r="E197" s="321"/>
      <x:c r="F197" s="322"/>
      <x:c r="G197" s="321"/>
      <x:c r="H197" s="323"/>
      <x:c r="I197" s="337" t="str">
        <x:f t="shared" si="28"/>
      </x:c>
      <x:c r="J197" s="324"/>
      <x:c r="K197" s="336" t="str">
        <x:f t="shared" si="37"/>
      </x:c>
      <x:c r="L197" s="335" t="str">
        <x:f t="shared" si="38"/>
      </x:c>
      <x:c r="M197" s="324"/>
      <x:c r="N197" s="336" t="str">
        <x:f t="shared" si="39"/>
      </x:c>
      <x:c r="O197" s="337" t="str">
        <x:f t="shared" si="29"/>
      </x:c>
      <x:c r="P197" s="324"/>
      <x:c r="Q197" s="336" t="str">
        <x:f t="shared" si="40"/>
      </x:c>
      <x:c r="R197" s="339" t="str">
        <x:f t="shared" si="30"/>
      </x:c>
      <x:c r="S197" s="324"/>
      <x:c r="T197" s="336" t="str">
        <x:f t="shared" si="41"/>
      </x:c>
      <x:c r="U197" s="325"/>
      <x:c r="V197" s="340" t="str">
        <x:f>IF(OR(D197="",U197="",$C$5="",$C$6=""),"",IF(U197="Target Hit",IF(D197="Buy",(F197-E197)*($C$5/2)*$C$6,(E197-F197)*($C$5/2)*$C$6),IF(U197="Target Hit",IF(D197="Buy",(F197-E197)*($C$5/2)*$C$6,(E197-F197)*($C$5/2)*$C$6),IF(U197="Rollover",IF(D197="Buy",(Z197-E197)*($C$5/2)*$C$6,(E197-Z197)*($C$5/2)*$C$6),IF(U197="Stoploss 1 Hit",IF(K197="","",IF(D197="Buy",(K197-E197)*$C$5*$C$6,(E197-K197)*$C$5*$C$6)),IF(OR(U197="Gap Down Stoploss 1 Hit",U197="Gap Up Stoploss 1 Hit"),IF(Q197="","",IF(D197="Buy",(Q197-E197)*$C$5*$C$6,(E197-Q197)*$C$5*$C$6)),0))))))</x:f>
      </x:c>
      <x:c r="W197" s="326"/>
      <x:c r="X197" s="341" t="str">
        <x:f>IF(D197="","",IF(U197="Target Hit",IF(W197="Stoploss 2 Hit",IF(N197="","",IF(D197="Buy",(N197-E197)*($C$5/2)*$C$6,(E197-N197)*($C$5/2)*$C$6)),IF(U197="Target Hit",IF(W197="Rollover",IF(Z197="","",IF(D197="Buy",(Z197-E197)*($C$5/2)*$C$6,(E197-Z197)*($C$5/2)*$C$6)),IF(W197="Gap Down Stoploss 2 Hit",IF(T197="","",IF(D197="Buy",(T197-E197)*($C$5/2)*$C$6,(E197-T197)*($C$5/2)*$C$6)),IF(W197="Gap Up Stoploss 2 Hit",IF(T197="","",IF(D197="Buy",(T197-E197)*($C$5/2)*$C$6,(E197-T197)*($C$5/2)*$C$6)),0))),0))))</x:f>
      </x:c>
      <x:c r="Y197" s="343" t="str">
        <x:f t="shared" si="31"/>
      </x:c>
      <x:c r="Z197" s="327"/>
    </x:row>
    <x:row r="198">
      <x:c r="A198" s="35">
        <x:v>186</x:v>
      </x:c>
      <x:c r="B198" s="318"/>
      <x:c r="C198" s="319"/>
      <x:c r="D198" s="320"/>
      <x:c r="E198" s="321"/>
      <x:c r="F198" s="322"/>
      <x:c r="G198" s="321"/>
      <x:c r="H198" s="323"/>
      <x:c r="I198" s="337" t="str">
        <x:f t="shared" si="28"/>
      </x:c>
      <x:c r="J198" s="324"/>
      <x:c r="K198" s="336" t="str">
        <x:f t="shared" si="37"/>
      </x:c>
      <x:c r="L198" s="335" t="str">
        <x:f t="shared" si="38"/>
      </x:c>
      <x:c r="M198" s="324"/>
      <x:c r="N198" s="336" t="str">
        <x:f t="shared" si="39"/>
      </x:c>
      <x:c r="O198" s="337" t="str">
        <x:f t="shared" si="29"/>
      </x:c>
      <x:c r="P198" s="324"/>
      <x:c r="Q198" s="336" t="str">
        <x:f t="shared" si="40"/>
      </x:c>
      <x:c r="R198" s="339" t="str">
        <x:f t="shared" si="30"/>
      </x:c>
      <x:c r="S198" s="324"/>
      <x:c r="T198" s="336" t="str">
        <x:f t="shared" si="41"/>
      </x:c>
      <x:c r="U198" s="325"/>
      <x:c r="V198" s="340" t="str">
        <x:f>IF(OR(D198="",U198="",$C$5="",$C$6=""),"",IF(U198="Target Hit",IF(D198="Buy",(F198-E198)*($C$5/2)*$C$6,(E198-F198)*($C$5/2)*$C$6),IF(U198="Target Hit",IF(D198="Buy",(F198-E198)*($C$5/2)*$C$6,(E198-F198)*($C$5/2)*$C$6),IF(U198="Rollover",IF(D198="Buy",(Z198-E198)*($C$5/2)*$C$6,(E198-Z198)*($C$5/2)*$C$6),IF(U198="Stoploss 1 Hit",IF(K198="","",IF(D198="Buy",(K198-E198)*$C$5*$C$6,(E198-K198)*$C$5*$C$6)),IF(OR(U198="Gap Down Stoploss 1 Hit",U198="Gap Up Stoploss 1 Hit"),IF(Q198="","",IF(D198="Buy",(Q198-E198)*$C$5*$C$6,(E198-Q198)*$C$5*$C$6)),0))))))</x:f>
      </x:c>
      <x:c r="W198" s="326"/>
      <x:c r="X198" s="341" t="str">
        <x:f>IF(D198="","",IF(U198="Target Hit",IF(W198="Stoploss 2 Hit",IF(N198="","",IF(D198="Buy",(N198-E198)*($C$5/2)*$C$6,(E198-N198)*($C$5/2)*$C$6)),IF(U198="Target Hit",IF(W198="Rollover",IF(Z198="","",IF(D198="Buy",(Z198-E198)*($C$5/2)*$C$6,(E198-Z198)*($C$5/2)*$C$6)),IF(W198="Gap Down Stoploss 2 Hit",IF(T198="","",IF(D198="Buy",(T198-E198)*($C$5/2)*$C$6,(E198-T198)*($C$5/2)*$C$6)),IF(W198="Gap Up Stoploss 2 Hit",IF(T198="","",IF(D198="Buy",(T198-E198)*($C$5/2)*$C$6,(E198-T198)*($C$5/2)*$C$6)),0))),0))))</x:f>
      </x:c>
      <x:c r="Y198" s="343" t="str">
        <x:f t="shared" si="31"/>
      </x:c>
      <x:c r="Z198" s="327"/>
    </x:row>
    <x:row r="199">
      <x:c r="A199" s="35">
        <x:v>187</x:v>
      </x:c>
      <x:c r="B199" s="318"/>
      <x:c r="C199" s="319"/>
      <x:c r="D199" s="320"/>
      <x:c r="E199" s="321"/>
      <x:c r="F199" s="322"/>
      <x:c r="G199" s="321"/>
      <x:c r="H199" s="323"/>
      <x:c r="I199" s="337" t="str">
        <x:f t="shared" si="28"/>
      </x:c>
      <x:c r="J199" s="324"/>
      <x:c r="K199" s="336" t="str">
        <x:f t="shared" si="37"/>
      </x:c>
      <x:c r="L199" s="335" t="str">
        <x:f t="shared" si="38"/>
      </x:c>
      <x:c r="M199" s="324"/>
      <x:c r="N199" s="336" t="str">
        <x:f t="shared" si="39"/>
      </x:c>
      <x:c r="O199" s="337" t="str">
        <x:f t="shared" si="29"/>
      </x:c>
      <x:c r="P199" s="324"/>
      <x:c r="Q199" s="336" t="str">
        <x:f t="shared" si="40"/>
      </x:c>
      <x:c r="R199" s="339" t="str">
        <x:f t="shared" si="30"/>
      </x:c>
      <x:c r="S199" s="324"/>
      <x:c r="T199" s="336" t="str">
        <x:f t="shared" si="41"/>
      </x:c>
      <x:c r="U199" s="325"/>
      <x:c r="V199" s="340" t="str">
        <x:f>IF(OR(D199="",U199="",$C$5="",$C$6=""),"",IF(U199="Target Hit",IF(D199="Buy",(F199-E199)*($C$5/2)*$C$6,(E199-F199)*($C$5/2)*$C$6),IF(U199="Target Hit",IF(D199="Buy",(F199-E199)*($C$5/2)*$C$6,(E199-F199)*($C$5/2)*$C$6),IF(U199="Rollover",IF(D199="Buy",(Z199-E199)*($C$5/2)*$C$6,(E199-Z199)*($C$5/2)*$C$6),IF(U199="Stoploss 1 Hit",IF(K199="","",IF(D199="Buy",(K199-E199)*$C$5*$C$6,(E199-K199)*$C$5*$C$6)),IF(OR(U199="Gap Down Stoploss 1 Hit",U199="Gap Up Stoploss 1 Hit"),IF(Q199="","",IF(D199="Buy",(Q199-E199)*$C$5*$C$6,(E199-Q199)*$C$5*$C$6)),0))))))</x:f>
      </x:c>
      <x:c r="W199" s="326"/>
      <x:c r="X199" s="341" t="str">
        <x:f>IF(D199="","",IF(U199="Target Hit",IF(W199="Stoploss 2 Hit",IF(N199="","",IF(D199="Buy",(N199-E199)*($C$5/2)*$C$6,(E199-N199)*($C$5/2)*$C$6)),IF(U199="Target Hit",IF(W199="Rollover",IF(Z199="","",IF(D199="Buy",(Z199-E199)*($C$5/2)*$C$6,(E199-Z199)*($C$5/2)*$C$6)),IF(W199="Gap Down Stoploss 2 Hit",IF(T199="","",IF(D199="Buy",(T199-E199)*($C$5/2)*$C$6,(E199-T199)*($C$5/2)*$C$6)),IF(W199="Gap Up Stoploss 2 Hit",IF(T199="","",IF(D199="Buy",(T199-E199)*($C$5/2)*$C$6,(E199-T199)*($C$5/2)*$C$6)),0))),0))))</x:f>
      </x:c>
      <x:c r="Y199" s="343" t="str">
        <x:f t="shared" si="31"/>
      </x:c>
      <x:c r="Z199" s="327"/>
    </x:row>
    <x:row r="200">
      <x:c r="A200" s="35">
        <x:v>188</x:v>
      </x:c>
      <x:c r="B200" s="318"/>
      <x:c r="C200" s="319"/>
      <x:c r="D200" s="320"/>
      <x:c r="E200" s="321"/>
      <x:c r="F200" s="322"/>
      <x:c r="G200" s="321"/>
      <x:c r="H200" s="323"/>
      <x:c r="I200" s="337" t="str">
        <x:f t="shared" si="28"/>
      </x:c>
      <x:c r="J200" s="324"/>
      <x:c r="K200" s="336" t="str">
        <x:f t="shared" si="37"/>
      </x:c>
      <x:c r="L200" s="335" t="str">
        <x:f t="shared" si="38"/>
      </x:c>
      <x:c r="M200" s="324"/>
      <x:c r="N200" s="336" t="str">
        <x:f t="shared" si="39"/>
      </x:c>
      <x:c r="O200" s="337" t="str">
        <x:f t="shared" si="29"/>
      </x:c>
      <x:c r="P200" s="324"/>
      <x:c r="Q200" s="336" t="str">
        <x:f t="shared" si="40"/>
      </x:c>
      <x:c r="R200" s="339" t="str">
        <x:f t="shared" si="30"/>
      </x:c>
      <x:c r="S200" s="324"/>
      <x:c r="T200" s="336" t="str">
        <x:f t="shared" si="41"/>
      </x:c>
      <x:c r="U200" s="325"/>
      <x:c r="V200" s="340" t="str">
        <x:f>IF(OR(D200="",U200="",$C$5="",$C$6=""),"",IF(U200="Target Hit",IF(D200="Buy",(F200-E200)*($C$5/2)*$C$6,(E200-F200)*($C$5/2)*$C$6),IF(U200="Target Hit",IF(D200="Buy",(F200-E200)*($C$5/2)*$C$6,(E200-F200)*($C$5/2)*$C$6),IF(U200="Rollover",IF(D200="Buy",(Z200-E200)*($C$5/2)*$C$6,(E200-Z200)*($C$5/2)*$C$6),IF(U200="Stoploss 1 Hit",IF(K200="","",IF(D200="Buy",(K200-E200)*$C$5*$C$6,(E200-K200)*$C$5*$C$6)),IF(OR(U200="Gap Down Stoploss 1 Hit",U200="Gap Up Stoploss 1 Hit"),IF(Q200="","",IF(D200="Buy",(Q200-E200)*$C$5*$C$6,(E200-Q200)*$C$5*$C$6)),0))))))</x:f>
      </x:c>
      <x:c r="W200" s="326"/>
      <x:c r="X200" s="341" t="str">
        <x:f>IF(D200="","",IF(U200="Target Hit",IF(W200="Stoploss 2 Hit",IF(N200="","",IF(D200="Buy",(N200-E200)*($C$5/2)*$C$6,(E200-N200)*($C$5/2)*$C$6)),IF(U200="Target Hit",IF(W200="Rollover",IF(Z200="","",IF(D200="Buy",(Z200-E200)*($C$5/2)*$C$6,(E200-Z200)*($C$5/2)*$C$6)),IF(W200="Gap Down Stoploss 2 Hit",IF(T200="","",IF(D200="Buy",(T200-E200)*($C$5/2)*$C$6,(E200-T200)*($C$5/2)*$C$6)),IF(W200="Gap Up Stoploss 2 Hit",IF(T200="","",IF(D200="Buy",(T200-E200)*($C$5/2)*$C$6,(E200-T200)*($C$5/2)*$C$6)),0))),0))))</x:f>
      </x:c>
      <x:c r="Y200" s="343" t="str">
        <x:f t="shared" si="31"/>
      </x:c>
      <x:c r="Z200" s="327"/>
    </x:row>
    <x:row r="201">
      <x:c r="A201" s="35">
        <x:v>189</x:v>
      </x:c>
      <x:c r="B201" s="318"/>
      <x:c r="C201" s="319"/>
      <x:c r="D201" s="320"/>
      <x:c r="E201" s="321"/>
      <x:c r="F201" s="322"/>
      <x:c r="G201" s="321"/>
      <x:c r="H201" s="323"/>
      <x:c r="I201" s="337" t="str">
        <x:f t="shared" si="28"/>
      </x:c>
      <x:c r="J201" s="324"/>
      <x:c r="K201" s="336" t="str">
        <x:f t="shared" si="37"/>
      </x:c>
      <x:c r="L201" s="335" t="str">
        <x:f t="shared" si="38"/>
      </x:c>
      <x:c r="M201" s="324"/>
      <x:c r="N201" s="336" t="str">
        <x:f t="shared" si="39"/>
      </x:c>
      <x:c r="O201" s="337" t="str">
        <x:f t="shared" si="29"/>
      </x:c>
      <x:c r="P201" s="324"/>
      <x:c r="Q201" s="336" t="str">
        <x:f t="shared" si="40"/>
      </x:c>
      <x:c r="R201" s="339" t="str">
        <x:f t="shared" si="30"/>
      </x:c>
      <x:c r="S201" s="324"/>
      <x:c r="T201" s="336" t="str">
        <x:f t="shared" si="41"/>
      </x:c>
      <x:c r="U201" s="325"/>
      <x:c r="V201" s="340" t="str">
        <x:f>IF(OR(D201="",U201="",$C$5="",$C$6=""),"",IF(U201="Target Hit",IF(D201="Buy",(F201-E201)*($C$5/2)*$C$6,(E201-F201)*($C$5/2)*$C$6),IF(U201="Target Hit",IF(D201="Buy",(F201-E201)*($C$5/2)*$C$6,(E201-F201)*($C$5/2)*$C$6),IF(U201="Rollover",IF(D201="Buy",(Z201-E201)*($C$5/2)*$C$6,(E201-Z201)*($C$5/2)*$C$6),IF(U201="Stoploss 1 Hit",IF(K201="","",IF(D201="Buy",(K201-E201)*$C$5*$C$6,(E201-K201)*$C$5*$C$6)),IF(OR(U201="Gap Down Stoploss 1 Hit",U201="Gap Up Stoploss 1 Hit"),IF(Q201="","",IF(D201="Buy",(Q201-E201)*$C$5*$C$6,(E201-Q201)*$C$5*$C$6)),0))))))</x:f>
      </x:c>
      <x:c r="W201" s="326"/>
      <x:c r="X201" s="341" t="str">
        <x:f>IF(D201="","",IF(U201="Target Hit",IF(W201="Stoploss 2 Hit",IF(N201="","",IF(D201="Buy",(N201-E201)*($C$5/2)*$C$6,(E201-N201)*($C$5/2)*$C$6)),IF(U201="Target Hit",IF(W201="Rollover",IF(Z201="","",IF(D201="Buy",(Z201-E201)*($C$5/2)*$C$6,(E201-Z201)*($C$5/2)*$C$6)),IF(W201="Gap Down Stoploss 2 Hit",IF(T201="","",IF(D201="Buy",(T201-E201)*($C$5/2)*$C$6,(E201-T201)*($C$5/2)*$C$6)),IF(W201="Gap Up Stoploss 2 Hit",IF(T201="","",IF(D201="Buy",(T201-E201)*($C$5/2)*$C$6,(E201-T201)*($C$5/2)*$C$6)),0))),0))))</x:f>
      </x:c>
      <x:c r="Y201" s="343" t="str">
        <x:f t="shared" si="31"/>
      </x:c>
      <x:c r="Z201" s="327"/>
    </x:row>
    <x:row r="202">
      <x:c r="A202" s="35">
        <x:v>190</x:v>
      </x:c>
      <x:c r="B202" s="318"/>
      <x:c r="C202" s="319"/>
      <x:c r="D202" s="320"/>
      <x:c r="E202" s="321"/>
      <x:c r="F202" s="322"/>
      <x:c r="G202" s="321"/>
      <x:c r="H202" s="323"/>
      <x:c r="I202" s="337" t="str">
        <x:f t="shared" si="28"/>
      </x:c>
      <x:c r="J202" s="324"/>
      <x:c r="K202" s="336" t="str">
        <x:f t="shared" si="37"/>
      </x:c>
      <x:c r="L202" s="335" t="str">
        <x:f t="shared" si="38"/>
      </x:c>
      <x:c r="M202" s="324"/>
      <x:c r="N202" s="336" t="str">
        <x:f t="shared" si="39"/>
      </x:c>
      <x:c r="O202" s="337" t="str">
        <x:f t="shared" si="29"/>
      </x:c>
      <x:c r="P202" s="324"/>
      <x:c r="Q202" s="336" t="str">
        <x:f t="shared" si="40"/>
      </x:c>
      <x:c r="R202" s="339" t="str">
        <x:f t="shared" si="30"/>
      </x:c>
      <x:c r="S202" s="324"/>
      <x:c r="T202" s="336" t="str">
        <x:f t="shared" si="41"/>
      </x:c>
      <x:c r="U202" s="325"/>
      <x:c r="V202" s="340" t="str">
        <x:f>IF(OR(D202="",U202="",$C$5="",$C$6=""),"",IF(U202="Target Hit",IF(D202="Buy",(F202-E202)*($C$5/2)*$C$6,(E202-F202)*($C$5/2)*$C$6),IF(U202="Target Hit",IF(D202="Buy",(F202-E202)*($C$5/2)*$C$6,(E202-F202)*($C$5/2)*$C$6),IF(U202="Rollover",IF(D202="Buy",(Z202-E202)*($C$5/2)*$C$6,(E202-Z202)*($C$5/2)*$C$6),IF(U202="Stoploss 1 Hit",IF(K202="","",IF(D202="Buy",(K202-E202)*$C$5*$C$6,(E202-K202)*$C$5*$C$6)),IF(OR(U202="Gap Down Stoploss 1 Hit",U202="Gap Up Stoploss 1 Hit"),IF(Q202="","",IF(D202="Buy",(Q202-E202)*$C$5*$C$6,(E202-Q202)*$C$5*$C$6)),0))))))</x:f>
      </x:c>
      <x:c r="W202" s="326"/>
      <x:c r="X202" s="341" t="str">
        <x:f>IF(D202="","",IF(U202="Target Hit",IF(W202="Stoploss 2 Hit",IF(N202="","",IF(D202="Buy",(N202-E202)*($C$5/2)*$C$6,(E202-N202)*($C$5/2)*$C$6)),IF(U202="Target Hit",IF(W202="Rollover",IF(Z202="","",IF(D202="Buy",(Z202-E202)*($C$5/2)*$C$6,(E202-Z202)*($C$5/2)*$C$6)),IF(W202="Gap Down Stoploss 2 Hit",IF(T202="","",IF(D202="Buy",(T202-E202)*($C$5/2)*$C$6,(E202-T202)*($C$5/2)*$C$6)),IF(W202="Gap Up Stoploss 2 Hit",IF(T202="","",IF(D202="Buy",(T202-E202)*($C$5/2)*$C$6,(E202-T202)*($C$5/2)*$C$6)),0))),0))))</x:f>
      </x:c>
      <x:c r="Y202" s="343" t="str">
        <x:f t="shared" si="31"/>
      </x:c>
      <x:c r="Z202" s="327"/>
    </x:row>
    <x:row r="203">
      <x:c r="A203" s="35">
        <x:v>191</x:v>
      </x:c>
      <x:c r="B203" s="318"/>
      <x:c r="C203" s="319"/>
      <x:c r="D203" s="320"/>
      <x:c r="E203" s="321"/>
      <x:c r="F203" s="322"/>
      <x:c r="G203" s="321"/>
      <x:c r="H203" s="323"/>
      <x:c r="I203" s="337" t="str">
        <x:f t="shared" si="28"/>
      </x:c>
      <x:c r="J203" s="324"/>
      <x:c r="K203" s="336" t="str">
        <x:f t="shared" si="37"/>
      </x:c>
      <x:c r="L203" s="335" t="str">
        <x:f t="shared" si="38"/>
      </x:c>
      <x:c r="M203" s="324"/>
      <x:c r="N203" s="336" t="str">
        <x:f t="shared" si="39"/>
      </x:c>
      <x:c r="O203" s="337" t="str">
        <x:f t="shared" si="29"/>
      </x:c>
      <x:c r="P203" s="324"/>
      <x:c r="Q203" s="336" t="str">
        <x:f t="shared" si="40"/>
      </x:c>
      <x:c r="R203" s="339" t="str">
        <x:f t="shared" si="30"/>
      </x:c>
      <x:c r="S203" s="324"/>
      <x:c r="T203" s="336" t="str">
        <x:f t="shared" si="41"/>
      </x:c>
      <x:c r="U203" s="325"/>
      <x:c r="V203" s="340" t="str">
        <x:f>IF(OR(D203="",U203="",$C$5="",$C$6=""),"",IF(U203="Target Hit",IF(D203="Buy",(F203-E203)*($C$5/2)*$C$6,(E203-F203)*($C$5/2)*$C$6),IF(U203="Target Hit",IF(D203="Buy",(F203-E203)*($C$5/2)*$C$6,(E203-F203)*($C$5/2)*$C$6),IF(U203="Rollover",IF(D203="Buy",(Z203-E203)*($C$5/2)*$C$6,(E203-Z203)*($C$5/2)*$C$6),IF(U203="Stoploss 1 Hit",IF(K203="","",IF(D203="Buy",(K203-E203)*$C$5*$C$6,(E203-K203)*$C$5*$C$6)),IF(OR(U203="Gap Down Stoploss 1 Hit",U203="Gap Up Stoploss 1 Hit"),IF(Q203="","",IF(D203="Buy",(Q203-E203)*$C$5*$C$6,(E203-Q203)*$C$5*$C$6)),0))))))</x:f>
      </x:c>
      <x:c r="W203" s="326"/>
      <x:c r="X203" s="341" t="str">
        <x:f>IF(D203="","",IF(U203="Target Hit",IF(W203="Stoploss 2 Hit",IF(N203="","",IF(D203="Buy",(N203-E203)*($C$5/2)*$C$6,(E203-N203)*($C$5/2)*$C$6)),IF(U203="Target Hit",IF(W203="Rollover",IF(Z203="","",IF(D203="Buy",(Z203-E203)*($C$5/2)*$C$6,(E203-Z203)*($C$5/2)*$C$6)),IF(W203="Gap Down Stoploss 2 Hit",IF(T203="","",IF(D203="Buy",(T203-E203)*($C$5/2)*$C$6,(E203-T203)*($C$5/2)*$C$6)),IF(W203="Gap Up Stoploss 2 Hit",IF(T203="","",IF(D203="Buy",(T203-E203)*($C$5/2)*$C$6,(E203-T203)*($C$5/2)*$C$6)),0))),0))))</x:f>
      </x:c>
      <x:c r="Y203" s="343" t="str">
        <x:f t="shared" si="31"/>
      </x:c>
      <x:c r="Z203" s="327"/>
    </x:row>
    <x:row r="204">
      <x:c r="A204" s="35">
        <x:v>192</x:v>
      </x:c>
      <x:c r="B204" s="318"/>
      <x:c r="C204" s="319"/>
      <x:c r="D204" s="320"/>
      <x:c r="E204" s="321"/>
      <x:c r="F204" s="322"/>
      <x:c r="G204" s="321"/>
      <x:c r="H204" s="323"/>
      <x:c r="I204" s="337" t="str">
        <x:f t="shared" si="28"/>
      </x:c>
      <x:c r="J204" s="324"/>
      <x:c r="K204" s="336" t="str">
        <x:f t="shared" si="37"/>
      </x:c>
      <x:c r="L204" s="335" t="str">
        <x:f t="shared" si="38"/>
      </x:c>
      <x:c r="M204" s="324"/>
      <x:c r="N204" s="336" t="str">
        <x:f t="shared" si="39"/>
      </x:c>
      <x:c r="O204" s="337" t="str">
        <x:f t="shared" si="29"/>
      </x:c>
      <x:c r="P204" s="324"/>
      <x:c r="Q204" s="336" t="str">
        <x:f t="shared" si="40"/>
      </x:c>
      <x:c r="R204" s="339" t="str">
        <x:f t="shared" si="30"/>
      </x:c>
      <x:c r="S204" s="324"/>
      <x:c r="T204" s="336" t="str">
        <x:f t="shared" si="41"/>
      </x:c>
      <x:c r="U204" s="325"/>
      <x:c r="V204" s="340" t="str">
        <x:f>IF(OR(D204="",U204="",$C$5="",$C$6=""),"",IF(U204="Target Hit",IF(D204="Buy",(F204-E204)*($C$5/2)*$C$6,(E204-F204)*($C$5/2)*$C$6),IF(U204="Target Hit",IF(D204="Buy",(F204-E204)*($C$5/2)*$C$6,(E204-F204)*($C$5/2)*$C$6),IF(U204="Rollover",IF(D204="Buy",(Z204-E204)*($C$5/2)*$C$6,(E204-Z204)*($C$5/2)*$C$6),IF(U204="Stoploss 1 Hit",IF(K204="","",IF(D204="Buy",(K204-E204)*$C$5*$C$6,(E204-K204)*$C$5*$C$6)),IF(OR(U204="Gap Down Stoploss 1 Hit",U204="Gap Up Stoploss 1 Hit"),IF(Q204="","",IF(D204="Buy",(Q204-E204)*$C$5*$C$6,(E204-Q204)*$C$5*$C$6)),0))))))</x:f>
      </x:c>
      <x:c r="W204" s="326"/>
      <x:c r="X204" s="341" t="str">
        <x:f>IF(D204="","",IF(U204="Target Hit",IF(W204="Stoploss 2 Hit",IF(N204="","",IF(D204="Buy",(N204-E204)*($C$5/2)*$C$6,(E204-N204)*($C$5/2)*$C$6)),IF(U204="Target Hit",IF(W204="Rollover",IF(Z204="","",IF(D204="Buy",(Z204-E204)*($C$5/2)*$C$6,(E204-Z204)*($C$5/2)*$C$6)),IF(W204="Gap Down Stoploss 2 Hit",IF(T204="","",IF(D204="Buy",(T204-E204)*($C$5/2)*$C$6,(E204-T204)*($C$5/2)*$C$6)),IF(W204="Gap Up Stoploss 2 Hit",IF(T204="","",IF(D204="Buy",(T204-E204)*($C$5/2)*$C$6,(E204-T204)*($C$5/2)*$C$6)),0))),0))))</x:f>
      </x:c>
      <x:c r="Y204" s="343" t="str">
        <x:f t="shared" si="31"/>
      </x:c>
      <x:c r="Z204" s="327"/>
    </x:row>
    <x:row r="205">
      <x:c r="A205" s="35">
        <x:v>193</x:v>
      </x:c>
      <x:c r="B205" s="318"/>
      <x:c r="C205" s="319"/>
      <x:c r="D205" s="320"/>
      <x:c r="E205" s="321"/>
      <x:c r="F205" s="322"/>
      <x:c r="G205" s="321"/>
      <x:c r="H205" s="323"/>
      <x:c r="I205" s="337" t="str">
        <x:f t="shared" ref="I205:I212" si="42">IF(D205="Buy","Enter New 2DLL",IF(D205="Sell","Enter New 2DHH",""))</x:f>
      </x:c>
      <x:c r="J205" s="324"/>
      <x:c r="K205" s="336" t="str">
        <x:f t="shared" si="37"/>
      </x:c>
      <x:c r="L205" s="335" t="str">
        <x:f t="shared" si="38"/>
      </x:c>
      <x:c r="M205" s="324"/>
      <x:c r="N205" s="336" t="str">
        <x:f t="shared" si="39"/>
      </x:c>
      <x:c r="O205" s="337" t="str">
        <x:f t="shared" ref="O205:O212" si="43">IF(D205="Buy","Enter First 15-Minute Low",IF(D205="Sell","Enter First 15-Minute High",""))</x:f>
      </x:c>
      <x:c r="P205" s="324"/>
      <x:c r="Q205" s="336" t="str">
        <x:f t="shared" si="40"/>
      </x:c>
      <x:c r="R205" s="339" t="str">
        <x:f t="shared" ref="R205:R212" si="44">IF(D205="Buy","Enter First 15-Minute Low",IF(D205="Sell","Enter First 15-Minute High",""))</x:f>
      </x:c>
      <x:c r="S205" s="324"/>
      <x:c r="T205" s="336" t="str">
        <x:f t="shared" si="41"/>
      </x:c>
      <x:c r="U205" s="325"/>
      <x:c r="V205" s="340" t="str">
        <x:f>IF(OR(D205="",U205="",$C$5="",$C$6=""),"",IF(U205="Target Hit",IF(D205="Buy",(F205-E205)*($C$5/2)*$C$6,(E205-F205)*($C$5/2)*$C$6),IF(U205="Target Hit",IF(D205="Buy",(F205-E205)*($C$5/2)*$C$6,(E205-F205)*($C$5/2)*$C$6),IF(U205="Rollover",IF(D205="Buy",(Z205-E205)*($C$5/2)*$C$6,(E205-Z205)*($C$5/2)*$C$6),IF(U205="Stoploss 1 Hit",IF(K205="","",IF(D205="Buy",(K205-E205)*$C$5*$C$6,(E205-K205)*$C$5*$C$6)),IF(OR(U205="Gap Down Stoploss 1 Hit",U205="Gap Up Stoploss 1 Hit"),IF(Q205="","",IF(D205="Buy",(Q205-E205)*$C$5*$C$6,(E205-Q205)*$C$5*$C$6)),0))))))</x:f>
      </x:c>
      <x:c r="W205" s="326"/>
      <x:c r="X205" s="341" t="str">
        <x:f>IF(D205="","",IF(U205="Target Hit",IF(W205="Stoploss 2 Hit",IF(N205="","",IF(D205="Buy",(N205-E205)*($C$5/2)*$C$6,(E205-N205)*($C$5/2)*$C$6)),IF(U205="Target Hit",IF(W205="Rollover",IF(Z205="","",IF(D205="Buy",(Z205-E205)*($C$5/2)*$C$6,(E205-Z205)*($C$5/2)*$C$6)),IF(W205="Gap Down Stoploss 2 Hit",IF(T205="","",IF(D205="Buy",(T205-E205)*($C$5/2)*$C$6,(E205-T205)*($C$5/2)*$C$6)),IF(W205="Gap Up Stoploss 2 Hit",IF(T205="","",IF(D205="Buy",(T205-E205)*($C$5/2)*$C$6,(E205-T205)*($C$5/2)*$C$6)),0))),0))))</x:f>
      </x:c>
      <x:c r="Y205" s="343" t="str">
        <x:f t="shared" ref="Y205:Y212" si="45">IF(AND(V205="",X205=""),"",IF(V205="",0,V205)+IF(X205="",0,X205))</x:f>
      </x:c>
      <x:c r="Z205" s="327"/>
    </x:row>
    <x:row r="206">
      <x:c r="A206" s="35">
        <x:v>194</x:v>
      </x:c>
      <x:c r="B206" s="318"/>
      <x:c r="C206" s="319"/>
      <x:c r="D206" s="320"/>
      <x:c r="E206" s="321"/>
      <x:c r="F206" s="322"/>
      <x:c r="G206" s="321"/>
      <x:c r="H206" s="323"/>
      <x:c r="I206" s="337" t="str">
        <x:f t="shared" si="42"/>
      </x:c>
      <x:c r="J206" s="324"/>
      <x:c r="K206" s="336" t="str">
        <x:f t="shared" si="37"/>
      </x:c>
      <x:c r="L206" s="335" t="str">
        <x:f t="shared" si="38"/>
      </x:c>
      <x:c r="M206" s="324"/>
      <x:c r="N206" s="336" t="str">
        <x:f t="shared" si="39"/>
      </x:c>
      <x:c r="O206" s="337" t="str">
        <x:f t="shared" si="43"/>
      </x:c>
      <x:c r="P206" s="324"/>
      <x:c r="Q206" s="336" t="str">
        <x:f t="shared" si="40"/>
      </x:c>
      <x:c r="R206" s="339" t="str">
        <x:f t="shared" si="44"/>
      </x:c>
      <x:c r="S206" s="324"/>
      <x:c r="T206" s="336" t="str">
        <x:f t="shared" si="41"/>
      </x:c>
      <x:c r="U206" s="325"/>
      <x:c r="V206" s="340" t="str">
        <x:f>IF(OR(D206="",U206="",$C$5="",$C$6=""),"",IF(U206="Target Hit",IF(D206="Buy",(F206-E206)*($C$5/2)*$C$6,(E206-F206)*($C$5/2)*$C$6),IF(U206="Target Hit",IF(D206="Buy",(F206-E206)*($C$5/2)*$C$6,(E206-F206)*($C$5/2)*$C$6),IF(U206="Rollover",IF(D206="Buy",(Z206-E206)*($C$5/2)*$C$6,(E206-Z206)*($C$5/2)*$C$6),IF(U206="Stoploss 1 Hit",IF(K206="","",IF(D206="Buy",(K206-E206)*$C$5*$C$6,(E206-K206)*$C$5*$C$6)),IF(OR(U206="Gap Down Stoploss 1 Hit",U206="Gap Up Stoploss 1 Hit"),IF(Q206="","",IF(D206="Buy",(Q206-E206)*$C$5*$C$6,(E206-Q206)*$C$5*$C$6)),0))))))</x:f>
      </x:c>
      <x:c r="W206" s="326"/>
      <x:c r="X206" s="341" t="str">
        <x:f>IF(D206="","",IF(U206="Target Hit",IF(W206="Stoploss 2 Hit",IF(N206="","",IF(D206="Buy",(N206-E206)*($C$5/2)*$C$6,(E206-N206)*($C$5/2)*$C$6)),IF(U206="Target Hit",IF(W206="Rollover",IF(Z206="","",IF(D206="Buy",(Z206-E206)*($C$5/2)*$C$6,(E206-Z206)*($C$5/2)*$C$6)),IF(W206="Gap Down Stoploss 2 Hit",IF(T206="","",IF(D206="Buy",(T206-E206)*($C$5/2)*$C$6,(E206-T206)*($C$5/2)*$C$6)),IF(W206="Gap Up Stoploss 2 Hit",IF(T206="","",IF(D206="Buy",(T206-E206)*($C$5/2)*$C$6,(E206-T206)*($C$5/2)*$C$6)),0))),0))))</x:f>
      </x:c>
      <x:c r="Y206" s="343" t="str">
        <x:f t="shared" si="45"/>
      </x:c>
      <x:c r="Z206" s="327"/>
    </x:row>
    <x:row r="207">
      <x:c r="A207" s="35">
        <x:v>195</x:v>
      </x:c>
      <x:c r="B207" s="318"/>
      <x:c r="C207" s="319"/>
      <x:c r="D207" s="320"/>
      <x:c r="E207" s="321"/>
      <x:c r="F207" s="322"/>
      <x:c r="G207" s="321"/>
      <x:c r="H207" s="323"/>
      <x:c r="I207" s="337" t="str">
        <x:f t="shared" si="42"/>
      </x:c>
      <x:c r="J207" s="324"/>
      <x:c r="K207" s="336" t="str">
        <x:f t="shared" si="37"/>
      </x:c>
      <x:c r="L207" s="335" t="str">
        <x:f t="shared" si="38"/>
      </x:c>
      <x:c r="M207" s="324"/>
      <x:c r="N207" s="336" t="str">
        <x:f t="shared" si="39"/>
      </x:c>
      <x:c r="O207" s="337" t="str">
        <x:f t="shared" si="43"/>
      </x:c>
      <x:c r="P207" s="324"/>
      <x:c r="Q207" s="336" t="str">
        <x:f t="shared" si="40"/>
      </x:c>
      <x:c r="R207" s="339" t="str">
        <x:f t="shared" si="44"/>
      </x:c>
      <x:c r="S207" s="324"/>
      <x:c r="T207" s="336" t="str">
        <x:f t="shared" si="41"/>
      </x:c>
      <x:c r="U207" s="325"/>
      <x:c r="V207" s="340" t="str">
        <x:f>IF(OR(D207="",U207="",$C$5="",$C$6=""),"",IF(U207="Target Hit",IF(D207="Buy",(F207-E207)*($C$5/2)*$C$6,(E207-F207)*($C$5/2)*$C$6),IF(U207="Target Hit",IF(D207="Buy",(F207-E207)*($C$5/2)*$C$6,(E207-F207)*($C$5/2)*$C$6),IF(U207="Rollover",IF(D207="Buy",(Z207-E207)*($C$5/2)*$C$6,(E207-Z207)*($C$5/2)*$C$6),IF(U207="Stoploss 1 Hit",IF(K207="","",IF(D207="Buy",(K207-E207)*$C$5*$C$6,(E207-K207)*$C$5*$C$6)),IF(OR(U207="Gap Down Stoploss 1 Hit",U207="Gap Up Stoploss 1 Hit"),IF(Q207="","",IF(D207="Buy",(Q207-E207)*$C$5*$C$6,(E207-Q207)*$C$5*$C$6)),0))))))</x:f>
      </x:c>
      <x:c r="W207" s="326"/>
      <x:c r="X207" s="341" t="str">
        <x:f>IF(D207="","",IF(U207="Target Hit",IF(W207="Stoploss 2 Hit",IF(N207="","",IF(D207="Buy",(N207-E207)*($C$5/2)*$C$6,(E207-N207)*($C$5/2)*$C$6)),IF(U207="Target Hit",IF(W207="Rollover",IF(Z207="","",IF(D207="Buy",(Z207-E207)*($C$5/2)*$C$6,(E207-Z207)*($C$5/2)*$C$6)),IF(W207="Gap Down Stoploss 2 Hit",IF(T207="","",IF(D207="Buy",(T207-E207)*($C$5/2)*$C$6,(E207-T207)*($C$5/2)*$C$6)),IF(W207="Gap Up Stoploss 2 Hit",IF(T207="","",IF(D207="Buy",(T207-E207)*($C$5/2)*$C$6,(E207-T207)*($C$5/2)*$C$6)),0))),0))))</x:f>
      </x:c>
      <x:c r="Y207" s="343" t="str">
        <x:f t="shared" si="45"/>
      </x:c>
      <x:c r="Z207" s="327"/>
    </x:row>
    <x:row r="208">
      <x:c r="A208" s="35">
        <x:v>196</x:v>
      </x:c>
      <x:c r="B208" s="318"/>
      <x:c r="C208" s="319"/>
      <x:c r="D208" s="320"/>
      <x:c r="E208" s="321"/>
      <x:c r="F208" s="322"/>
      <x:c r="G208" s="321"/>
      <x:c r="H208" s="323"/>
      <x:c r="I208" s="337" t="str">
        <x:f t="shared" si="42"/>
      </x:c>
      <x:c r="J208" s="324"/>
      <x:c r="K208" s="336" t="str">
        <x:f t="shared" si="37"/>
      </x:c>
      <x:c r="L208" s="335" t="str">
        <x:f t="shared" si="38"/>
      </x:c>
      <x:c r="M208" s="324"/>
      <x:c r="N208" s="336" t="str">
        <x:f t="shared" si="39"/>
      </x:c>
      <x:c r="O208" s="337" t="str">
        <x:f t="shared" si="43"/>
      </x:c>
      <x:c r="P208" s="324"/>
      <x:c r="Q208" s="336" t="str">
        <x:f t="shared" si="40"/>
      </x:c>
      <x:c r="R208" s="339" t="str">
        <x:f t="shared" si="44"/>
      </x:c>
      <x:c r="S208" s="324"/>
      <x:c r="T208" s="336" t="str">
        <x:f t="shared" si="41"/>
      </x:c>
      <x:c r="U208" s="325"/>
      <x:c r="V208" s="340" t="str">
        <x:f>IF(OR(D208="",U208="",$C$5="",$C$6=""),"",IF(U208="Target Hit",IF(D208="Buy",(F208-E208)*($C$5/2)*$C$6,(E208-F208)*($C$5/2)*$C$6),IF(U208="Target Hit",IF(D208="Buy",(F208-E208)*($C$5/2)*$C$6,(E208-F208)*($C$5/2)*$C$6),IF(U208="Rollover",IF(D208="Buy",(Z208-E208)*($C$5/2)*$C$6,(E208-Z208)*($C$5/2)*$C$6),IF(U208="Stoploss 1 Hit",IF(K208="","",IF(D208="Buy",(K208-E208)*$C$5*$C$6,(E208-K208)*$C$5*$C$6)),IF(OR(U208="Gap Down Stoploss 1 Hit",U208="Gap Up Stoploss 1 Hit"),IF(Q208="","",IF(D208="Buy",(Q208-E208)*$C$5*$C$6,(E208-Q208)*$C$5*$C$6)),0))))))</x:f>
      </x:c>
      <x:c r="W208" s="326"/>
      <x:c r="X208" s="341" t="str">
        <x:f>IF(D208="","",IF(U208="Target Hit",IF(W208="Stoploss 2 Hit",IF(N208="","",IF(D208="Buy",(N208-E208)*($C$5/2)*$C$6,(E208-N208)*($C$5/2)*$C$6)),IF(U208="Target Hit",IF(W208="Rollover",IF(Z208="","",IF(D208="Buy",(Z208-E208)*($C$5/2)*$C$6,(E208-Z208)*($C$5/2)*$C$6)),IF(W208="Gap Down Stoploss 2 Hit",IF(T208="","",IF(D208="Buy",(T208-E208)*($C$5/2)*$C$6,(E208-T208)*($C$5/2)*$C$6)),IF(W208="Gap Up Stoploss 2 Hit",IF(T208="","",IF(D208="Buy",(T208-E208)*($C$5/2)*$C$6,(E208-T208)*($C$5/2)*$C$6)),0))),0))))</x:f>
      </x:c>
      <x:c r="Y208" s="343" t="str">
        <x:f t="shared" si="45"/>
      </x:c>
      <x:c r="Z208" s="327"/>
    </x:row>
    <x:row r="209">
      <x:c r="A209" s="35">
        <x:v>197</x:v>
      </x:c>
      <x:c r="B209" s="318"/>
      <x:c r="C209" s="319"/>
      <x:c r="D209" s="320"/>
      <x:c r="E209" s="321"/>
      <x:c r="F209" s="322"/>
      <x:c r="G209" s="321"/>
      <x:c r="H209" s="323"/>
      <x:c r="I209" s="337" t="str">
        <x:f t="shared" si="42"/>
      </x:c>
      <x:c r="J209" s="324"/>
      <x:c r="K209" s="336" t="str">
        <x:f t="shared" si="37"/>
      </x:c>
      <x:c r="L209" s="335" t="str">
        <x:f t="shared" si="38"/>
      </x:c>
      <x:c r="M209" s="324"/>
      <x:c r="N209" s="336" t="str">
        <x:f t="shared" si="39"/>
      </x:c>
      <x:c r="O209" s="337" t="str">
        <x:f t="shared" si="43"/>
      </x:c>
      <x:c r="P209" s="324"/>
      <x:c r="Q209" s="336" t="str">
        <x:f t="shared" si="40"/>
      </x:c>
      <x:c r="R209" s="339" t="str">
        <x:f t="shared" si="44"/>
      </x:c>
      <x:c r="S209" s="324"/>
      <x:c r="T209" s="336" t="str">
        <x:f t="shared" si="41"/>
      </x:c>
      <x:c r="U209" s="325"/>
      <x:c r="V209" s="340" t="str">
        <x:f>IF(OR(D209="",U209="",$C$5="",$C$6=""),"",IF(U209="Target Hit",IF(D209="Buy",(F209-E209)*($C$5/2)*$C$6,(E209-F209)*($C$5/2)*$C$6),IF(U209="Target Hit",IF(D209="Buy",(F209-E209)*($C$5/2)*$C$6,(E209-F209)*($C$5/2)*$C$6),IF(U209="Rollover",IF(D209="Buy",(Z209-E209)*($C$5/2)*$C$6,(E209-Z209)*($C$5/2)*$C$6),IF(U209="Stoploss 1 Hit",IF(K209="","",IF(D209="Buy",(K209-E209)*$C$5*$C$6,(E209-K209)*$C$5*$C$6)),IF(OR(U209="Gap Down Stoploss 1 Hit",U209="Gap Up Stoploss 1 Hit"),IF(Q209="","",IF(D209="Buy",(Q209-E209)*$C$5*$C$6,(E209-Q209)*$C$5*$C$6)),0))))))</x:f>
      </x:c>
      <x:c r="W209" s="326"/>
      <x:c r="X209" s="341" t="str">
        <x:f>IF(D209="","",IF(U209="Target Hit",IF(W209="Stoploss 2 Hit",IF(N209="","",IF(D209="Buy",(N209-E209)*($C$5/2)*$C$6,(E209-N209)*($C$5/2)*$C$6)),IF(U209="Target Hit",IF(W209="Rollover",IF(Z209="","",IF(D209="Buy",(Z209-E209)*($C$5/2)*$C$6,(E209-Z209)*($C$5/2)*$C$6)),IF(W209="Gap Down Stoploss 2 Hit",IF(T209="","",IF(D209="Buy",(T209-E209)*($C$5/2)*$C$6,(E209-T209)*($C$5/2)*$C$6)),IF(W209="Gap Up Stoploss 2 Hit",IF(T209="","",IF(D209="Buy",(T209-E209)*($C$5/2)*$C$6,(E209-T209)*($C$5/2)*$C$6)),0))),0))))</x:f>
      </x:c>
      <x:c r="Y209" s="343" t="str">
        <x:f t="shared" si="45"/>
      </x:c>
      <x:c r="Z209" s="327"/>
    </x:row>
    <x:row r="210">
      <x:c r="A210" s="35">
        <x:v>198</x:v>
      </x:c>
      <x:c r="B210" s="318"/>
      <x:c r="C210" s="319"/>
      <x:c r="D210" s="320"/>
      <x:c r="E210" s="321"/>
      <x:c r="F210" s="322"/>
      <x:c r="G210" s="321"/>
      <x:c r="H210" s="323"/>
      <x:c r="I210" s="337" t="str">
        <x:f t="shared" si="42"/>
      </x:c>
      <x:c r="J210" s="324"/>
      <x:c r="K210" s="336" t="str">
        <x:f t="shared" si="37"/>
      </x:c>
      <x:c r="L210" s="335" t="str">
        <x:f t="shared" si="38"/>
      </x:c>
      <x:c r="M210" s="324"/>
      <x:c r="N210" s="336" t="str">
        <x:f t="shared" si="39"/>
      </x:c>
      <x:c r="O210" s="337" t="str">
        <x:f t="shared" si="43"/>
      </x:c>
      <x:c r="P210" s="324"/>
      <x:c r="Q210" s="336" t="str">
        <x:f t="shared" si="40"/>
      </x:c>
      <x:c r="R210" s="339" t="str">
        <x:f t="shared" si="44"/>
      </x:c>
      <x:c r="S210" s="324"/>
      <x:c r="T210" s="336" t="str">
        <x:f t="shared" si="41"/>
      </x:c>
      <x:c r="U210" s="325"/>
      <x:c r="V210" s="340" t="str">
        <x:f>IF(OR(D210="",U210="",$C$5="",$C$6=""),"",IF(U210="Target Hit",IF(D210="Buy",(F210-E210)*($C$5/2)*$C$6,(E210-F210)*($C$5/2)*$C$6),IF(U210="Target Hit",IF(D210="Buy",(F210-E210)*($C$5/2)*$C$6,(E210-F210)*($C$5/2)*$C$6),IF(U210="Rollover",IF(D210="Buy",(Z210-E210)*($C$5/2)*$C$6,(E210-Z210)*($C$5/2)*$C$6),IF(U210="Stoploss 1 Hit",IF(K210="","",IF(D210="Buy",(K210-E210)*$C$5*$C$6,(E210-K210)*$C$5*$C$6)),IF(OR(U210="Gap Down Stoploss 1 Hit",U210="Gap Up Stoploss 1 Hit"),IF(Q210="","",IF(D210="Buy",(Q210-E210)*$C$5*$C$6,(E210-Q210)*$C$5*$C$6)),0))))))</x:f>
      </x:c>
      <x:c r="W210" s="326"/>
      <x:c r="X210" s="341" t="str">
        <x:f>IF(D210="","",IF(U210="Target Hit",IF(W210="Stoploss 2 Hit",IF(N210="","",IF(D210="Buy",(N210-E210)*($C$5/2)*$C$6,(E210-N210)*($C$5/2)*$C$6)),IF(U210="Target Hit",IF(W210="Rollover",IF(Z210="","",IF(D210="Buy",(Z210-E210)*($C$5/2)*$C$6,(E210-Z210)*($C$5/2)*$C$6)),IF(W210="Gap Down Stoploss 2 Hit",IF(T210="","",IF(D210="Buy",(T210-E210)*($C$5/2)*$C$6,(E210-T210)*($C$5/2)*$C$6)),IF(W210="Gap Up Stoploss 2 Hit",IF(T210="","",IF(D210="Buy",(T210-E210)*($C$5/2)*$C$6,(E210-T210)*($C$5/2)*$C$6)),0))),0))))</x:f>
      </x:c>
      <x:c r="Y210" s="343" t="str">
        <x:f t="shared" si="45"/>
      </x:c>
      <x:c r="Z210" s="327"/>
    </x:row>
    <x:row r="211">
      <x:c r="A211" s="35">
        <x:v>199</x:v>
      </x:c>
      <x:c r="B211" s="318"/>
      <x:c r="C211" s="319"/>
      <x:c r="D211" s="320"/>
      <x:c r="E211" s="321"/>
      <x:c r="F211" s="322"/>
      <x:c r="G211" s="321"/>
      <x:c r="H211" s="323"/>
      <x:c r="I211" s="337" t="str">
        <x:f t="shared" si="42"/>
      </x:c>
      <x:c r="J211" s="324"/>
      <x:c r="K211" s="336" t="str">
        <x:f t="shared" si="37"/>
      </x:c>
      <x:c r="L211" s="335" t="str">
        <x:f t="shared" si="38"/>
      </x:c>
      <x:c r="M211" s="324"/>
      <x:c r="N211" s="336" t="str">
        <x:f t="shared" si="39"/>
      </x:c>
      <x:c r="O211" s="337" t="str">
        <x:f t="shared" si="43"/>
      </x:c>
      <x:c r="P211" s="324"/>
      <x:c r="Q211" s="336" t="str">
        <x:f t="shared" si="40"/>
      </x:c>
      <x:c r="R211" s="339" t="str">
        <x:f t="shared" si="44"/>
      </x:c>
      <x:c r="S211" s="324"/>
      <x:c r="T211" s="336" t="str">
        <x:f t="shared" si="41"/>
      </x:c>
      <x:c r="U211" s="325"/>
      <x:c r="V211" s="340" t="str">
        <x:f>IF(OR(D211="",U211="",$C$5="",$C$6=""),"",IF(U211="Target Hit",IF(D211="Buy",(F211-E211)*($C$5/2)*$C$6,(E211-F211)*($C$5/2)*$C$6),IF(U211="Target Hit",IF(D211="Buy",(F211-E211)*($C$5/2)*$C$6,(E211-F211)*($C$5/2)*$C$6),IF(U211="Rollover",IF(D211="Buy",(Z211-E211)*($C$5/2)*$C$6,(E211-Z211)*($C$5/2)*$C$6),IF(U211="Stoploss 1 Hit",IF(K211="","",IF(D211="Buy",(K211-E211)*$C$5*$C$6,(E211-K211)*$C$5*$C$6)),IF(OR(U211="Gap Down Stoploss 1 Hit",U211="Gap Up Stoploss 1 Hit"),IF(Q211="","",IF(D211="Buy",(Q211-E211)*$C$5*$C$6,(E211-Q211)*$C$5*$C$6)),0))))))</x:f>
      </x:c>
      <x:c r="W211" s="326"/>
      <x:c r="X211" s="341" t="str">
        <x:f>IF(D211="","",IF(U211="Target Hit",IF(W211="Stoploss 2 Hit",IF(N211="","",IF(D211="Buy",(N211-E211)*($C$5/2)*$C$6,(E211-N211)*($C$5/2)*$C$6)),IF(U211="Target Hit",IF(W211="Rollover",IF(Z211="","",IF(D211="Buy",(Z211-E211)*($C$5/2)*$C$6,(E211-Z211)*($C$5/2)*$C$6)),IF(W211="Gap Down Stoploss 2 Hit",IF(T211="","",IF(D211="Buy",(T211-E211)*($C$5/2)*$C$6,(E211-T211)*($C$5/2)*$C$6)),IF(W211="Gap Up Stoploss 2 Hit",IF(T211="","",IF(D211="Buy",(T211-E211)*($C$5/2)*$C$6,(E211-T211)*($C$5/2)*$C$6)),0))),0))))</x:f>
      </x:c>
      <x:c r="Y211" s="343" t="str">
        <x:f t="shared" si="45"/>
      </x:c>
      <x:c r="Z211" s="327"/>
    </x:row>
    <x:row r="212">
      <x:c r="A212" s="35">
        <x:v>200</x:v>
      </x:c>
      <x:c r="B212" s="318"/>
      <x:c r="C212" s="319"/>
      <x:c r="D212" s="329"/>
      <x:c r="E212" s="321"/>
      <x:c r="F212" s="322"/>
      <x:c r="G212" s="321"/>
      <x:c r="H212" s="323"/>
      <x:c r="I212" s="337" t="str">
        <x:f t="shared" si="42"/>
      </x:c>
      <x:c r="J212" s="324"/>
      <x:c r="K212" s="336" t="str">
        <x:f t="shared" si="37"/>
      </x:c>
      <x:c r="L212" s="335" t="str">
        <x:f t="shared" si="38"/>
      </x:c>
      <x:c r="M212" s="324"/>
      <x:c r="N212" s="336" t="str">
        <x:f t="shared" si="39"/>
      </x:c>
      <x:c r="O212" s="337" t="str">
        <x:f t="shared" si="43"/>
      </x:c>
      <x:c r="P212" s="324"/>
      <x:c r="Q212" s="336" t="str">
        <x:f t="shared" si="40"/>
      </x:c>
      <x:c r="R212" s="339" t="str">
        <x:f t="shared" si="44"/>
      </x:c>
      <x:c r="S212" s="330"/>
      <x:c r="T212" s="336" t="str">
        <x:f t="shared" si="41"/>
      </x:c>
      <x:c r="U212" s="331"/>
      <x:c r="V212" s="340" t="str">
        <x:f>IF(OR(D212="",U212="",$C$5="",$C$6=""),"",IF(U212="Target Hit",IF(D212="Buy",(F212-E212)*($C$5/2)*$C$6,(E212-F212)*($C$5/2)*$C$6),IF(U212="Target Hit",IF(D212="Buy",(F212-E212)*($C$5/2)*$C$6,(E212-F212)*($C$5/2)*$C$6),IF(U212="Rollover",IF(D212="Buy",(Z212-E212)*($C$5/2)*$C$6,(E212-Z212)*($C$5/2)*$C$6),IF(U212="Stoploss 1 Hit",IF(K212="","",IF(D212="Buy",(K212-E212)*$C$5*$C$6,(E212-K212)*$C$5*$C$6)),IF(OR(U212="Gap Down Stoploss 1 Hit",U212="Gap Up Stoploss 1 Hit"),IF(Q212="","",IF(D212="Buy",(Q212-E212)*$C$5*$C$6,(E212-Q212)*$C$5*$C$6)),0))))))</x:f>
      </x:c>
      <x:c r="W212" s="332"/>
      <x:c r="X212" s="341" t="str">
        <x:f>IF(D212="","",IF(U212="Target Hit",IF(W212="Stoploss 2 Hit",IF(N212="","",IF(D212="Buy",(N212-E212)*($C$5/2)*$C$6,(E212-N212)*($C$5/2)*$C$6)),IF(U212="Target Hit",IF(W212="Rollover",IF(Z212="","",IF(D212="Buy",(Z212-E212)*($C$5/2)*$C$6,(E212-Z212)*($C$5/2)*$C$6)),IF(W212="Gap Down Stoploss 2 Hit",IF(T212="","",IF(D212="Buy",(T212-E212)*($C$5/2)*$C$6,(E212-T212)*($C$5/2)*$C$6)),IF(W212="Gap Up Stoploss 2 Hit",IF(T212="","",IF(D212="Buy",(T212-E212)*($C$5/2)*$C$6,(E212-T212)*($C$5/2)*$C$6)),0))),0))))</x:f>
      </x:c>
      <x:c r="Y212" s="343" t="str">
        <x:f t="shared" si="45"/>
      </x:c>
      <x:c r="Z212" s="327"/>
    </x:row>
    <x:row r="213" ht="20" customHeight="1">
      <x:c r="A213" s="267" t="str">
        <x:v>STUDENT NAME: MURUGAN M  |  EMAIL ID: muruganm56789@gmail.com  |  CONTACT NUMBER: +918610022419  |  LICENCE NUMBER: TSA-MURU-2419</x:v>
      </x:c>
      <x:c r="B213" s="268" t="str">
        <x:v>STUDENT NAME: MURUGAN M  |  EMAIL ID: muruganm56789@gmail.com  |  CONTACT NUMBER: +918610022419  |  LICENCE NUMBER: TSA-MURU-2419</x:v>
      </x:c>
      <x:c r="C213" s="268" t="str">
        <x:v>STUDENT NAME: MURUGAN M  |  EMAIL ID: muruganm56789@gmail.com  |  CONTACT NUMBER: +918610022419  |  LICENCE NUMBER: TSA-MURU-2419</x:v>
      </x:c>
      <x:c r="D213" s="268" t="str">
        <x:v>STUDENT NAME: MURUGAN M  |  EMAIL ID: muruganm56789@gmail.com  |  CONTACT NUMBER: +918610022419  |  LICENCE NUMBER: TSA-MURU-2419</x:v>
      </x:c>
      <x:c r="E213" s="268" t="str">
        <x:v>STUDENT NAME: MURUGAN M  |  EMAIL ID: muruganm56789@gmail.com  |  CONTACT NUMBER: +918610022419  |  LICENCE NUMBER: TSA-MURU-2419</x:v>
      </x:c>
      <x:c r="F213" s="268" t="str">
        <x:v>STUDENT NAME: MURUGAN M  |  EMAIL ID: muruganm56789@gmail.com  |  CONTACT NUMBER: +918610022419  |  LICENCE NUMBER: TSA-MURU-2419</x:v>
      </x:c>
      <x:c r="G213" s="268" t="str">
        <x:v>STUDENT NAME: MURUGAN M  |  EMAIL ID: muruganm56789@gmail.com  |  CONTACT NUMBER: +918610022419  |  LICENCE NUMBER: TSA-MURU-2419</x:v>
      </x:c>
      <x:c r="H213" s="268" t="str">
        <x:v>STUDENT NAME: MURUGAN M  |  EMAIL ID: muruganm56789@gmail.com  |  CONTACT NUMBER: +918610022419  |  LICENCE NUMBER: TSA-MURU-2419</x:v>
      </x:c>
      <x:c r="I213" s="268" t="str">
        <x:v>STUDENT NAME: MURUGAN M  |  EMAIL ID: muruganm56789@gmail.com  |  CONTACT NUMBER: +918610022419  |  LICENCE NUMBER: TSA-MURU-2419</x:v>
      </x:c>
      <x:c r="J213" s="268" t="str">
        <x:v>STUDENT NAME: MURUGAN M  |  EMAIL ID: muruganm56789@gmail.com  |  CONTACT NUMBER: +918610022419  |  LICENCE NUMBER: TSA-MURU-2419</x:v>
      </x:c>
      <x:c r="K213" s="268" t="str">
        <x:v>STUDENT NAME: MURUGAN M  |  EMAIL ID: muruganm56789@gmail.com  |  CONTACT NUMBER: +918610022419  |  LICENCE NUMBER: TSA-MURU-2419</x:v>
      </x:c>
      <x:c r="L213" s="268" t="str">
        <x:v>STUDENT NAME: MURUGAN M  |  EMAIL ID: muruganm56789@gmail.com  |  CONTACT NUMBER: +918610022419  |  LICENCE NUMBER: TSA-MURU-2419</x:v>
      </x:c>
      <x:c r="M213" s="268" t="str">
        <x:v>STUDENT NAME: MURUGAN M  |  EMAIL ID: muruganm56789@gmail.com  |  CONTACT NUMBER: +918610022419  |  LICENCE NUMBER: TSA-MURU-2419</x:v>
      </x:c>
      <x:c r="N213" s="268" t="str">
        <x:v>STUDENT NAME: MURUGAN M  |  EMAIL ID: muruganm56789@gmail.com  |  CONTACT NUMBER: +918610022419  |  LICENCE NUMBER: TSA-MURU-2419</x:v>
      </x:c>
      <x:c r="O213" s="268" t="str">
        <x:v>STUDENT NAME: MURUGAN M  |  EMAIL ID: muruganm56789@gmail.com  |  CONTACT NUMBER: +918610022419  |  LICENCE NUMBER: TSA-MURU-2419</x:v>
      </x:c>
      <x:c r="P213" s="268" t="str">
        <x:v>STUDENT NAME: MURUGAN M  |  EMAIL ID: muruganm56789@gmail.com  |  CONTACT NUMBER: +918610022419  |  LICENCE NUMBER: TSA-MURU-2419</x:v>
      </x:c>
      <x:c r="Q213" s="268" t="str">
        <x:v>STUDENT NAME: MURUGAN M  |  EMAIL ID: muruganm56789@gmail.com  |  CONTACT NUMBER: +918610022419  |  LICENCE NUMBER: TSA-MURU-2419</x:v>
      </x:c>
      <x:c r="R213" s="268" t="str">
        <x:v>STUDENT NAME: MURUGAN M  |  EMAIL ID: muruganm56789@gmail.com  |  CONTACT NUMBER: +918610022419  |  LICENCE NUMBER: TSA-MURU-2419</x:v>
      </x:c>
      <x:c r="S213" s="268" t="str">
        <x:v>STUDENT NAME: MURUGAN M  |  EMAIL ID: muruganm56789@gmail.com  |  CONTACT NUMBER: +918610022419  |  LICENCE NUMBER: TSA-MURU-2419</x:v>
      </x:c>
      <x:c r="T213" s="268" t="str">
        <x:v>STUDENT NAME: MURUGAN M  |  EMAIL ID: muruganm56789@gmail.com  |  CONTACT NUMBER: +918610022419  |  LICENCE NUMBER: TSA-MURU-2419</x:v>
      </x:c>
      <x:c r="U213" s="268" t="str">
        <x:v>STUDENT NAME: MURUGAN M  |  EMAIL ID: muruganm56789@gmail.com  |  CONTACT NUMBER: +918610022419  |  LICENCE NUMBER: TSA-MURU-2419</x:v>
      </x:c>
      <x:c r="V213" s="268" t="str">
        <x:v>STUDENT NAME: MURUGAN M  |  EMAIL ID: muruganm56789@gmail.com  |  CONTACT NUMBER: +918610022419  |  LICENCE NUMBER: TSA-MURU-2419</x:v>
      </x:c>
      <x:c r="W213" s="268" t="str">
        <x:v>STUDENT NAME: MURUGAN M  |  EMAIL ID: muruganm56789@gmail.com  |  CONTACT NUMBER: +918610022419  |  LICENCE NUMBER: TSA-MURU-2419</x:v>
      </x:c>
      <x:c r="X213" s="268" t="str">
        <x:v>STUDENT NAME: MURUGAN M  |  EMAIL ID: muruganm56789@gmail.com  |  CONTACT NUMBER: +918610022419  |  LICENCE NUMBER: TSA-MURU-2419</x:v>
      </x:c>
      <x:c r="Y213" s="268" t="str">
        <x:v>STUDENT NAME: MURUGAN M  |  EMAIL ID: muruganm56789@gmail.com  |  CONTACT NUMBER: +918610022419  |  LICENCE NUMBER: TSA-MURU-2419</x:v>
      </x:c>
      <x:c r="Z213" s="269" t="str">
        <x:v>STUDENT NAME: MURUGAN M  |  EMAIL ID: muruganm56789@gmail.com  |  CONTACT NUMBER: +918610022419  |  LICENCE NUMBER: TSA-MURU-2419</x:v>
      </x:c>
    </x:row>
    <x:row r="214">
      <x:c r="A214" s="83" t="s">
        <x:v>1</x:v>
      </x:c>
      <x:c r="B214" s="9"/>
      <x:c r="C214" s="9"/>
      <x:c r="D214" s="9"/>
      <x:c r="E214" s="9"/>
      <x:c r="F214" s="9"/>
      <x:c r="G214" s="9"/>
      <x:c r="H214" s="9"/>
      <x:c r="I214" s="9"/>
      <x:c r="J214" s="9"/>
      <x:c r="K214" s="9"/>
      <x:c r="L214" s="9"/>
      <x:c r="M214" s="9"/>
      <x:c r="N214" s="9"/>
      <x:c r="O214" s="9"/>
      <x:c r="P214" s="9"/>
      <x:c r="Q214" s="9"/>
      <x:c r="R214" s="9"/>
      <x:c r="S214" s="9"/>
      <x:c r="T214" s="9"/>
      <x:c r="U214" s="9"/>
      <x:c r="V214" s="9"/>
      <x:c r="W214" s="9"/>
      <x:c r="X214" s="9"/>
      <x:c r="Y214" s="9"/>
      <x:c r="Z214" s="73"/>
    </x:row>
    <x:row r="215" ht="24" customHeight="1">
      <x:c r="A215" s="84" t="s">
        <x:v>53</x:v>
      </x:c>
      <x:c r="B215" s="9"/>
      <x:c r="C215" s="9"/>
      <x:c r="D215" s="9"/>
      <x:c r="E215" s="9"/>
      <x:c r="F215" s="9"/>
      <x:c r="G215" s="9"/>
      <x:c r="H215" s="9"/>
      <x:c r="I215" s="9"/>
      <x:c r="J215" s="9"/>
      <x:c r="K215" s="9"/>
      <x:c r="L215" s="9"/>
      <x:c r="M215" s="9"/>
      <x:c r="N215" s="9"/>
      <x:c r="O215" s="9"/>
      <x:c r="P215" s="9"/>
      <x:c r="Q215" s="9"/>
      <x:c r="R215" s="9"/>
      <x:c r="S215" s="9"/>
      <x:c r="T215" s="9"/>
      <x:c r="U215" s="9"/>
      <x:c r="V215" s="9"/>
      <x:c r="W215" s="9"/>
      <x:c r="X215" s="9"/>
      <x:c r="Y215" s="9"/>
      <x:c r="Z215" s="73"/>
    </x:row>
    <x:row r="216" ht="24" customHeight="1">
      <x:c r="A216" s="84" t="s">
        <x:v>54</x:v>
      </x:c>
      <x:c r="B216" s="9"/>
      <x:c r="C216" s="9"/>
      <x:c r="D216" s="9"/>
      <x:c r="E216" s="9"/>
      <x:c r="F216" s="9"/>
      <x:c r="G216" s="9"/>
      <x:c r="H216" s="9"/>
      <x:c r="I216" s="9"/>
      <x:c r="J216" s="9"/>
      <x:c r="K216" s="9"/>
      <x:c r="L216" s="9"/>
      <x:c r="M216" s="9"/>
      <x:c r="N216" s="9"/>
      <x:c r="O216" s="9"/>
      <x:c r="P216" s="9"/>
      <x:c r="Q216" s="9"/>
      <x:c r="R216" s="9"/>
      <x:c r="S216" s="9"/>
      <x:c r="T216" s="9"/>
      <x:c r="U216" s="9"/>
      <x:c r="V216" s="9"/>
      <x:c r="W216" s="9"/>
      <x:c r="X216" s="9"/>
      <x:c r="Y216" s="9"/>
      <x:c r="Z216" s="73"/>
    </x:row>
    <x:row r="217" ht="24" customHeight="1">
      <x:c r="A217" s="84" t="s">
        <x:v>55</x:v>
      </x:c>
      <x:c r="B217" s="9"/>
      <x:c r="C217" s="9"/>
      <x:c r="D217" s="9"/>
      <x:c r="E217" s="9"/>
      <x:c r="F217" s="9"/>
      <x:c r="G217" s="9"/>
      <x:c r="H217" s="9"/>
      <x:c r="I217" s="9"/>
      <x:c r="J217" s="9"/>
      <x:c r="K217" s="9"/>
      <x:c r="L217" s="9"/>
      <x:c r="M217" s="9"/>
      <x:c r="N217" s="9"/>
      <x:c r="O217" s="9"/>
      <x:c r="P217" s="9"/>
      <x:c r="Q217" s="9"/>
      <x:c r="R217" s="9"/>
      <x:c r="S217" s="9"/>
      <x:c r="T217" s="9"/>
      <x:c r="U217" s="9"/>
      <x:c r="V217" s="9"/>
      <x:c r="W217" s="9"/>
      <x:c r="X217" s="9"/>
      <x:c r="Y217" s="9"/>
      <x:c r="Z217" s="73"/>
    </x:row>
    <x:row r="218" ht="24" customHeight="1">
      <x:c r="A218" s="85" t="s">
        <x:v>56</x:v>
      </x:c>
      <x:c r="B218" s="13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  <x:c r="M218" s="13"/>
      <x:c r="N218" s="13"/>
      <x:c r="O218" s="13"/>
      <x:c r="P218" s="13"/>
      <x:c r="Q218" s="13"/>
      <x:c r="R218" s="13"/>
      <x:c r="S218" s="13"/>
      <x:c r="T218" s="13"/>
      <x:c r="U218" s="13"/>
      <x:c r="V218" s="13"/>
      <x:c r="W218" s="13"/>
      <x:c r="X218" s="13"/>
      <x:c r="Y218" s="13"/>
      <x:c r="Z218" s="90"/>
    </x:row>
  </x:sheetData>
  <x:sheetProtection algorithmName="SHA-512" hashValue="RVPD+MzpaT+n0RUjsClk85AaMEp3dtAmgAJxyogt+8Z3x8OP3f2Zh+YX5/PglE0wf1VDBJ5M2cY71Dug97VaLg==" saltValue="x2eBcfMWUQJ9dHuBlTST2Q==" spinCount="100000" sheet="1" objects="1"/>
  <x:mergeCells>
    <x:mergeCell ref="A1:Z1"/>
    <x:mergeCell ref="A2:Z2"/>
    <x:mergeCell ref="W3:Z3"/>
    <x:mergeCell ref="B4:D4"/>
    <x:mergeCell ref="F4:I4"/>
    <x:mergeCell ref="C5:D5"/>
    <x:mergeCell ref="F5:G5"/>
    <x:mergeCell ref="H5:I5"/>
    <x:mergeCell ref="C6:D6"/>
    <x:mergeCell ref="F6:G6"/>
    <x:mergeCell ref="H6:I6"/>
    <x:mergeCell ref="F7:G7"/>
    <x:mergeCell ref="H7:I7"/>
    <x:mergeCell ref="B9:H9"/>
    <x:mergeCell ref="A213:Z213"/>
    <x:mergeCell ref="A214:Z214"/>
    <x:mergeCell ref="A215:Z215"/>
    <x:mergeCell ref="A216:Z216"/>
    <x:mergeCell ref="A217:Z217"/>
    <x:mergeCell ref="A218:Z218"/>
  </x:mergeCells>
  <x:conditionalFormatting sqref="V13:V212">
    <x:cfRule type="cellIs" dxfId="3" priority="7" operator="greaterThan">
      <x:formula>0</x:formula>
    </x:cfRule>
    <x:cfRule type="cellIs" dxfId="4" priority="8" operator="lessThan">
      <x:formula>0</x:formula>
    </x:cfRule>
  </x:conditionalFormatting>
  <x:conditionalFormatting sqref="X13:X212">
    <x:cfRule type="cellIs" dxfId="3" priority="9" operator="greaterThan">
      <x:formula>0</x:formula>
    </x:cfRule>
    <x:cfRule type="cellIs" dxfId="4" priority="10" operator="lessThan">
      <x:formula>0</x:formula>
    </x:cfRule>
  </x:conditionalFormatting>
  <x:conditionalFormatting sqref="Y13:Y212">
    <x:cfRule type="expression" dxfId="1" priority="1">
      <x:formula>Y13&gt;0</x:formula>
    </x:cfRule>
    <x:cfRule type="expression" dxfId="5" priority="2">
      <x:formula>Y13&lt;0</x:formula>
    </x:cfRule>
  </x:conditionalFormatting>
  <x:conditionalFormatting sqref="Z13:Z212">
    <x:cfRule type="expression" dxfId="6" priority="3">
      <x:formula>Z13="Locked"</x:formula>
    </x:cfRule>
    <x:cfRule type="expression" dxfId="7" priority="4">
      <x:formula>Z13="Unlocked"</x:formula>
    </x:cfRule>
  </x:conditionalFormatting>
  <x:conditionalFormatting sqref="D13:H212">
    <x:cfRule type="expression" dxfId="3" priority="5">
      <x:formula>$D13="Buy"</x:formula>
    </x:cfRule>
    <x:cfRule type="expression" dxfId="4" priority="6">
      <x:formula>$D13="Sell"</x:formula>
    </x:cfRule>
  </x:conditionalFormatting>
  <x:dataValidations count="5">
    <x:dataValidation allowBlank="1" showInputMessage="1" showErrorMessage="1" sqref="C3"/>
    <x:dataValidation type="list" allowBlank="1" showInputMessage="1" showErrorMessage="1" sqref="C5:D5">
      <x:formula1>Lists!$A$4:$A$13</x:formula1>
    </x:dataValidation>
    <x:dataValidation type="list" sqref="D13:D212">
      <x:formula1>"Buy,Sell"</x:formula1>
    </x:dataValidation>
    <x:dataValidation type="list" allowBlank="1" showInputMessage="1" showErrorMessage="1" sqref="U13:U212">
      <x:formula1>"Target Hit,Stoploss 1 Hit,Gap Down Stoploss 1 Hit,Gap Up Stoploss 1 Hit,Rollover"</x:formula1>
    </x:dataValidation>
    <x:dataValidation type="list" allowBlank="1" showInputMessage="1" showErrorMessage="1" sqref="W13:W212">
      <x:formula1>"Stoploss 2 Hit,Gap Down Stoploss 2 Hit,Gap Up Stoploss 2 Hit,Rollover"</x:formula1>
    </x:dataValidation>
  </x:dataValidations>
  <x:pageMargins left="0.7" right="0.7" top="0.75" bottom="0.75" header="0.3" footer="0.3"/>
  <x:drawing xmlns:r="http://schemas.openxmlformats.org/officeDocument/2006/relationships" r:id="Ra447484ab93e40b1"/>
  <x:tableParts count="1">
    <x:tablePart xmlns:r="http://schemas.openxmlformats.org/officeDocument/2006/relationships" r:id="R36d640f642d243b2"/>
  </x:tableParts>
</x:worksheet>
</file>

<file path=xl/worksheets/sheet4.xml><?xml version="1.0" encoding="utf-8"?>
<x:worksheet xmlns:x="http://schemas.openxmlformats.org/spreadsheetml/2006/main">
  <x:sheetFormatPr defaultColWidth="9" defaultRowHeight="16.799999237060547"/>
  <x:cols>
    <x:col min="1" max="8" width="22" customWidth="1"/>
  </x:cols>
  <x:sheetData>
    <x:row r="1" ht="30" customHeight="1">
      <x:c r="A1" s="1" t="s">
        <x:v>0</x:v>
      </x:c>
    </x:row>
    <x:row r="2" ht="22" customHeight="1">
      <x:c r="A2" s="2" t="s">
        <x:v>1</x:v>
      </x:c>
    </x:row>
    <x:row r="3">
      <x:c r="A3" s="3" t="s">
        <x:v>98</x:v>
      </x:c>
      <x:c r="B3" s="3" t="s">
        <x:v>67</x:v>
      </x:c>
      <x:c r="C3" s="3" t="s">
        <x:v>39</x:v>
      </x:c>
      <x:c r="D3" s="3" t="s">
        <x:v>159</x:v>
      </x:c>
      <x:c r="E3" s="3" t="s">
        <x:v>160</x:v>
      </x:c>
      <x:c r="F3" s="3" t="s">
        <x:v>161</x:v>
      </x:c>
      <x:c r="G3" s="3" t="s">
        <x:v>162</x:v>
      </x:c>
      <x:c r="H3" s="3" t="s">
        <x:v>163</x:v>
      </x:c>
    </x:row>
    <x:row r="4">
      <x:c r="A4" s="4">
        <x:v>2</x:v>
      </x:c>
      <x:c r="B4" s="4" t="s">
        <x:v>62</x:v>
      </x:c>
      <x:c r="C4" s="4" t="s">
        <x:v>41</x:v>
      </x:c>
      <x:c r="D4" s="4" t="s">
        <x:v>164</x:v>
      </x:c>
      <x:c r="E4" s="4" t="s">
        <x:v>165</x:v>
      </x:c>
      <x:c r="F4" s="4" t="s">
        <x:v>164</x:v>
      </x:c>
      <x:c r="G4" s="4" t="s">
        <x:v>165</x:v>
      </x:c>
      <x:c r="H4" s="4" t="s">
        <x:v>166</x:v>
      </x:c>
    </x:row>
    <x:row r="5">
      <x:c r="A5" s="4">
        <x:v>4</x:v>
      </x:c>
      <x:c r="B5" s="4" t="s">
        <x:v>167</x:v>
      </x:c>
      <x:c r="C5" s="4" t="s">
        <x:v>43</x:v>
      </x:c>
      <x:c r="D5" s="4" t="s">
        <x:v>168</x:v>
      </x:c>
      <x:c r="E5" s="4" t="s">
        <x:v>169</x:v>
      </x:c>
      <x:c r="F5" s="4" t="s">
        <x:v>168</x:v>
      </x:c>
      <x:c r="G5" s="4" t="s">
        <x:v>170</x:v>
      </x:c>
      <x:c r="H5" s="4" t="s">
        <x:v>171</x:v>
      </x:c>
    </x:row>
    <x:row r="6">
      <x:c r="A6" s="4">
        <x:v>6</x:v>
      </x:c>
      <x:c r="B6" s="4" t="s">
        <x:v>172</x:v>
      </x:c>
      <x:c r="C6" s="4"/>
      <x:c r="D6" s="4" t="s">
        <x:v>173</x:v>
      </x:c>
      <x:c r="E6" s="4" t="s">
        <x:v>157</x:v>
      </x:c>
      <x:c r="F6" s="4" t="s">
        <x:v>174</x:v>
      </x:c>
      <x:c r="G6" s="4" t="s">
        <x:v>157</x:v>
      </x:c>
      <x:c r="H6" s="4"/>
    </x:row>
    <x:row r="7">
      <x:c r="A7" s="4">
        <x:v>8</x:v>
      </x:c>
      <x:c r="B7" s="4" t="s">
        <x:v>175</x:v>
      </x:c>
      <x:c r="C7" s="4"/>
      <x:c r="D7" s="4" t="s">
        <x:v>157</x:v>
      </x:c>
      <x:c r="E7" s="4"/>
      <x:c r="F7" s="4" t="s">
        <x:v>157</x:v>
      </x:c>
      <x:c r="G7" s="4"/>
      <x:c r="H7" s="4"/>
    </x:row>
    <x:row r="8">
      <x:c r="A8" s="4">
        <x:v>10</x:v>
      </x:c>
      <x:c r="B8" s="4" t="s">
        <x:v>176</x:v>
      </x:c>
      <x:c r="C8" s="4"/>
      <x:c r="D8" s="4"/>
      <x:c r="E8" s="4"/>
      <x:c r="F8" s="4"/>
      <x:c r="G8" s="4"/>
      <x:c r="H8" s="4"/>
    </x:row>
    <x:row r="9">
      <x:c r="A9" s="4">
        <x:v>12</x:v>
      </x:c>
      <x:c r="B9" s="4"/>
      <x:c r="C9" s="4"/>
      <x:c r="D9" s="4"/>
      <x:c r="E9" s="4"/>
      <x:c r="F9" s="4"/>
      <x:c r="G9" s="4"/>
      <x:c r="H9" s="4"/>
    </x:row>
    <x:row r="10">
      <x:c r="A10" s="4">
        <x:v>14</x:v>
      </x:c>
      <x:c r="B10" s="4"/>
      <x:c r="C10" s="4"/>
      <x:c r="D10" s="4"/>
      <x:c r="E10" s="4"/>
      <x:c r="F10" s="4"/>
      <x:c r="G10" s="4"/>
      <x:c r="H10" s="4"/>
    </x:row>
    <x:row r="11">
      <x:c r="A11" s="4">
        <x:v>16</x:v>
      </x:c>
      <x:c r="B11" s="4"/>
      <x:c r="C11" s="4"/>
      <x:c r="D11" s="4"/>
      <x:c r="E11" s="4"/>
      <x:c r="F11" s="4"/>
      <x:c r="G11" s="4"/>
      <x:c r="H11" s="4"/>
    </x:row>
    <x:row r="12">
      <x:c r="A12" s="4">
        <x:v>18</x:v>
      </x:c>
      <x:c r="B12" s="4"/>
      <x:c r="C12" s="4"/>
      <x:c r="D12" s="4"/>
      <x:c r="E12" s="4"/>
      <x:c r="F12" s="4"/>
      <x:c r="G12" s="4"/>
      <x:c r="H12" s="4"/>
    </x:row>
    <x:row r="13">
      <x:c r="A13" s="4">
        <x:v>20</x:v>
      </x:c>
      <x:c r="B13" s="4"/>
      <x:c r="C13" s="4"/>
      <x:c r="D13" s="4"/>
      <x:c r="E13" s="4"/>
      <x:c r="F13" s="4"/>
      <x:c r="G13" s="4"/>
      <x:c r="H13" s="4"/>
    </x:row>
    <x:row r="16" ht="26" customHeight="1">
      <x:c r="A16" s="1" t="s">
        <x:v>0</x:v>
      </x:c>
    </x:row>
    <x:row r="17">
      <x:c r="A17" s="2" t="s">
        <x:v>1</x:v>
      </x:c>
    </x:row>
    <x:row r="18" ht="24" customHeight="1">
      <x:c r="A18" s="5" t="s">
        <x:v>53</x:v>
      </x:c>
    </x:row>
    <x:row r="19" ht="24" customHeight="1">
      <x:c r="A19" s="5" t="s">
        <x:v>54</x:v>
      </x:c>
    </x:row>
    <x:row r="20" ht="24" customHeight="1">
      <x:c r="A20" s="5" t="s">
        <x:v>55</x:v>
      </x:c>
    </x:row>
    <x:row r="21" ht="24" customHeight="1">
      <x:c r="A21" s="5" t="s">
        <x:v>56</x:v>
      </x:c>
    </x:row>
  </x:sheetData>
  <x:sheetProtection algorithmName="SHA-512" hashValue="nzgVe6ugK+0lDrBMiC1v8i+PvhtAwIP/icU3PI1SH/LtL3vRfXQsUeJb1A1LkSRrecAMuXiDlmBZ+YXnKmXf/A==" saltValue="V/fHO+wQKYsdJPzqKLfZwg==" spinCount="100000" sheet="1" objects="1"/>
  <x:mergeCells>
    <x:mergeCell ref="A1:H1"/>
    <x:mergeCell ref="A2:H2"/>
    <x:mergeCell ref="A16:H16"/>
    <x:mergeCell ref="A17:H17"/>
    <x:mergeCell ref="A18:H18"/>
    <x:mergeCell ref="A19:H19"/>
    <x:mergeCell ref="A20:H20"/>
    <x:mergeCell ref="A21:H21"/>
  </x:mergeCells>
  <x:pageMargins left="0.7" right="0.7" top="0.75" bottom="0.75" header="0.3" footer="0.3"/>
</x:worksheet>
</file>